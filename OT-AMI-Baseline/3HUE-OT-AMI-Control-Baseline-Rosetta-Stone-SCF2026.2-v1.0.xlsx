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oping Requirements" sheetId="2" state="visible" r:id="rId4"/>
    <sheet name="Rosetta Stone" sheetId="3" state="visible" r:id="rId5"/>
    <sheet name="Mgmt Intent by Domain" sheetId="4" state="visible" r:id="rId6"/>
    <sheet name="62443-3-2 ZCR Crosswalk" sheetId="5" state="visible" r:id="rId7"/>
    <sheet name="Coverage Summary" sheetId="6" state="visible" r:id="rId8"/>
    <sheet name="_index" sheetId="7" state="visible" r:id="rId9"/>
  </sheets>
  <definedNames>
    <definedName function="false" hidden="true" localSheetId="2" name="_xlnm._FilterDatabase" vbProcedure="false">'Rosetta Stone'!$A$1:$AW$810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<sst xmlns="http://schemas.openxmlformats.org/spreadsheetml/2006/main" count="25827" uniqueCount="9679">
  <si>
    <t xml:space="preserve">3HUE OT / IT-OT Convergence / AMI Control Baseline - Rosetta Stone</t>
  </si>
  <si>
    <t xml:space="preserve">Version: v1.0 (SCF 2026.2)    Baseline date: 2026-10-01    Source framework: Secure Controls Framework (SCF) 2026.2</t>
  </si>
  <si>
    <t xml:space="preserve">Purpose</t>
  </si>
  <si>
    <t xml:space="preserve">This workbook is the engagement Rosetta Stone: the SCF 2026.2 control set filtered against the in-scope regulatory, security, industry and privacy requirements for an Operational Technology (OT), IT/OT convergence and Advanced Metering Infrastructure (AMI) environment, with four authored columns added (Management Intent, Control Objectives, Control Standards, Control Guidelines). It is the working record behind the Client Vision upload file.</t>
  </si>
  <si>
    <t xml:space="preserve">How the baseline was scoped</t>
  </si>
  <si>
    <t xml:space="preserve">1. Every SCF 2026.2 control was tested for a mapping to each in-scope requirement listed on the 'Scoping Requirements' sheet. A control is in the baseline if it maps to at least one in-scope requirement.</t>
  </si>
  <si>
    <t xml:space="preserve">2. Each control is assigned to the lowest (most mandatory) tier that triggered it: Tier 1 OT Core, Tier 2 Converged IT/OT enterprise, Tier 3 AMI endpoint / embedded / supply chain, Tier 4 Privacy (Customer Energy Usage Data).</t>
  </si>
  <si>
    <t xml:space="preserve">3. ANSI/ISA-62443-3-2:2020 is not natively mapped in the SCF; its Zone &amp; Conduit Requirements (ZCR 1-7) were crosswalked manually to SCF controls (see '62443-3-2 ZCR Crosswalk'). Any control referenced by the crosswalk is force-included at Tier 1.</t>
  </si>
  <si>
    <t xml:space="preserve">4. The Artificial Intelligence &amp; Autonomous Technologies (AAT) and Quantum Security (QTS) domains are excluded unless a Tier 1 requirement maps to them; they can be added as future overlays.</t>
  </si>
  <si>
    <t xml:space="preserve">5. Applicability: 'Basic' = Tier 1 (mandatory OT core); 'Enhanced' = Tiers 2-4. Target Audience derives from SCF PPTDF applicability (Technology/Facility = Technical, Process = Management, People/Data = All Users); program-level controls are always Management.</t>
  </si>
  <si>
    <t xml:space="preserve">6. Accountability uses the 3HUE master catalog assignment where the control exists in the master; otherwise the domain default on the '_index' sheet. OT roles are expressed through the Control Owner-Platform column.</t>
  </si>
  <si>
    <t xml:space="preserve">Authored columns</t>
  </si>
  <si>
    <t xml:space="preserve">Management Intent -&gt; Client Vision 'Policy Statement'. Domain-level policy intent written for a converged IT/OT/AMI program; sub-domain variants where a topic warrants it (e.g., remote access, wireless, patching, key management).</t>
  </si>
  <si>
    <t xml:space="preserve">Control Objectives -&gt; Client Vision 'Control Objectives'. Outcome statement derived from the SCF control description plus an OT/AMI extension sentence.</t>
  </si>
  <si>
    <t xml:space="preserve">Control Standards -&gt; Client Vision 'Standard Content'. Accountable role plus lettered requirements derived from the SCF 2026.2 Assessment Objectives (rigor levels 1-3) and OT/AMI-specific requirements authored for this engagement.</t>
  </si>
  <si>
    <t xml:space="preserve">Control Guidelines -&gt; Client Vision 'Implementation Notes'. OT/AMI implementation guidance, SCF enterprise solutions and considerations, in-scope requirement alignment and validation cadence / evidence references.</t>
  </si>
  <si>
    <t xml:space="preserve">Column notes</t>
  </si>
  <si>
    <t xml:space="preserve">NISTIR 7628 R1 family is derived from the NIST SP 800-53 R5 family of each mapped control (e.g., AC -&gt; SG.AC); it is a family-level crosswalk, not a requirement-level mapping.</t>
  </si>
  <si>
    <t xml:space="preserve">SCF-I (Cyber Insurance) and SCF-R (Ransomware) flags are carried forward from the 3HUE master catalog where the control exists there; SCF 2026.2 no longer publishes those baselines.</t>
  </si>
  <si>
    <t xml:space="preserve">Zero Trust Architecture combines NIST SP 800-207 tenets and DoD Zero Trust Reference Architecture 2.0 references, consistent with the 3HUE master catalog convention.</t>
  </si>
  <si>
    <t xml:space="preserve">No client-specific or prior-engagement content is used in any authored text.</t>
  </si>
  <si>
    <t xml:space="preserve">Key</t>
  </si>
  <si>
    <t xml:space="preserve">In-Scope Requirement</t>
  </si>
  <si>
    <t xml:space="preserve">Tier</t>
  </si>
  <si>
    <t xml:space="preserve">SCF 2026.2 Column</t>
  </si>
  <si>
    <t xml:space="preserve">Scoping Rationale</t>
  </si>
  <si>
    <t xml:space="preserve">SCF Controls Mapped (all)</t>
  </si>
  <si>
    <t xml:space="preserve">Controls In Baseline</t>
  </si>
  <si>
    <t xml:space="preserve">IEC62443-2-1</t>
  </si>
  <si>
    <t xml:space="preserve">IEC 62443-2-1:2024 (IACS security program requirements for asset owners)</t>
  </si>
  <si>
    <t xml:space="preserve">Tier 1 - OT Core (mandatory)</t>
  </si>
  <si>
    <t xml:space="preserve">IEC 62443-2-1 2024</t>
  </si>
  <si>
    <t xml:space="preserve">Asset-owner security program requirements for the IACS/OT environment; defines the governance, people and process backbone of the OT program.</t>
  </si>
  <si>
    <t xml:space="preserve">IEC62443-3-3</t>
  </si>
  <si>
    <t xml:space="preserve">IEC 62443-3-3:2013 (System security requirements and security levels)</t>
  </si>
  <si>
    <t xml:space="preserve">IEC 62443-3-3 2013</t>
  </si>
  <si>
    <t xml:space="preserve">System-level technical requirements (SR/RE) used to achieve the target security level (SL-T) for each zone and conduit defined under ISA/IEC 62443-3-2.</t>
  </si>
  <si>
    <t xml:space="preserve">IEC62443-4-2</t>
  </si>
  <si>
    <t xml:space="preserve">IEC 62443-4-2:2019 (Technical security requirements for IACS components)</t>
  </si>
  <si>
    <t xml:space="preserve">IEC 62443-4-2 2019</t>
  </si>
  <si>
    <t xml:space="preserve">Component-level requirements (CR/EDR/HDR/NDR/SAR) applied to AMI meters, collectors, gateways, RTUs, PLCs and head-end components.</t>
  </si>
  <si>
    <t xml:space="preserve">NIST80082MOD</t>
  </si>
  <si>
    <t xml:space="preserve">NIST SP 800-82 R3 - Moderate OT Overlay</t>
  </si>
  <si>
    <t xml:space="preserve">NIST 800-82 R3 MODERATE OT Overlay</t>
  </si>
  <si>
    <t xml:space="preserve">The NIST 800-53 R5 Moderate baseline tailored for OT; selected as the engagement's control-strength reference for availability-first OT systems.</t>
  </si>
  <si>
    <t xml:space="preserve">NERCCIP</t>
  </si>
  <si>
    <t xml:space="preserve">NERC CIP (2024 Reliability Standards)</t>
  </si>
  <si>
    <t xml:space="preserve">US NERC CIP 2024</t>
  </si>
  <si>
    <t xml:space="preserve">Regulatory requirements where OT/AMI components support or connect to Bulk Electric System (BES) Cyber Systems or Electronic Security Perimeters.</t>
  </si>
  <si>
    <t xml:space="preserve">CISACPG</t>
  </si>
  <si>
    <t xml:space="preserve">CISA Cross-Sector Cybersecurity Performance Goals (CPG) 2022/2023</t>
  </si>
  <si>
    <t xml:space="preserve">US CISA CPG 2022</t>
  </si>
  <si>
    <t xml:space="preserve">Foundational, prioritized practices for critical infrastructure operators; used as the minimum-practice floor for IT/OT.</t>
  </si>
  <si>
    <t xml:space="preserve">NISTCSF2</t>
  </si>
  <si>
    <t xml:space="preserve">NIST Cybersecurity Framework 2.0</t>
  </si>
  <si>
    <t xml:space="preserve">Tier 2 - Converged IT/OT enterprise baseline</t>
  </si>
  <si>
    <t xml:space="preserve">NIST CSF 2.0</t>
  </si>
  <si>
    <t xml:space="preserve">Enterprise-wide outcome framework used to organize the converged IT/OT program and executive reporting.</t>
  </si>
  <si>
    <t xml:space="preserve">NIST80053MOD</t>
  </si>
  <si>
    <t xml:space="preserve">NIST SP 800-53B R5 - Moderate baseline</t>
  </si>
  <si>
    <t xml:space="preserve">NIST 800-53B R5 (moderate)</t>
  </si>
  <si>
    <t xml:space="preserve">Enterprise (corporate IT) control baseline that OT and AMI systems inherit from or integrate with under IT/OT convergence.</t>
  </si>
  <si>
    <t xml:space="preserve">C2M2</t>
  </si>
  <si>
    <t xml:space="preserve">DOE Cybersecurity Capability Maturity Model (C2M2) v2.1</t>
  </si>
  <si>
    <t xml:space="preserve">US C2M2 2.1</t>
  </si>
  <si>
    <t xml:space="preserve">Energy-sector maturity model used to measure and benchmark OT/AMI program maturity.</t>
  </si>
  <si>
    <t xml:space="preserve">IEC62443-4-1</t>
  </si>
  <si>
    <t xml:space="preserve">IEC 62443-4-1:2018 (Secure product development lifecycle)</t>
  </si>
  <si>
    <t xml:space="preserve">Tier 3 - AMI endpoint, embedded technology &amp; supply chain</t>
  </si>
  <si>
    <t xml:space="preserve">IEC 62443-4-1 2018</t>
  </si>
  <si>
    <t xml:space="preserve">Flow-down requirements for AMI/OT product suppliers and integrators (secure development, vulnerability handling, update delivery).</t>
  </si>
  <si>
    <t xml:space="preserve">CSAIOT</t>
  </si>
  <si>
    <t xml:space="preserve">CSA IoT Security Controls Framework v2</t>
  </si>
  <si>
    <t xml:space="preserve">CSA IoT SCF 2</t>
  </si>
  <si>
    <t xml:space="preserve">Controls for connected endpoints (smart meters, collectors, gateways, field sensors) and their cloud/head-end services.</t>
  </si>
  <si>
    <t xml:space="preserve">NIST800161</t>
  </si>
  <si>
    <t xml:space="preserve">NIST SP 800-161 R1 - C-SCRM Baseline</t>
  </si>
  <si>
    <t xml:space="preserve">NIST 800-161 R1 C-SCRM Baseline</t>
  </si>
  <si>
    <t xml:space="preserve">Cyber supply chain risk management for metering, communications and OT hardware/firmware/software suppliers.</t>
  </si>
  <si>
    <t xml:space="preserve">EMB</t>
  </si>
  <si>
    <t xml:space="preserve">SCF Embedded Technology (EMB) domain</t>
  </si>
  <si>
    <t xml:space="preserve">SCF domain EMB</t>
  </si>
  <si>
    <t xml:space="preserve">All SCF embedded-technology controls apply directly to AMI meters, collectors and OT field devices.</t>
  </si>
  <si>
    <t xml:space="preserve">NISTPF</t>
  </si>
  <si>
    <t xml:space="preserve">NIST Privacy Framework 1.0</t>
  </si>
  <si>
    <t xml:space="preserve">Tier 4 - Privacy (customer energy usage data)</t>
  </si>
  <si>
    <t xml:space="preserve">Privacy outcomes for Customer Energy Usage Data (CEUD) and personal data collected, transmitted and analyzed through AMI.</t>
  </si>
  <si>
    <t xml:space="preserve">NIST80053PRIV</t>
  </si>
  <si>
    <t xml:space="preserve">NIST SP 800-53B R5 - Privacy baseline</t>
  </si>
  <si>
    <t xml:space="preserve">NIST 800-53B R5 (privacy)</t>
  </si>
  <si>
    <t xml:space="preserve">Privacy control baseline for personal data and CEUD processed by AMI head-end, MDM and customer systems.</t>
  </si>
  <si>
    <t xml:space="preserve">ZCR</t>
  </si>
  <si>
    <t xml:space="preserve">ANSI/ISA-62443-3-2:2020 (Zone and conduit requirements - manual crosswalk)</t>
  </si>
  <si>
    <t xml:space="preserve">Manual crosswalk (this workbook)</t>
  </si>
  <si>
    <t xml:space="preserve">Risk assessment for system design (ZCR 1 - ZCR 7); not natively in SCF, crosswalked manually to SCF controls in this baseline.</t>
  </si>
  <si>
    <t xml:space="preserve">Excluded domains</t>
  </si>
  <si>
    <t xml:space="preserve">AAT: Artificial Intelligence &amp; Autonomous Technologies - outside the OT/AMI engagement scope; available as a future overlay.; QTS: Quantum Security - outside the OT/AMI engagement scope; post-quantum cryptography addressed through CRY domain guidance.</t>
  </si>
  <si>
    <t xml:space="preserve">Total SCF 2026.2 controls</t>
  </si>
  <si>
    <t xml:space="preserve">SCF #</t>
  </si>
  <si>
    <t xml:space="preserve">SCF Control</t>
  </si>
  <si>
    <t xml:space="preserve">SCF Domain</t>
  </si>
  <si>
    <t xml:space="preserve">Control Family</t>
  </si>
  <si>
    <t xml:space="preserve">NIST CSF Function</t>
  </si>
  <si>
    <t xml:space="preserve">SCF Control Description</t>
  </si>
  <si>
    <t xml:space="preserve">SCF Control Question</t>
  </si>
  <si>
    <t xml:space="preserve">Relative Control Weighting</t>
  </si>
  <si>
    <t xml:space="preserve">PPTDF Applicability</t>
  </si>
  <si>
    <t xml:space="preserve">Conformity Validation Cadence</t>
  </si>
  <si>
    <t xml:space="preserve">Evidence Request List #</t>
  </si>
  <si>
    <t xml:space="preserve">Baseline Tier</t>
  </si>
  <si>
    <t xml:space="preserve">Applicability</t>
  </si>
  <si>
    <t xml:space="preserve">Scoping Rationale (triggering requirements)</t>
  </si>
  <si>
    <t xml:space="preserve">OT/AMI Applicability Category</t>
  </si>
  <si>
    <t xml:space="preserve">3HUE Master Catalog Status</t>
  </si>
  <si>
    <t xml:space="preserve">Accountability</t>
  </si>
  <si>
    <t xml:space="preserve">Control Owner-Corporate</t>
  </si>
  <si>
    <t xml:space="preserve">Control Owner-Platform (OT/AMI)</t>
  </si>
  <si>
    <t xml:space="preserve">Target Audience</t>
  </si>
  <si>
    <t xml:space="preserve">Review Frequency (days)</t>
  </si>
  <si>
    <t xml:space="preserve">Associated Third-Parties</t>
  </si>
  <si>
    <t xml:space="preserve">Management Intent (Policy Statement)</t>
  </si>
  <si>
    <t xml:space="preserve">Control Objectives</t>
  </si>
  <si>
    <t xml:space="preserve">Control Standards (Standard Content)</t>
  </si>
  <si>
    <t xml:space="preserve">Control Guidelines (Implementation Notes)</t>
  </si>
  <si>
    <t xml:space="preserve">IEC 62443-2-1:2024</t>
  </si>
  <si>
    <t xml:space="preserve">IEC 62443-3-3:2013</t>
  </si>
  <si>
    <t xml:space="preserve">IEC 62443-4-1:2018</t>
  </si>
  <si>
    <t xml:space="preserve">IEC 62443-4-2:2019</t>
  </si>
  <si>
    <t xml:space="preserve">ISA/IEC 62443-3-2:2020 ZCR (manual)</t>
  </si>
  <si>
    <t xml:space="preserve">NIST SP 800-82 R3</t>
  </si>
  <si>
    <t xml:space="preserve">NIST SP 800-82 R3 Moderate OT Overlay</t>
  </si>
  <si>
    <t xml:space="preserve">NERC CIP 2024</t>
  </si>
  <si>
    <t xml:space="preserve">CISA CPG 2022</t>
  </si>
  <si>
    <t xml:space="preserve">DOE C2M2 v2.1</t>
  </si>
  <si>
    <t xml:space="preserve">NIST SP 800-53 R5</t>
  </si>
  <si>
    <t xml:space="preserve">NIST SP 800-53B R5 Moderate</t>
  </si>
  <si>
    <t xml:space="preserve">NIST SP 800-161 R1 C-SCRM Baseline</t>
  </si>
  <si>
    <t xml:space="preserve">CSA IoT SCF v2</t>
  </si>
  <si>
    <t xml:space="preserve">NIST SP 800-53B R5 Privacy</t>
  </si>
  <si>
    <t xml:space="preserve">NISTIR 7628 R1 Family (derived)</t>
  </si>
  <si>
    <t xml:space="preserve">ISO 27001:2022</t>
  </si>
  <si>
    <t xml:space="preserve">ISO 27002:2022</t>
  </si>
  <si>
    <t xml:space="preserve">NIST SP 800-207 (Zero Trust)</t>
  </si>
  <si>
    <t xml:space="preserve">SCF CORE ESP Level 2 (Critical Infrastructure)</t>
  </si>
  <si>
    <t xml:space="preserve">SCF Possible Solutions (Enterprise)</t>
  </si>
  <si>
    <t xml:space="preserve">GOV-01</t>
  </si>
  <si>
    <t xml:space="preserve">Security, Compliance &amp; Resilience Program (SCRP)</t>
  </si>
  <si>
    <t xml:space="preserve">Security, Compliance &amp; Resilience Governance</t>
  </si>
  <si>
    <t xml:space="preserve">GOV</t>
  </si>
  <si>
    <t xml:space="preserve">Govern</t>
  </si>
  <si>
    <t xml:space="preserve">Mechanisms exist to facilitate the implementation of security, compliance and resilience governance controls.</t>
  </si>
  <si>
    <t xml:space="preserve">Does the organization facilitate the implementation of security, compliance and resilience governance controls?</t>
  </si>
  <si>
    <t xml:space="preserve">Process</t>
  </si>
  <si>
    <t xml:space="preserve">Annual</t>
  </si>
  <si>
    <t xml:space="preserve">E-GOV-01, E-GOV-02</t>
  </si>
  <si>
    <t xml:space="preserve">Basic</t>
  </si>
  <si>
    <t xml:space="preserve">IEC 62443-2-1:2024; NIST SP 800-82 R3 - Moderate OT Overlay; NERC CIP; NIST Cybersecurity Framework 2.0; DOE Cybersecurity Capability Maturity Model; CSA IoT Security Controls Framework v2; NIST Privacy Framework 1.0; NIST SP 800-53B R5 - Privacy baseline</t>
  </si>
  <si>
    <t xml:space="preserve">OT Core</t>
  </si>
  <si>
    <t xml:space="preserve">In 3HUE master catalog (Active)</t>
  </si>
  <si>
    <t xml:space="preserve">CISO</t>
  </si>
  <si>
    <t xml:space="preserve">Chief Information Security Officer (CISO)</t>
  </si>
  <si>
    <t xml:space="preserve">Executive Sponsor, OT &amp; AMI Security Program</t>
  </si>
  <si>
    <t xml:space="preserve">Management</t>
  </si>
  <si>
    <t xml:space="preserve">External auditors; regulators; sector ISAC</t>
  </si>
  <si>
    <t xml:space="preserve">The organization shall establish, resource and govern a single security, compliance and resilience program that spans enterprise IT, Operational Technology (OT) and Advanced Metering Infrastructure (AMI). Governance shall assign clear executive accountability for OT and AMI cyber risk, align with the IEC 62443 security program model and ensure that safety, reliability and regulatory obligations are treated as first-order program outcomes.</t>
  </si>
  <si>
    <t xml:space="preserve">The organization develops, implements and governs processes and documentation to facilitate the implementation of security, compliance and resilience governance controls, as well as associated standards, controls and procedures, across enterprise IT, Operational Technology (OT) and Advanced Metering Infrastructure (AMI) environments.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</si>
  <si>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an organization-wide cybersecurity / data privacy governance program is developed;
b. Ensuring the cybersecurity / data privacy governance program addresses management commitment;
c. Ensuring the cybersecurity / data privacy governance program addresses statutory, regulatory and/or contractual compliance obligations;
d. Ensuring cybersecurity &amp; data protection governance operations are conducted according to documented policies, standards, procedures and/or other organizational directives;
e. Ensuring adequate resources (e.g., people, processes, technologies, data and/or facilities) are provided to support cybersecurity &amp; data protection governance operations;
f. Ensuring responsibility and authority for the performance of cybersecurity &amp; data protection governance-related activities are assigned to designated personnel;
g. Ensuring personnel performing cybersecurity &amp; data protection governance-related activities have the skills and knowledge needed to perform their assigned duties;
h. Ensuring the cybersecurity / data privacy governance program is protected from unauthorized disclosure;
i. Chartering an OT and AMI security program within the enterprise security, compliance and resilience program, with documented scope covering control centers, substations, plants, telecommunications and AMI field infrastructure;
j. Assigning executive accountability and an OT Security Lead for OT and AMI cyber risk; and
k. Aligning the program with IEC 62443-2-1 and applicable regulatory obligations and reporting status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</si>
  <si>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Steering committee; ComplianceForge - Security, Compliance &amp; Resilience Program (SCRP); Enterprise GRC platform (e.g., Cyturus, Archer, MetricStream, ServiceNow IRM); Secure Controls Framework (SCF), NIST SP 800-53 Rev 5 and/or ISO 27001:2022 alignment.
In-scope requirement alignment: IEC 62443-2-1: ORG 1.1 | NIST SP 800-82 R3 (Moderate OT overlay): PM-01 | NERC CIP: CIP-003-8 1.1.4 | DOE C2M2: PROGRAM-1f, PROGRAM-1g, PROGRAM-2b, PROGRAM-2i | NIST CSF 2.0: GV, GV.RM-01, GV.RM-03, GV.RR-01, GV.SC, GV.SC-01, GV.SC-03, GV.SC-09, ID.RA, PR, PR.IR | CSA IoT SCF: GVN-01, GVN-02 | NIST Privacy Framework: ID-P, ID.BE-P, GV-P, GV.PO-P1, GV.PO-P6, CM-P, CM.PO-P, PR-P, PR.PT-P | NIST SP 800-53B Privacy: PM-01.
Validation: Annual conformity validation; evidence artifacts E-GOV-01, E-GOV-02; PPTDF applicability: Process.</t>
  </si>
  <si>
    <t xml:space="preserve">ORG 1.1</t>
  </si>
  <si>
    <t xml:space="preserve">PM-01</t>
  </si>
  <si>
    <t xml:space="preserve">CIP-003-8 1.1.4</t>
  </si>
  <si>
    <t xml:space="preserve">PROGRAM-1f, PROGRAM-1g, PROGRAM-2b, PROGRAM-2i</t>
  </si>
  <si>
    <t xml:space="preserve">GV, GV.RM-01, GV.RM-03, GV.RR-01, GV.SC, GV.SC-01, GV.SC-03, GV.SC-09, ID.RA, PR, PR.IR</t>
  </si>
  <si>
    <t xml:space="preserve">GVN-01, GVN-02</t>
  </si>
  <si>
    <t xml:space="preserve">ID-P, ID.BE-P, GV-P, GV.PO-P1, GV.PO-P6, CM-P, CM.PO-P, PR-P, PR.PT-P</t>
  </si>
  <si>
    <t xml:space="preserve">SG.PM Security Program Management</t>
  </si>
  <si>
    <t xml:space="preserve">4.4, 5.1, 5.1(a), 5.1(b), 5.1(c), 5.1(d), 5.1(e), 5.1(f), 5.1(g), 5.1(h), 6.1.1, 6.1.1(a), 6.1.1(b), 6.1.1(c), 6.1.1(d), 6.1.1(e)(1), 6.1.1(e)(2), 8.1, 10.1</t>
  </si>
  <si>
    <t xml:space="preserve">5.1, 5.4, 5.37</t>
  </si>
  <si>
    <t xml:space="preserve">x</t>
  </si>
  <si>
    <t xml:space="preserve">∙ Steering committee
∙ ComplianceForge - Security, Compliance &amp; Resilience Program (SCRP) (https://complianceforge.com)
∙ Enterprise GRC platform (e.g., Cyturus, Archer, MetricStream, ServiceNow IRM)
∙ Secure Controls Framework (SCF), NIST SP 800-53 Rev 5 and/or ISO 27001:2022 alignment</t>
  </si>
  <si>
    <t xml:space="preserve">GOV-01.1</t>
  </si>
  <si>
    <t xml:space="preserve">Steering Committee &amp; Program Oversight</t>
  </si>
  <si>
    <t xml:space="preserve">Mechanisms exist to align security, compliance and resilience capabilities with business requirements through a steering committee or advisory board, comprised of key cybersecurity, data protection and business executives, which meets formally and on a regular basis.</t>
  </si>
  <si>
    <t xml:space="preserve">Does the organization  align security, compliance and resilience capabilities with business requirements through a steering committee or advisory board, comprised of key cybersecurity, data protection and business executives, which meets formally and on a regular basis?</t>
  </si>
  <si>
    <t xml:space="preserve">E-GOV-03, E-PRM-06</t>
  </si>
  <si>
    <t xml:space="preserve">Enhanced</t>
  </si>
  <si>
    <t xml:space="preserve">NIST Cybersecurity Framework 2.0; DOE Cybersecurity Capability Maturity Model</t>
  </si>
  <si>
    <t xml:space="preserve">Converged IT/OT Enterprise</t>
  </si>
  <si>
    <t xml:space="preserve">Leadership</t>
  </si>
  <si>
    <t xml:space="preserve">The organization implements and operates mechanisms to align security, compliance and resilience capabilities with business requirements through a steering committee or advisory board, comprised of key cybersecurity, data protection and business executives, which meets formally and on a regular basis.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</si>
  <si>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an executive steering committee, or advisory board, is formed and is comprised of key cybersecurity, technology, risk, privacy and business executives;
b. Ensuring the executive steering committee, or advisory board, coordinates cybersecurity, technology, risk, privacy and business alignment through recurring, formal meetings;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</si>
  <si>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Formal steering committee / advisory board; Board-level Cybersecurity Committee or subcommittee; Chief Information Security Officer (CISO) with board-level access; Independent security advisor / external audit committee.
In-scope requirement alignment: DOE C2M2: RISK-1f, PROGRAM-2a, PROGRAM-2c, PROGRAM-2d | NIST CSF 2.0: GV.RM-01, GV.RM-03, GV.RR-01, GV.OV, GV.OV-01, GV.OV-02, GV.OV-03, GV.SC, GV.SC-01, GV.SC-03, GV.SC-09, ID, ID.RA, PR, PR.IR.
Validation: Annual conformity validation; evidence artifacts E-GOV-03, E-PRM-06; PPTDF applicability: Process.</t>
  </si>
  <si>
    <t xml:space="preserve">RISK-1f, PROGRAM-2a, PROGRAM-2c, PROGRAM-2d</t>
  </si>
  <si>
    <t xml:space="preserve">GV.RM-01, GV.RM-03, GV.RR-01, GV.OV, GV.OV-01, GV.OV-02, GV.OV-03, GV.SC, GV.SC-01, GV.SC-03, GV.SC-09, ID, ID.RA, PR, PR.IR</t>
  </si>
  <si>
    <t xml:space="preserve">4.4, 5.1, 5.3, 5.3(a), 5.3(b), 9.3.1, 9.3.2(a), 9.3.2(b), 9.3.2(c), 9.3.2(d), 9.3.2(d)(1), 9.3.2(d)(2), 9.3.2(d)(3), 9.3.2(d)(4), 9.3.2(e), 9.3.2(f), 9.3.2(g), 9.3.3, 10.1</t>
  </si>
  <si>
    <t xml:space="preserve">∙ Formal steering committee / advisory board
∙ Board-level Cybersecurity Committee or subcommittee
∙ Chief Information Security Officer (CISO) with board-level access
∙ Independent security advisor / external audit committee</t>
  </si>
  <si>
    <t xml:space="preserve">GOV-01.2</t>
  </si>
  <si>
    <t xml:space="preserve">Status Reporting To Governing Body</t>
  </si>
  <si>
    <t xml:space="preserve">Mechanisms exist to provide governance oversight reporting and recommendations to those entrusted to make executive decisions about matters considered material to the organization's Security, Compliance &amp; Resilience Program (SCRP).</t>
  </si>
  <si>
    <t xml:space="preserve">Does the organization provide governance oversight reporting and recommendations to those entrusted to make executive decisions about matters considered material to its Security, Compliance &amp; Resilience Program (SCRP)?</t>
  </si>
  <si>
    <t xml:space="preserve">E-CPL-05, E-CPL-09, E-GOV-03, E-GOV-04, E-GOV-05, E-GOV-06, E-GOV-07, E-GOV-13</t>
  </si>
  <si>
    <t xml:space="preserve">NIST Cybersecurity Framework 2.0; DOE Cybersecurity Capability Maturity Model; NIST Privacy Framework 1.0</t>
  </si>
  <si>
    <t xml:space="preserve">The organization implements and operates mechanisms to provide governance oversight reporting and recommendations to those entrusted to make executive decisions about matters considered material to the organization's Security, Compliance &amp; Resilience Program (SCRP).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</si>
  <si>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the executive steering committee, or advisory board, makes executive decisions about matters considered material to the organization's cybersecurity / data privacy program;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</si>
  <si>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Quarterly Business Review (QBR); Board and audit committee cybersecurity briefings; Integrated GRC dashboard with real-time metrics; SEC cybersecurity disclosure-ready reporting processes (if applicable).
In-scope requirement alignment: DOE C2M2: PROGRAM-2g | NIST CSF 2.0: GV.OV, GV.OV-01, GV.OV-03, GV.SC, GV.SC-09, ID | NIST Privacy Framework: PR.PO-P6.
Validation: Annual conformity validation; evidence artifacts E-CPL-05, E-CPL-09, E-GOV-03, E-GOV-04, E-GOV-05, E-GOV-06, E-GOV-07, E-GOV-13; PPTDF applicability: Process.</t>
  </si>
  <si>
    <t xml:space="preserve">PROGRAM-2g</t>
  </si>
  <si>
    <t xml:space="preserve">GV.OV, GV.OV-01, GV.OV-03, GV.SC, GV.SC-09, ID</t>
  </si>
  <si>
    <t xml:space="preserve">PR.PO-P6</t>
  </si>
  <si>
    <t xml:space="preserve">7.4, 7.4(a), 7.4(b), 7.4(c), 7.4(d), 9.1, 9.1(a), 9.1(b), 9.1(c), 9.1(d), 9.1(e), 9.1(f), 9.3.1, 9.3.2(a), 9.3.2(b), 9.3.2(c), 9.3.2(d), 9.3.2(d)(1), 9.3.2(d)(2), 9.3.2(d)(3), 9.3.2(d)(4), 9.3.2(e), 9.3.2(f), 9.3.2(g), 9.3.3</t>
  </si>
  <si>
    <t xml:space="preserve">∙ Quarterly Business Review (QBR)
∙ Board and audit committee cybersecurity briefings
∙ Integrated GRC dashboard with real-time metrics
∙ SEC cybersecurity disclosure-ready reporting processes (if applicable)</t>
  </si>
  <si>
    <t xml:space="preserve">GOV-01.3</t>
  </si>
  <si>
    <t xml:space="preserve">Commitment To Continual Improvements</t>
  </si>
  <si>
    <t xml:space="preserve">Mechanisms exist to commit appropriate resources needed for continual improvement of the organization's Security, Compliance &amp; Resilience Program (SCRP), including:
(1) Staffing;
(2) Budget;
(3) Processes; and
(4) Technologies.</t>
  </si>
  <si>
    <t xml:space="preserve">Does the organization commit appropriate resources needed for continual improvement of its Security, Compliance &amp; Resilience Program (SCRP), including:
(1) Staffing;
(2) Budget;
(3) Processes; and
(4) Technologies?</t>
  </si>
  <si>
    <t xml:space="preserve">Privacy (Customer Energy Usage Data)</t>
  </si>
  <si>
    <t xml:space="preserve">New for OT/AMI engagement</t>
  </si>
  <si>
    <t xml:space="preserve">The organization implements and operates mechanisms to commit appropriate resources needed for continual improvement of the organization's Security, Compliance &amp; Resilience Program (SCRP), including: (1) Staffing; (2) Budget; (3) Processes; and (4) Technologies.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</si>
  <si>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the organization commits appropriate financial resources needed for continual improvement of the organization's cybersecurity &amp; data privacy program;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</si>
  <si>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security program roadmap; Board-approved cybersecurity budget; Dedicated GRC team for continual improvement tracking; Metrics dashboard for program maturity.
In-scope requirement alignment: NIST Privacy Framework: PR.PO-P5.
Validation: Annual conformity validation; evidence artifacts to be defined; PPTDF applicability: Process.</t>
  </si>
  <si>
    <t xml:space="preserve">PR.PO-P5</t>
  </si>
  <si>
    <t xml:space="preserve">∙ Enterprise security program roadmap
∙ Board-approved cybersecurity budget
∙ Dedicated GRC team for continual improvement tracking
∙ Metrics dashboard for program maturity</t>
  </si>
  <si>
    <t xml:space="preserve">GOV-02</t>
  </si>
  <si>
    <t xml:space="preserve">Publishing Security, Compliance &amp; Resilience Documentation</t>
  </si>
  <si>
    <t xml:space="preserve">Mechanisms exist to establish, maintain and disseminate policies, standards and procedures necessary for secure, compliant and resilient capabilities.</t>
  </si>
  <si>
    <t xml:space="preserve">Does the organization  establish, maintain and disseminate policies, standards and procedures necessary for secure, compliant and resilient capabilities?</t>
  </si>
  <si>
    <t xml:space="preserve">E-GOV-08, E-GOV-09, E-GOV-11</t>
  </si>
  <si>
    <t xml:space="preserve">NIST SP 800-82 R3 - Moderate OT Overlay; NIST Cybersecurity Framework 2.0; DOE Cybersecurity Capability Maturity Model; CSA IoT Security Controls Framework v2; NIST SP 800-161 R1 - C-SCRM Baseline; NIST Privacy Framework 1.0; NIST SP 800-53B R5 - Privacy baseline; ANSI/ISA-62443-3-2:2020</t>
  </si>
  <si>
    <t xml:space="preserve">GRC Analyst</t>
  </si>
  <si>
    <t xml:space="preserve">The organization implements and operates mechanisms to establish, maintain and disseminate policies, standards and procedures necessary for secure, compliant and resilient capabilities.
Within the OT and AMI environment, this objective extends program governance to the OT and AMI environments so that IT, OT and field operations operate under one accountable program with shared policies, standards and reporting.</t>
  </si>
  <si>
    <t xml:space="preserve">The Governance, Risk &amp; Compliance (GRC) function is responsible for:
a. Ensuring cybersecurity / data privacy policies are developed and documented;
b. Ensuring policies needed to satisfy the security requirements for the protection of sensitive / regulated data are developed and documented;
c. Ensuring policies needed to satisfy the security requirements for the protection of sensitive / regulated data are disseminated to organizational personnel or roles;
d. Ensuring procedures needed to satisfy the security requirements for the protection of sensitive / regulated data are developed and documented;
e. Ensuring procedures needed to satisfy the security requirements for the protection of sensitive / regulated data are disseminated to organizational personnel or roles;
f. Ensuring an official to manage the governance of cybersecurity / data privacy policies and procedures is defined;
g. Ensuring the cybersecurity / data privacy policies address purpose;
h. Ensuring the cybersecurity / data privacy policies address scope;
i. Designating an executive sponsor and an OT Security Lead with documented authority over OT and AMI cyber risk decisions;
j. Integrating IEC 62443-2-1 security program requirements and applicable regulatory obligations (e.g., NERC CIP, state utility commission requirements) into program charters, policies and reporting; and
k.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</si>
  <si>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ComplianceForge - Security, Compliance &amp; Resilience Program (SCRP); Enterprise policy management platform; Integrated GRC policy module with automated review workflows; Enterprise-wide policy acknowledgement and training integration.
In-scope requirement alignment: NIST SP 800-82 R3 (Moderate OT overlay): AC-01, AT-01, AU-01, CA-01, CM-01, CP-01, IA-01, IR-01, MA-01, MP-01, PE-01, PL-01, PM-01, PS-01, RA-01, SA-01, SC-01, SI-01, SR-01 | DOE C2M2: ASSET-5c, THREAT-3c, RISK-5c, ACCESS-4c, SITUATION-4c, RESPONSE-5c, THIRD-PARTIES-3c, WORKFORCE-5c, ARCHITECTURE-6c, PROGRAM-3c | NIST CSF 2.0: GV.PO, GV.PO-01, GV.SC-01, GV.SC-03, ID.RA | NIST SP 800-161 R1 C-SCRM: AC-1, AT-1, AU-1, CA-1, CM-1, CP-1, IA-1, IR-1, MA-1, MP-1, PE-1, PL-1, PS-1, RA-1, SC-1, SI-1, SR-1 | CSA IoT SCF: GVN-01, GVN-02, POL-03 | NIST Privacy Framework: ID.DE-P1, GV.PO-P, GV.PO-P1, GV.PO-P6, GV.MT-P, GV.MT-P4, GV.MT-P5, GV.MT-P6, GV.MT-P7, CT.PO-P, CT.PO-P1, CT.PO-P2, CT.PO-P3, CM.PO-P1, PR.PO-P, PR.PO-P4 | NIST SP 800-53B Privacy: AC-01, AT-01, AU-01, CA-01, CM-01, CP-01, IA-01, IR-01, MA-01, MP-01, PE-01, PL-01, PM-01, PS-01, PT-01, RA-01, SA-01, SC-01, SI-01, SR-01 | ISA/IEC 62443-3-2: ZCR 6.7.
Validation: Annual conformity validation; evidence artifacts E-GOV-08, E-GOV-09, E-GOV-11; PPTDF applicability: Process.</t>
  </si>
  <si>
    <t xml:space="preserve">ZCR 6.7</t>
  </si>
  <si>
    <t xml:space="preserve">AC-01, AT-01, AU-01, CA-01, CM-01, CP-01, IA-01, IR-01, MA-01, MP-01, PE-01, PL-01, PM-01, PS-01, PT-01, RA-01, SA-01, SC-01, SI-01, SR-01</t>
  </si>
  <si>
    <t xml:space="preserve">AC-01, AT-01, AU-01, CA-01, CM-01, CP-01, IA-01, IR-01, MA-01, MP-01, PE-01, PL-01, PM-01, PS-01, RA-01, SA-01, SC-01, SI-01, SR-01</t>
  </si>
  <si>
    <t xml:space="preserve">ASSET-5c, THREAT-3c, RISK-5c, ACCESS-4c, SITUATION-4c, RESPONSE-5c, THIRD-PARTIES-3c, WORKFORCE-5c, ARCHITECTURE-6c, PROGRAM-3c</t>
  </si>
  <si>
    <t xml:space="preserve">GV.PO, GV.PO-01, GV.SC-01, GV.SC-03, ID.RA</t>
  </si>
  <si>
    <t xml:space="preserve">AC-1, AT-1, AU-1, CA-1, CM-1, CP-1, IA-1, IR-1, MA-1, MP-1, PE-1, PL-1, PS-1, RA-1, SC-1, SI-1, SR-1</t>
  </si>
  <si>
    <t xml:space="preserve">GVN-01, GVN-02, POL-03</t>
  </si>
  <si>
    <t xml:space="preserve">ID.DE-P1, GV.PO-P, GV.PO-P1, GV.PO-P6, GV.MT-P, GV.MT-P4, GV.MT-P5, GV.MT-P6, GV.MT-P7, CT.PO-P, CT.PO-P1, CT.PO-P2, CT.PO-P3, CM.PO-P1, PR.PO-P, PR.PO-P4</t>
  </si>
  <si>
    <t xml:space="preserve">SG.AC Access Control; SG.AT Awareness and Training; SG.AU Audit and Accountability; SG.CA Security Assessment and Authorization; SG.CM Configuration Management; SG.CP Continuity of Operations; SG.IA Identification and Authentication; SG.IR Incident Response; SG.MA Smart Grid Information System Development and Maintenance; SG.MP Media Protection; SG.PE Physical and Environmental Security; SG.PL Planning; SG.PM Security Program Management; SG.PS Personnel Security; SG.ID Information and Document Management (PII transparency); SG.RA Risk Management and Assessment; SG.SA Smart Grid Information System and Services Acquisition; SG.SC Smart Grid Information System and Communication Protection; SG.SI Smart Grid Information System and Information Integrity; SG.SA Smart Grid Information System and Services Acquisition (supply chain)</t>
  </si>
  <si>
    <t xml:space="preserve">5.1(a), 5.2, 5.2(a), 5.2(b), 5.2(c), 5.2(d), 5.2(e), 5.2(f), 5.2(g), 7.5.1, 7.5.1(a), 7.5.1(b), 7.5.2, 7.5.2(a), 7.5.2(b), 7.5.2(c), 7.5.3, 7.5.3(a), 7.5.3(b), 7.5.3(c), 7.5.3(d), 7.5.3(e), 7.5.3(f)</t>
  </si>
  <si>
    <t xml:space="preserve">5.1, 5.37</t>
  </si>
  <si>
    <t xml:space="preserve">∙ ComplianceForge - Security, Compliance &amp; Resilience Program (SCRP) (https://complianceforge.com)
∙ Enterprise policy management platform
∙ Integrated GRC policy module with automated review workflows
∙ Enterprise-wide policy acknowledgement and training integration</t>
  </si>
  <si>
    <t xml:space="preserve">GOV-02.1</t>
  </si>
  <si>
    <t xml:space="preserve">Exception Management</t>
  </si>
  <si>
    <t xml:space="preserve">Mechanisms exist to prohibit exceptions to standards, except when the exception has been formally assessed for risk impact, approved and recorded.</t>
  </si>
  <si>
    <t xml:space="preserve">Does the organization prohibit exceptions to standards, except when the exception has been formally assessed for risk impact, approved and recorded?</t>
  </si>
  <si>
    <t xml:space="preserve">E-GOV-18</t>
  </si>
  <si>
    <t xml:space="preserve">The organization implements and operates mechanisms to prohibit exceptions to standards, except when the exception has been formally assessed for risk impact, approved and recorded.
Within the OT and AMI environment, this objective extends program governance to the OT and AMI environments so that IT, OT and field operations operate under one accountable program with shared policies, standards and reporting.</t>
  </si>
  <si>
    <t xml:space="preserve">The Governance, Risk &amp; Compliance (GRC) function is responsible for:
a. Ensuring exception requests to standards are formally submitted for review, along with a business justification for the deviation and proposed compensating controls;
b. Ensuring the exception request undergoes a risk assessment to evaluate the business justification and proposed compensating controls;
c. Ensuring a documented determination is made to approve or deny the exception request;
d. Ensuring the requestor of the exception is provided a response on the determination including required actions, if applicable;
e. Designating an executive sponsor and an OT Security Lead with documented authority over OT and AMI cyber risk decisions;
f. Integrating IEC 62443-2-1 security program requirements and applicable regulatory obligations (e.g., NERC CIP, state utility commission requirements) into program charters, policies and reporting; and
g.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</si>
  <si>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exception management program integrated with GRC platform; Automated exception workflows with defined approval chains; Exception-to-risk register linkage with ongoing monitoring; Audit-ready exception documentation and closure tracking.
In-scope requirement alignment: NIST CSF 2.0: ID.RA-07.
Validation: Annual conformity validation; evidence artifacts E-GOV-18; PPTDF applicability: Process.</t>
  </si>
  <si>
    <t xml:space="preserve">ID.RA-07</t>
  </si>
  <si>
    <t xml:space="preserve">∙ Enterprise exception management program integrated with GRC platform
∙ Automated exception workflows with defined approval chains
∙ Exception-to-risk register linkage with ongoing monitoring
∙ Audit-ready exception documentation and closure tracking</t>
  </si>
  <si>
    <t xml:space="preserve">GOV-03</t>
  </si>
  <si>
    <t xml:space="preserve">Periodic Review &amp; Update of Security, Compliance &amp; Resilience Program</t>
  </si>
  <si>
    <t xml:space="preserve">Mechanisms exist to review the Security, Compliance &amp; Resilience Program (SCRP), including policies, standards and procedures, at planned intervals or if significant changes occur to ensure their continuing suitability, adequacy and effectiveness.</t>
  </si>
  <si>
    <t xml:space="preserve">Does the organization review the Security, Compliance &amp; Resilience Program (SCRP), including policies, standards and procedures, at planned intervals or if significant changes occur to ensure their continuing suitability, adequacy and effectiveness?</t>
  </si>
  <si>
    <t xml:space="preserve">E-GOV-12</t>
  </si>
  <si>
    <t xml:space="preserve">NIST SP 800-82 R3 - Moderate OT Overlay; NERC CIP; NIST Cybersecurity Framework 2.0; DOE Cybersecurity Capability Maturity Model; NIST SP 800-161 R1 - C-SCRM Baseline; NIST Privacy Framework 1.0; NIST SP 800-53B R5 - Privacy baseline</t>
  </si>
  <si>
    <t xml:space="preserve">The organization implements and operates mechanisms to review the Security, Compliance &amp; Resilience Program (SCRP), including policies, standards and procedures, at planned intervals or if significant changes occur to ensure their continuing suitability, adequacy and effectiveness.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</si>
  <si>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the frequency at which the policies and procedures for satisfying security requirements are reviewed and updated is defined;
b. Ensuring policies and procedures are reviewed / updated per an organization-defined frequency;
c. Ensuring events that would require the current cybersecurity / data privacy policies to be reviewed / updated are defined;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</si>
  <si>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policy lifecycle management integrated with GRC platform; Automated review workflows with escalation paths; Regulatory change monitoring integrated with policy review triggers; Audit-ready documentation of all policy changes and approvals.
In-scope requirement alignment: NIST SP 800-82 R3 (Moderate OT overlay): AC-01, AU-01, CA-01, CM-01, CP-01, IA-01, IR-01, MA-01, MP-01, PE-01, PL-01, PM-01, PS-01, RA-01, SA-01, SC-01, SI-01, SR-01 | NERC CIP: CIP-002-5.1a 2.1, CIP-002-5.1a 2.2, CIP-003-8 R1 | DOE C2M2: PROGRAM-1h | NIST CSF 2.0: GV.PO-02, GV.OV, GV.OV-01, GV.OV-02 | NIST SP 800-161 R1 C-SCRM: AC-1, AT-1, AU-1, CA-1, CM-1, CP-1, IA-1, IR-1, MA-1, MP-1, PE-1, PL-1, PS-1, RA-1, SA-1, SC-1, SI-1, SR-1 | NIST Privacy Framework: GV.MT-P2 | NIST SP 800-53B Privacy: AC-01, AT-01, AU-01, CA-01, CM-01, CP-01, IA-01, IR-01, MA-01, MP-01, PE-01, PL-01, PM-01, PS-01, PT-01, RA-01, SA-01, SC-01, SI-01, SR-01.
Validation: Annual conformity validation; evidence artifacts E-GOV-12; PPTDF applicability: Process.</t>
  </si>
  <si>
    <t xml:space="preserve">AC-01, AU-01, CA-01, CM-01, CP-01, IA-01, IR-01, MA-01, MP-01, PE-01, PL-01, PM-01, PS-01, RA-01, SA-01, SC-01, SI-01, SR-01</t>
  </si>
  <si>
    <t xml:space="preserve">CIP-002-5.1a 2.1, CIP-002-5.1a 2.2, CIP-003-8 R1</t>
  </si>
  <si>
    <t xml:space="preserve">PROGRAM-1h</t>
  </si>
  <si>
    <t xml:space="preserve">GV.PO-02, GV.OV, GV.OV-01, GV.OV-02</t>
  </si>
  <si>
    <t xml:space="preserve">AC-1, AT-1, AU-1, CA-1, CM-1, CP-1, IA-1, IR-1, MA-1, MP-1, PE-1, PL-1, PS-1, RA-1, SA-1, SC-1, SI-1, SR-1</t>
  </si>
  <si>
    <t xml:space="preserve">GV.MT-P2</t>
  </si>
  <si>
    <t xml:space="preserve">7.5.2, 7.5.2(a), 7.5.2(b), 7.5.2(c)</t>
  </si>
  <si>
    <t xml:space="preserve">∙ Enterprise policy lifecycle management integrated with GRC platform
∙ Automated review workflows with escalation paths
∙ Regulatory change monitoring integrated with policy review triggers
∙ Audit-ready documentation of all policy changes and approvals</t>
  </si>
  <si>
    <t xml:space="preserve">GOV-04</t>
  </si>
  <si>
    <t xml:space="preserve">Assigned Security, Compliance &amp; Resilience Responsibilities</t>
  </si>
  <si>
    <t xml:space="preserve">Mechanisms exist to assign one or more qualified individuals with the mission and resources to centrally-manage, coordinate, develop, implement and maintain an enterprise-wide Security, Compliance &amp; Resilience Program (SCRP).</t>
  </si>
  <si>
    <t xml:space="preserve">Does the organization assign one or more qualified individuals with the mission and resources to centrally-manage, coordinate, develop, implement and maintain an enterprise-wide Security, Compliance &amp; Resilience Program (SCRP)?</t>
  </si>
  <si>
    <t xml:space="preserve">People</t>
  </si>
  <si>
    <t xml:space="preserve">E-HRS-01, E-HRS-05, E-HRS-06, E-HRS-07, E-HRS-08, E-HRS-09, E-HRS-10, E-HRS-13, E-HRS-15</t>
  </si>
  <si>
    <t xml:space="preserve">NIST SP 800-82 R3 - Moderate OT Overlay; NERC CIP; CISA Cross-Sector Cybersecurity Performance Goals; NIST Cybersecurity Framework 2.0; DOE Cybersecurity Capability Maturity Model; CSA IoT Security Controls Framework v2; NIST Privacy Framework 1.0; NIST SP 800-53B R5 - Privacy baseline</t>
  </si>
  <si>
    <t xml:space="preserve">All Users</t>
  </si>
  <si>
    <t xml:space="preserve">The organization implements and operates mechanisms to assign one or more qualified individuals with the mission and resources to centrally-manage, coordinate, develop, implement and maintain an enterprise-wide Security, Compliance &amp; Resilience Program (SCRP).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</si>
  <si>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a senior organizational cybersecurity position is appointed;
b. Ensuring the senior organizational cybersecurity position is provided with the mission and resources to coordinate, develop, implement and maintain an organization-wide cybersecurity program;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</si>
  <si>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Chief Information Security Officer (CISO) with C-suite authority and board access; Security leadership organization (CISO, Deputy CISO, DPO, domain leads); Security Center of Excellence (CoE); Defined succession planning for key security roles.
In-scope requirement alignment: NIST SP 800-82 R3 (Moderate OT overlay): PM-02, PM-06, PM-29 | NERC CIP: CIP-003-8 R4 | CISA CPG: 1.B, 1.C | DOE C2M2: ASSET-5d, THREAT-3d, RISK-5d, ACCESS-4d, SITUATION-4d, RESPONSE-5d, THIRD-PARTIES-3d, WORKFORCE-5d, ARCHITECTURE-6d, PROGRAM-2e, PROGRAM-3d | NIST CSF 2.0: GV.RM, GV.RM-05, GV.RR-01, GV.RR-02 | CSA IoT SCF: GVN-01 | NIST Privacy Framework: GV.PO-P3, CM.PO-P2 | NIST SP 800-53B Privacy: PL-09, PM-06, PM-29.
Validation: Annual conformity validation; evidence artifacts E-HRS-01, E-HRS-05, E-HRS-06, E-HRS-07, E-HRS-08, E-HRS-09, E-HRS-10, E-HRS-13, E-HRS-15; PPTDF applicability: People.</t>
  </si>
  <si>
    <t xml:space="preserve">PL-09, PM-02, PM-06, PM-29</t>
  </si>
  <si>
    <t xml:space="preserve">PM-02, PM-06, PM-29</t>
  </si>
  <si>
    <t xml:space="preserve">CIP-003-8 R4</t>
  </si>
  <si>
    <t xml:space="preserve">1.B, 1.C</t>
  </si>
  <si>
    <t xml:space="preserve">ASSET-5d, THREAT-3d, RISK-5d, ACCESS-4d, SITUATION-4d, RESPONSE-5d, THIRD-PARTIES-3d, WORKFORCE-5d, ARCHITECTURE-6d, PROGRAM-2e, PROGRAM-3d</t>
  </si>
  <si>
    <t xml:space="preserve">GV.RM, GV.RM-05, GV.RR-01, GV.RR-02</t>
  </si>
  <si>
    <t xml:space="preserve">GVN-01</t>
  </si>
  <si>
    <t xml:space="preserve">GV.PO-P3, CM.PO-P2</t>
  </si>
  <si>
    <t xml:space="preserve">PL-09, PM-06, PM-29</t>
  </si>
  <si>
    <t xml:space="preserve">SG.PL Planning; SG.PM Security Program Management</t>
  </si>
  <si>
    <t xml:space="preserve">5.1(f), 5.1(h), 5.3, 5.3(a), 5.3(b)</t>
  </si>
  <si>
    <t xml:space="preserve">5.2</t>
  </si>
  <si>
    <t xml:space="preserve">∙ Chief Information Security Officer (CISO) with C-suite authority and board access
∙ Security leadership organization (CISO, Deputy CISO, DPO, domain leads)
∙ Security Center of Excellence (CoE)
∙ Defined succession planning for key security roles</t>
  </si>
  <si>
    <t xml:space="preserve">GOV-04.1</t>
  </si>
  <si>
    <t xml:space="preserve">Stakeholder Accountability Structure</t>
  </si>
  <si>
    <t xml:space="preserve">Mechanisms exist to enforce an accountability structure so that appropriate teams and individuals are empowered, responsible and trained for mapping, measuring and managing Technology Assets, Applications, Services and/or Data (TAASD)-related risks.</t>
  </si>
  <si>
    <t xml:space="preserve">Does the organization enforce an accountability structure so that appropriate teams and individuals are empowered, responsible and trained for mapping, measuring and managing Technology Assets, Applications, Services and/or Data (TAASD)-related risks?</t>
  </si>
  <si>
    <t xml:space="preserve">E-HRS-15</t>
  </si>
  <si>
    <t xml:space="preserve">CISA Cross-Sector Cybersecurity Performance Goals; NIST Cybersecurity Framework 2.0; DOE Cybersecurity Capability Maturity Model; CSA IoT Security Controls Framework v2</t>
  </si>
  <si>
    <t xml:space="preserve">The organization implements and operates mechanisms to enforce an accountability structure so that appropriate teams and individuals are empowered, responsible and trained for mapping, measuring and managing Technology Assets, Applications, Services and/or Data (TAASD)-related risks.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</si>
  <si>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the cybersecurity / data privacy governance program includes the identification and assignment of roles;
b. Ensuring the cybersecurity / data privacy governance program includes the identification and assignment of responsibilities;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</si>
  <si>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accountability framework integrated with GRC and HR systems; Control ownership model with documented accountability for each control domain; Security KPIs tied to role-based performance management; Third-party accountability structures for key vendors.
In-scope requirement alignment: CISA CPG: 1.B, 1.C | DOE C2M2: RISK-1e, PROGRAM-2f | NIST CSF 2.0: GV.RM-05, GV.RR-01 | CSA IoT SCF: GVN-01.
Validation: Annual conformity validation; evidence artifacts E-HRS-15; PPTDF applicability: Process.</t>
  </si>
  <si>
    <t xml:space="preserve">RISK-1e, PROGRAM-2f</t>
  </si>
  <si>
    <t xml:space="preserve">GV.RM-05, GV.RR-01</t>
  </si>
  <si>
    <t xml:space="preserve">∙ Enterprise accountability framework integrated with GRC and HR systems
∙ Control ownership model with documented accountability for each control domain
∙ Security KPIs tied to role-based performance management
∙ Third-party accountability structures for key vendors</t>
  </si>
  <si>
    <t xml:space="preserve">GOV-04.2</t>
  </si>
  <si>
    <t xml:space="preserve">Authoritative Chain of Command</t>
  </si>
  <si>
    <t xml:space="preserve">Mechanisms exist to establish an authoritative chain of command with clear lines of communication to remove ambiguity from individuals and teams related to managing Technology Assets, Applications, Services and/or Data (TAASD)-related risks.</t>
  </si>
  <si>
    <t xml:space="preserve">Does the organization establish an authoritative chain of command with clear lines of communication to remove ambiguity from individuals and teams related to managing Technology Assets, Applications, Services and/or Data (TAASD)-related risks?</t>
  </si>
  <si>
    <t xml:space="preserve">CISA Cross-Sector Cybersecurity Performance Goals; DOE Cybersecurity Capability Maturity Model</t>
  </si>
  <si>
    <t xml:space="preserve">The organization implements and operates mechanisms to establish an authoritative chain of command with clear lines of communication to remove ambiguity from individuals and teams related to managing Technology Assets, Applications, Services and/or Data (TAASD)-related risks.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</si>
  <si>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a formal organization structure is published;
b. Ensuring an individual's chain of command is clearly delineated;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</si>
  <si>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organizational structure with defined CISO authority and reporting chain; Board-level visibility into security command structure; Integrated HR/org management system reflecting security authority; Formalized delegation of authority matrix for security decisions.
In-scope requirement alignment: CISA CPG: 1.B, 1.C | DOE C2M2: RISK-1e, PROGRAM-2f.
Validation: Annual conformity validation; evidence artifacts E-HRS-15; PPTDF applicability: Process.</t>
  </si>
  <si>
    <t xml:space="preserve">∙ Enterprise organizational structure with defined CISO authority and reporting chain
∙ Board-level visibility into security command structure
∙ Integrated HR/org management system reflecting security authority
∙ Formalized delegation of authority matrix for security decisions</t>
  </si>
  <si>
    <t xml:space="preserve">GOV-05</t>
  </si>
  <si>
    <t xml:space="preserve">Measures of Performance</t>
  </si>
  <si>
    <t xml:space="preserve">Mechanisms exist to develop, report and monitor Security, Compliance &amp; Resilience Program (SCRP) measures of performance.</t>
  </si>
  <si>
    <t xml:space="preserve">Does the organization develop, report and monitor Security, Compliance &amp; Resilience Program (SCRP) measures of performance?</t>
  </si>
  <si>
    <t xml:space="preserve">E-GOV-13</t>
  </si>
  <si>
    <t xml:space="preserve">NIST SP 800-82 R3 - Moderate OT Overlay; NIST Cybersecurity Framework 2.0; DOE Cybersecurity Capability Maturity Model; NIST Privacy Framework 1.0; NIST SP 800-53B R5 - Privacy baseline</t>
  </si>
  <si>
    <t xml:space="preserve">The organization implements and operates mechanisms to develop, report and monitor Security, Compliance &amp; Resilience Program (SCRP) measures of performance.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</si>
  <si>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cybersecurity / data privacy measures of performance are developed;
b. Ensuring cybersecurity / data privacy measures of performance are monitored;
c. Ensuring the results of cybersecurity / data privacy measures of performance are reported;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</si>
  <si>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GRC platform with automated metrics collection and reporting; Security metrics integrated with business intelligence platform (e.g., Tableau, Power BI); Automated benchmarking against industry standards (e.g., CIS Benchmarks, CISA metrics); Real-time security posture dashboards for executive and board reporting.
In-scope requirement alignment: NIST SP 800-82 R3 (Moderate OT overlay): PM-06 | DOE C2M2: ASSET-5f, THREAT-3f, RISK-5f, ACCESS-4f, SITUATION-3d, SITUATION-4f, RESPONSE-5f, THIRD-PARTIES-3f, WORKFORCE-5f, ARCHITECTURE-6f, PROGRAM-2g, PROGRAM-3f | NIST CSF 2.0: GV, GV.OV, GV.OV-01, GV.OV-03, GV.SC, GV.SC-09, ID.IM-03 | NIST Privacy Framework: GV.MT-P4, PR.PO-P5, PR.PO-P6 | NIST SP 800-53B Privacy: PM-06.
Validation: Annual conformity validation; evidence artifacts E-GOV-13; PPTDF applicability: Process.</t>
  </si>
  <si>
    <t xml:space="preserve">PM-06</t>
  </si>
  <si>
    <t xml:space="preserve">ASSET-5f, THREAT-3f, RISK-5f, ACCESS-4f, SITUATION-3d, SITUATION-4f, RESPONSE-5f, THIRD-PARTIES-3f, WORKFORCE-5f, ARCHITECTURE-6f, PROGRAM-2g, PROGRAM-3f</t>
  </si>
  <si>
    <t xml:space="preserve">GV, GV.OV, GV.OV-01, GV.OV-03, GV.SC, GV.SC-09, ID.IM-03</t>
  </si>
  <si>
    <t xml:space="preserve">GV.MT-P4, PR.PO-P5, PR.PO-P6</t>
  </si>
  <si>
    <t xml:space="preserve">9.1, 9.1(a), 9.1(b), 9.1(c), 9.1(d), 9.1(e), 9.1(f)</t>
  </si>
  <si>
    <t xml:space="preserve">NIST Tenet 7</t>
  </si>
  <si>
    <t xml:space="preserve">∙ Enterprise GRC platform with automated metrics collection and reporting
∙ Security metrics integrated with business intelligence platform (e.g., Tableau, Power BI)
∙ Automated benchmarking against industry standards (e.g., CIS Benchmarks, CISA metrics)
∙ Real-time security posture dashboards for executive and board reporting</t>
  </si>
  <si>
    <t xml:space="preserve">GOV-05.2</t>
  </si>
  <si>
    <t xml:space="preserve">Key Risk Indicators (KRIs)</t>
  </si>
  <si>
    <t xml:space="preserve">Mechanisms exist to develop, report and monitor Key Risk Indicators (KRIs) to assist senior management in performance monitoring and trend analysis of the Security, Compliance &amp; Resilience Program (SCRP).</t>
  </si>
  <si>
    <t xml:space="preserve">Does the organization develop, report and monitor Key Risk Indicators (KRIs) to assist senior management in performance monitoring and trend analysis of the Security, Compliance &amp; Resilience Program (SCRP)?</t>
  </si>
  <si>
    <t xml:space="preserve">Information Risk Manager</t>
  </si>
  <si>
    <t xml:space="preserve">The organization implements and operates mechanisms to develop, report and monitor Key Risk Indicators (KRIs) to assist senior management in performance monitoring and trend analysis of the Security, Compliance &amp; Resilience Program (SCRP).
Within the OT and AMI environment, this objective extends program governance to the OT and AMI environments so that IT, OT and field operations operate under one accountable program with shared policies, standards and reporting.</t>
  </si>
  <si>
    <t xml:space="preserve">The Information Risk Manager, in coordination with OT Engineering, is responsible for:
a. Ensuring Key Risk Indicators (KRIs) are developed to assist senior management in performance monitoring and trend analysis of specific aspects of the organization's cybersecurity / data privacy program;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</si>
  <si>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KRI program integrated with risk management framework; Automated real-time KRI monitoring with AI-assisted anomaly detection; Board-level risk indicator reporting with trend analysis; KRIs linked to enterprise risk appetite and materiality thresholds.
In-scope requirement alignment: NIST CSF 2.0: GV.RM-01.
Validation: Annual conformity validation; evidence artifacts E-GOV-13; PPTDF applicability: Process.</t>
  </si>
  <si>
    <t xml:space="preserve">GV.RM-01</t>
  </si>
  <si>
    <t xml:space="preserve">∙ Enterprise KRI program integrated with risk management framework
∙ Automated real-time KRI monitoring with AI-assisted anomaly detection
∙ Board-level risk indicator reporting with trend analysis
∙ KRIs linked to enterprise risk appetite and materiality thresholds</t>
  </si>
  <si>
    <t xml:space="preserve">GOV-06</t>
  </si>
  <si>
    <t xml:space="preserve">Contacts With Authorities</t>
  </si>
  <si>
    <t xml:space="preserve">Mechanisms exist to identify and document appropriate contacts with relevant law enforcement and regulatory bodies.</t>
  </si>
  <si>
    <t xml:space="preserve">Does the organization identify and document appropriate contacts with relevant law enforcement and regulatory bodies?</t>
  </si>
  <si>
    <t xml:space="preserve">NIST SP 800-82 R3 - Moderate OT Overlay; CISA Cross-Sector Cybersecurity Performance Goals; NIST SP 800-53B R5 - Privacy baseline</t>
  </si>
  <si>
    <t xml:space="preserve">The organization implements and operates mechanisms to identify and document appropriate contacts with relevant law enforcement and regulatory bodies.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</si>
  <si>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relevant law enforcement and/or regulatory bodies are identified that necessitate communications;
b. Ensuring contacts with relevant law enforcement and/or regulatory bodies are established and documented;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</si>
  <si>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Dedicated government liaison program (FBI, CISA, NSA, sector regulators); Active ISAC membership with classified threat briefing access (where applicable); Pre-established breach notification workflows for all applicable regulators; Integrated Security Incident Response Team (ISIRT) with 24/7 law enforcement contact protocols.
In-scope requirement alignment: NIST SP 800-82 R3 (Moderate OT overlay): IR-06 | CISA CPG: 4.A | NIST SP 800-53B Privacy: IR-06.
Validation: Annual conformity validation; evidence artifacts to be defined; PPTDF applicability: Process.</t>
  </si>
  <si>
    <t xml:space="preserve">IR-06</t>
  </si>
  <si>
    <t xml:space="preserve">4.A</t>
  </si>
  <si>
    <t xml:space="preserve">SG.IR Incident Response</t>
  </si>
  <si>
    <t xml:space="preserve">5.5</t>
  </si>
  <si>
    <t xml:space="preserve">∙ Dedicated government liaison program (FBI, CISA, NSA, sector regulators)
∙ Active ISAC membership with classified threat briefing access (where applicable)
∙ Pre-established breach notification workflows for all applicable regulators
∙ Integrated Security Incident Response Team (ISIRT) with 24/7 law enforcement contact protocols</t>
  </si>
  <si>
    <t xml:space="preserve">GOV-07</t>
  </si>
  <si>
    <t xml:space="preserve">Contacts With Groups &amp; Associations</t>
  </si>
  <si>
    <t xml:space="preserve">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</si>
  <si>
    <t xml:space="preserve">Does the organization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</si>
  <si>
    <t xml:space="preserve">E-THR-02</t>
  </si>
  <si>
    <t xml:space="preserve">IEC 62443-2-1:2024; NIST SP 800-82 R3 - Moderate OT Overlay; NIST Cybersecurity Framework 2.0; DOE Cybersecurity Capability Maturity Model; NIST SP 800-53B R5 - Privacy baseline</t>
  </si>
  <si>
    <t xml:space="preserve">The organization implements and operates mechanisms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</si>
  <si>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contact is established and institutionalized with selected groups and associations within the cybersecurity / data privacy community to facilitate ongoing security education and training for organizational personnel;
b. Ensuring contact is established and institutionalized with selected groups and associations within the cybersecurity / data privacy community to maintain currency with recommended security practices, techniques and technologies;
c. Ensuring contact is established and institutionalized with selected groups and associations within the cybersecurity / data privacy community to share current security information, including threats, vulnerabilities and incidents;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</si>
  <si>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ISACA enterprise membership; ISC2 enterprise programs; IAPP enterprise membership; Sector ISAC leadership participation; InfraGard and CISA partnership programs; Sector-specific policy engagement (FS-ISAC, NTIA, etc.).
In-scope requirement alignment: IEC 62443-2-1: EVENT 1.3 | NIST SP 800-82 R3 (Moderate OT overlay): PM-15 | DOE C2M2: PROGRAM-2j | NIST CSF 2.0: ID.RA-02 | NIST SP 800-53B Privacy: PM-15.
Validation: Annual conformity validation; evidence artifacts E-THR-02; PPTDF applicability: Process.</t>
  </si>
  <si>
    <t xml:space="preserve">EVENT 1.3</t>
  </si>
  <si>
    <t xml:space="preserve">PM-15</t>
  </si>
  <si>
    <t xml:space="preserve">PROGRAM-2j</t>
  </si>
  <si>
    <t xml:space="preserve">ID.RA-02</t>
  </si>
  <si>
    <t xml:space="preserve">5.6</t>
  </si>
  <si>
    <t xml:space="preserve">∙ ISACA enterprise membership (https://www.isaca.org)
∙ ISC2 enterprise programs (https://www.isc2.org)
∙ IAPP enterprise membership (https://iapp.org)
∙ Sector ISAC leadership participation
∙ InfraGard and CISA partnership programs
∙ Sector-specific policy engagement (FS-ISAC, NTIA, etc.)</t>
  </si>
  <si>
    <t xml:space="preserve">GOV-08</t>
  </si>
  <si>
    <t xml:space="preserve">Defining Business Context &amp; Mission</t>
  </si>
  <si>
    <t xml:space="preserve">Mechanisms exist to define the context of its business model and document the organization's mission.</t>
  </si>
  <si>
    <t xml:space="preserve">Does the organization define the context of its business model and document its mission?</t>
  </si>
  <si>
    <t xml:space="preserve">E-PRM-01</t>
  </si>
  <si>
    <t xml:space="preserve">NIST Cybersecurity Framework 2.0; NIST Privacy Framework 1.0</t>
  </si>
  <si>
    <t xml:space="preserve">The organization implements and operates mechanisms to define the context of its business model and document the organization's mission.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</si>
  <si>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the organization's mission is clearly defined and documented;
b. Ensuring the organization's executive leadership defines and documents a formal business strategy that is used to provide operational guidance to key business leaders across the organization;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</si>
  <si>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business context framework; Integrated ERM platform; Formal mission alignment review process; Strategic planning documentation.
In-scope requirement alignment: NIST CSF 2.0: GV.OC, GV.OC-01, GV.OC-04, GV.OV-01, GV.SC-03 | NIST Privacy Framework: ID.IM-P5, ID.BE-P1, ID.BE-P2, GV.RM-P3.
Validation: Annual conformity validation; evidence artifacts E-PRM-01; PPTDF applicability: Process.</t>
  </si>
  <si>
    <t xml:space="preserve">GV.OC, GV.OC-01, GV.OC-04, GV.OV-01, GV.SC-03</t>
  </si>
  <si>
    <t xml:space="preserve">ID.IM-P5, ID.BE-P1, ID.BE-P2, GV.RM-P3</t>
  </si>
  <si>
    <t xml:space="preserve">4.1, 4.2(a), 4.3, 5.1</t>
  </si>
  <si>
    <t xml:space="preserve">∙ Enterprise business context framework
∙ Integrated ERM platform
∙ Formal mission alignment review process
∙ Strategic planning documentation</t>
  </si>
  <si>
    <t xml:space="preserve">GOV-09</t>
  </si>
  <si>
    <t xml:space="preserve">Define Control Objectives</t>
  </si>
  <si>
    <t xml:space="preserve">Mechanisms exist to establish control objectives as the basis for the selection, implementation and management of the organization's internal security, compliance and resilience control system.</t>
  </si>
  <si>
    <t xml:space="preserve">Does the organization establish control objectives as the basis for the selection, implementation and management of its internal security, compliance and resilience control system?</t>
  </si>
  <si>
    <t xml:space="preserve">E-GOV-10</t>
  </si>
  <si>
    <t xml:space="preserve">NIST Cybersecurity Framework 2.0; ANSI/ISA-62443-3-2:2020</t>
  </si>
  <si>
    <t xml:space="preserve">The organization implements and operates mechanisms to establish control objectives as the basis for the selection, implementation and management of the organization's internal security, compliance and resilience control system.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</si>
  <si>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security and privacy-related control objectives are established as the basis for the selection, implementation and management of the organization's internal control system;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</si>
  <si>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GRC platform (e.g., ServiceNow GRC, RSA Archer); Control objectives library; Automated compliance mapping; Continuous control monitoring.
In-scope requirement alignment: NIST CSF 2.0: GV.SC-03 | ISA/IEC 62443-3-2: ZCR 6.7.
Validation: Annual conformity validation; evidence artifacts E-GOV-10; PPTDF applicability: Process.</t>
  </si>
  <si>
    <t xml:space="preserve">GV.SC-03</t>
  </si>
  <si>
    <t xml:space="preserve">4.1, 4.2, 4.2(b), 4.2(c), 5.2(b), 6.2, 6.2(a), 6.2(b), 6.2(c), 6.2(d), 6.2(e), 6.2(f), 6.2(g), 6.2(h), 6.2(i), 6.2(j), 6.2(k), 6.2(l)</t>
  </si>
  <si>
    <t xml:space="preserve">∙ Enterprise GRC platform (e.g., ServiceNow GRC, RSA Archer)
∙ Control objectives library
∙ Automated compliance mapping
∙ Continuous control monitoring</t>
  </si>
  <si>
    <t xml:space="preserve">GOV-10</t>
  </si>
  <si>
    <t xml:space="preserve">Data Governance</t>
  </si>
  <si>
    <t xml:space="preserve">Mechanisms exist to facilitate data governance to oversee the organization's policies, standards and procedures so that sensitive and/or regulated data is effectively managed and maintained in accordance with applicable statutory, regulatory and contractual obligations.</t>
  </si>
  <si>
    <t xml:space="preserve">Does the organization facilitate data governance to oversee its policies, standards and procedures so that sensitive and/or regulated data is effectively managed and maintained in accordance with applicable statutory, regulatory and contractual obligations?</t>
  </si>
  <si>
    <t xml:space="preserve">NIST SP 800-82 R3 - Moderate OT Overlay; NIST SP 800-53B R5 - Privacy baseline</t>
  </si>
  <si>
    <t xml:space="preserve">ProdDev</t>
  </si>
  <si>
    <t xml:space="preserve">The organization implements and operates mechanisms to facilitate data governance to oversee the organization's policies, standards and procedures so that sensitive and/or regulated data is effectively managed and maintained in accordance with applicable statutory, regulatory and contractual obligations.
Within the OT and AMI environment, this objective extends program governance to the OT and AMI environments so that IT, OT and field operations operate under one accountable program with shared policies, standards and reporting.</t>
  </si>
  <si>
    <t xml:space="preserve">OT Engineering and application development teams are responsible for:
a. Ensuring a data integrity board/function is established;
b. Ensuring the data integrity board/function reviews proposals to conduct or participate in a matching program;
c. Ensuring the data integrity board/function conducts an annual review of all matching programs in which the organization has participated;
d. Ensuring the roles of the organization's data governance body are defined;
e. Ensuring the responsibilities of the organization's data governance body are defined;
f. Ensuring the organization's data governance body has defined roles with established responsibilities;
g. Designating an executive sponsor and an OT Security Lead with documented authority over OT and AMI cyber risk decisions;
h. Integrating IEC 62443-2-1 security program requirements and applicable regulatory obligations (e.g., NERC CIP, state utility commission requirements) into program charters, policies and reporting; and
i.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</si>
  <si>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Chief Data Officer (CDO) with executive authority; Enterprise Data Governance Council; Enterprise data catalog, classification, and lineage platform (e.g., Collibra, Alation, Informatica); Data governance integrated with privacy, compliance, and risk programs.
In-scope requirement alignment: NIST SP 800-82 R3 (Moderate OT overlay): PM-23, PM-24 | NIST SP 800-53B Privacy: PM-23, PM-24.
Validation: Annual conformity validation; evidence artifacts to be defined; PPTDF applicability: Process.</t>
  </si>
  <si>
    <t xml:space="preserve">PM-23, PM-24</t>
  </si>
  <si>
    <t xml:space="preserve">5.12</t>
  </si>
  <si>
    <t xml:space="preserve">∙ Chief Data Officer (CDO) with executive authority
∙ Enterprise Data Governance Council
∙ Enterprise data catalog, classification, and lineage platform (e.g., Collibra, Alation, Informatica)
∙ Data governance integrated with privacy, compliance, and risk programs</t>
  </si>
  <si>
    <t xml:space="preserve">GOV-11</t>
  </si>
  <si>
    <t xml:space="preserve">Purpose Validation</t>
  </si>
  <si>
    <t xml:space="preserve">Mechanisms exist to monitor mission/business-critical Technology Assets, Applications and/or Services (TAAS) to ensure those resources are being used consistent with their intended purpose.</t>
  </si>
  <si>
    <t xml:space="preserve">Does the organization monitor mission/business-critical Technology Assets, Applications and/or Services (TAAS) to ensure those resources are being used consistent with their intended purpose?</t>
  </si>
  <si>
    <t xml:space="preserve">The organization implements and operates mechanisms to monitor mission/business-critical Technology Assets, Applications and/or Services (TAAS) to ensure those resources are being used consistent with their intended purpose.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</si>
  <si>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systems or system components supporting mission-essential services or functions are defined;
b. Ensuring systems or system components supporting mission-essential services or functions are analyzed to ensure that the information resources are being used in a manner that is consistent with their intended purpose;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</si>
  <si>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SIEM platform (e.g., Splunk, IBM QRadar); UEBA for anomaly detection; Asset inventory with purpose classification; Automated alerting for out-of-purpose usage.
In-scope requirement alignment: NIST SP 800-82 R3 (Moderate OT overlay): PM-32.
Validation: Annual conformity validation; evidence artifacts to be defined; PPTDF applicability: Process.</t>
  </si>
  <si>
    <t xml:space="preserve">PM-32</t>
  </si>
  <si>
    <t xml:space="preserve">∙ SIEM platform (e.g., Splunk, IBM QRadar)
∙ UEBA for anomaly detection
∙ Asset inventory with purpose classification
∙ Automated alerting for out-of-purpose usage</t>
  </si>
  <si>
    <t xml:space="preserve">GOV-14</t>
  </si>
  <si>
    <t xml:space="preserve">Business As Usual (BAU) Security, Compliance &amp; Resilience Practices</t>
  </si>
  <si>
    <t xml:space="preserve">Mechanisms exist to incorporate security, compliance and resilience principles into Business As Usual (BAU) practices through executive leadership involvement.</t>
  </si>
  <si>
    <t xml:space="preserve">Does the organization  incorporate security, compliance and resilience principles into Business As Usual (BAU) practices through executive leadership involvement?</t>
  </si>
  <si>
    <t xml:space="preserve">Line Management</t>
  </si>
  <si>
    <t xml:space="preserve">The organization implements and operates mechanisms to incorporate security, compliance and resilience principles into Business As Usual (BAU) practices through executive leadership involvement.
Within the OT and AMI environment, this objective extends program governance to the OT and AMI environments so that IT, OT and field operations operate under one accountable program with shared policies, standards and reporting.</t>
  </si>
  <si>
    <t xml:space="preserve">Line management across IT, OT and field operations is responsible for:
a. Ensuring the executive steering committee, or advisory board, directs organization leadership to incorporate cybersecurity / data privacy principles into Business As Usual (BAU) practices;
b. Ensuring cybersecurity incidents are reviewed to identify incidents that occurred due to cybersecurity / data privacy principles not being adopted as Business As Usual (BAU) practices;
c. Ensuring identified deficiencies of cybersecurity / data privacy principles not being adopted as Business As Usual (BAU) practices are tracked via a Plan of Action and Milestones (POA&amp;M), or risk register, through remediation;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</si>
  <si>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ComplianceForge - Cybersecurity Standardized Operating Procedures (CSOP).
In-scope requirement alignment: NIST Privacy Framework: GV.PO-P2.
Validation: Annual conformity validation; evidence artifacts to be defined; PPTDF applicability: Process.</t>
  </si>
  <si>
    <t xml:space="preserve">GV.PO-P2</t>
  </si>
  <si>
    <t xml:space="preserve">∙ ComplianceForge - Cybersecurity Standardized Operating Procedures (CSOP) (https://complianceforge.com)</t>
  </si>
  <si>
    <t xml:space="preserve">GOV-15</t>
  </si>
  <si>
    <t xml:space="preserve">Operationalizing Security, Compliance &amp; Resilience Capabilities</t>
  </si>
  <si>
    <t xml:space="preserve">Mechanisms exist to compel data and/or process owners to operationalize security, compliance and resilience practices for Technology Assets, Applications, Services and/or Data (TAASD) under their control.</t>
  </si>
  <si>
    <t xml:space="preserve">Does the organization compel data and/or process owners to operationalize security, compliance and resilience practices for Technology Assets, Applications, Services and/or Data (TAASD) under their control?</t>
  </si>
  <si>
    <t xml:space="preserve">E-GOV-19</t>
  </si>
  <si>
    <t xml:space="preserve">DOE Cybersecurity Capability Maturity Model; NIST Privacy Framework 1.0</t>
  </si>
  <si>
    <t xml:space="preserve">The organization implements and operates mechanisms to compel data and/or process owners to operationalize security, compliance and resilience practices for Technology Assets, Applications, Services and/or Data (TAASD) under their control.
Within the OT and AMI environment, this objective extends program governance to the OT and AMI environments so that IT, OT and field operations operate under one accountable program with shared policies, standards and reporting.</t>
  </si>
  <si>
    <t xml:space="preserve">Line management across IT, OT and field operations is responsible for:
a. Ensuring roles and responsibilities exist to compel data and/or process owners to operationalize cybersecurity / data privacy practices for each system, application and/or service under their control;
b. Ensuring Individual Contributor (IC) performance reviews cover how data and/or process owners operationalized cybersecurity / data privacy practices for each system, application and/or service under their control;
c. Ensuring organization-defined systems security engineering principles are applied to the development or modification of the system and system components;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</si>
  <si>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ComplianceForge - Cybersecurity Standardized Operating Procedures (CSOP).
In-scope requirement alignment: DOE C2M2: ARCHITECTURE-1f | NIST Privacy Framework: GV.PO-P2.
Validation: Annual conformity validation; evidence artifacts E-GOV-19; PPTDF applicability: Process.</t>
  </si>
  <si>
    <t xml:space="preserve">ARCHITECTURE-1f</t>
  </si>
  <si>
    <t xml:space="preserve">GOV-15.1</t>
  </si>
  <si>
    <t xml:space="preserve">Select Controls</t>
  </si>
  <si>
    <t xml:space="preserve">Mechanisms exist to compel data and/or process owners to select required security, compliance and resilience controls for Technology Assets, Applications, Services and/or Data (TAASD) under their control.</t>
  </si>
  <si>
    <t xml:space="preserve">Does the organization compel data and/or process owners to select required security, compliance and resilience controls for Technology Assets, Applications, Services and/or Data (TAASD) under their control?</t>
  </si>
  <si>
    <t xml:space="preserve">DOE Cybersecurity Capability Maturity Model</t>
  </si>
  <si>
    <t xml:space="preserve">IT Ops - Shared</t>
  </si>
  <si>
    <t xml:space="preserve">The organization implements and operates mechanisms to compel data and/or process owners to select required security, compliance and resilience controls for Technology Assets, Applications, Services and/or Data (TAASD) under their control.
Within the OT and AMI environment, this objective extends program governance to the OT and AMI environments so that IT, OT and field operations operate under one accountable program with shared policies, standards and reporting.</t>
  </si>
  <si>
    <t xml:space="preserve">IT Operations and OT Operations are jointly responsible for:
a. Ensuring roles and responsibilities exist to compel data and/or process owners to select required cybersecurity / data privacy controls for each system, application and/or service under their control;
b. Ensuring Individual Contributor (IC) performance reviews cover how data and/or process owners select required cybersecurity / data privacy controls for each system, application and/or service under their control;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</si>
  <si>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Security, Compliance &amp; Resilience Management System (SCRMS).
In-scope requirement alignment: DOE C2M2: ARCHITECTURE-1f, ARCHITECTURE-1g.
Validation: Annual conformity validation; evidence artifacts to be defined; PPTDF applicability: Process.</t>
  </si>
  <si>
    <t xml:space="preserve">ARCHITECTURE-1f, ARCHITECTURE-1g</t>
  </si>
  <si>
    <t xml:space="preserve">∙ SCF Security, Compliance &amp; Resilience Management System (SCRMS)</t>
  </si>
  <si>
    <t xml:space="preserve">GOV-15.4</t>
  </si>
  <si>
    <t xml:space="preserve">Authorize Technology Assets, Applications and/or Services (TAAS)</t>
  </si>
  <si>
    <t xml:space="preserve">Mechanisms exist to compel data and/or process owners to obtain authorization for the production use of each Technology Asset, Application and/or Service (TAAS) under their control.</t>
  </si>
  <si>
    <t xml:space="preserve">Does the organization compel data and/or process owners to obtain authorization for the production use of each Technology Asset, Application and/or Service (TAAS) under their control?</t>
  </si>
  <si>
    <t xml:space="preserve">ANSI/ISA-62443-3-2:2020</t>
  </si>
  <si>
    <t xml:space="preserve">IT PMO</t>
  </si>
  <si>
    <t xml:space="preserve">The organization implements and operates mechanisms to compel data and/or process owners to obtain authorization for the production use of each Technology Asset, Application and/or Service (TAAS) under their control.
Within the OT and AMI environment, this objective extends program governance to the OT and AMI environments so that IT, OT and field operations operate under one accountable program with shared policies, standards and reporting.</t>
  </si>
  <si>
    <t xml:space="preserve">The Project Management Office (PMO), including OT and AMI program managers, is responsible for:
a. Ensuring roles and responsibilities exist to compel data and/or process owners to obtain authorization for the production use of each system, application and/or service under their control;
b. Ensuring Individual Contributor (IC) performance reviews cover how data and/or process owners obtain authorization for the production use of each system, application and/or service under their control;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</si>
  <si>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Security, Compliance &amp; Resilience Management System (SCRMS).
In-scope requirement alignment: ISA/IEC 62443-3-2: ZCR 7.1.
Validation: Annual conformity validation; evidence artifacts to be defined; PPTDF applicability: Process.</t>
  </si>
  <si>
    <t xml:space="preserve">ZCR 7.1</t>
  </si>
  <si>
    <t xml:space="preserve">GOV-16</t>
  </si>
  <si>
    <t xml:space="preserve">Materiality Determination</t>
  </si>
  <si>
    <t xml:space="preserve">Mechanisms exist to define materiality threshold criteria capable of designating an incident as material.</t>
  </si>
  <si>
    <t xml:space="preserve">Does the organization define materiality threshold criteria capable of designating an incident as material?</t>
  </si>
  <si>
    <t xml:space="preserve">E-GOV-14</t>
  </si>
  <si>
    <t xml:space="preserve">Legal</t>
  </si>
  <si>
    <t xml:space="preserve">The organization implements and operates mechanisms to define materiality threshold criteria capable of designating an incident as material.
Within the OT and AMI environment, this objective extends program governance to the OT and AMI environments so that IT, OT and field operations operate under one accountable program with shared policies, standards and reporting.</t>
  </si>
  <si>
    <t xml:space="preserve">Legal and the Privacy Officer are responsible for:
a. Ensuring organization-specific criteria to define a materiality threshold capable of designating an incident as material is documented;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</si>
  <si>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Secure, Compliant &amp; Resilient (SCR) Risk Management Model (SCR-RMM); Enterprise materiality determination framework (SEC Item 1.05, PCAOB, SOX alignment); Board-approved materiality thresholds with regular review cycle; Automated materiality scoring integrated with incident response workflows.
In-scope requirement alignment: NIST CSF 2.0: DE.AE-04.
Validation: Annual conformity validation; evidence artifacts E-GOV-14; PPTDF applicability: Process.</t>
  </si>
  <si>
    <t xml:space="preserve">DE.AE-04</t>
  </si>
  <si>
    <t xml:space="preserve">∙ SCF Secure, Compliant &amp; Resilient (SCR) Risk Management Model (SCR-RMM) (https://securecontrolsframework.com/risk-management-model)
∙ Enterprise materiality determination framework (SEC Item 1.05, PCAOB, SOX alignment)
∙ Board-approved materiality thresholds with regular review cycle
∙ Automated materiality scoring integrated with incident response workflows</t>
  </si>
  <si>
    <t xml:space="preserve">GOV-16.1</t>
  </si>
  <si>
    <t xml:space="preserve">Material Risks</t>
  </si>
  <si>
    <t xml:space="preserve">Mechanisms exist to define criteria necessary to designate a risk as a material risk.</t>
  </si>
  <si>
    <t xml:space="preserve">Does the organization define criteria necessary to designate a risk as a material risk?</t>
  </si>
  <si>
    <t xml:space="preserve">E-GOV-15</t>
  </si>
  <si>
    <t xml:space="preserve">The organization implements and operates mechanisms to define criteria necessary to designate a risk as a material risk.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</si>
  <si>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organization-specific criteria to designate a risk as a "material risk," as it pertains to materiality considerations, is documented;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</si>
  <si>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Secure, Compliant &amp; Resilient (SCR) Risk Management Model (SCR-RMM); Enterprise material risk framework aligned to SEC, SOX, and applicable regulators; Quantitative risk analysis (e.g., FAIR methodology); Automated material risk identification and escalation.
In-scope requirement alignment: CSA IoT SCF: RSM-01.
Validation: Annual conformity validation; evidence artifacts E-GOV-15; PPTDF applicability: Process.</t>
  </si>
  <si>
    <t xml:space="preserve">RSM-01</t>
  </si>
  <si>
    <t xml:space="preserve">∙ SCF Secure, Compliant &amp; Resilient (SCR) Risk Management Model (SCR-RMM) (https://securecontrolsframework.com/risk-management-model)
∙ Enterprise material risk framework aligned to SEC, SOX, and applicable regulators
∙ Quantitative risk analysis (e.g., FAIR methodology)
∙ Automated material risk identification and escalation</t>
  </si>
  <si>
    <t xml:space="preserve">GOV-16.2</t>
  </si>
  <si>
    <t xml:space="preserve">Material Threats</t>
  </si>
  <si>
    <t xml:space="preserve">Mechanisms exist to define criteria necessary to designate a threat as a material threat.</t>
  </si>
  <si>
    <t xml:space="preserve">Does the organization define criteria necessary to designate a threat as a material threat?</t>
  </si>
  <si>
    <t xml:space="preserve">E-GOV-16</t>
  </si>
  <si>
    <t xml:space="preserve">The organization implements and operates mechanisms to define criteria necessary to designate a threat as a material threat.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</si>
  <si>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organization-specific criteria to designate a threat as a "material threat," as it pertains to materiality considerations, is documented;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</si>
  <si>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Secure, Compliant &amp; Resilient (SCR) Risk Management Model (SCR-RMM); Enterprise material threat framework integrated with SEC disclosure process; Dedicated threat intelligence platform (e.g., Recorded Future, Mandiant Threat Intelligence); Board-level material threat reporting cadence.
In-scope requirement alignment: CSA IoT SCF: RSM-01.
Validation: Annual conformity validation; evidence artifacts E-GOV-16; PPTDF applicability: Process.</t>
  </si>
  <si>
    <t xml:space="preserve">∙ SCF Secure, Compliant &amp; Resilient (SCR) Risk Management Model (SCR-RMM) (https://securecontrolsframework.com/risk-management-model)
∙ Enterprise material threat framework integrated with SEC disclosure process
∙ Dedicated threat intelligence platform (e.g., Recorded Future, Mandiant Threat Intelligence)
∙ Board-level material threat reporting cadence</t>
  </si>
  <si>
    <t xml:space="preserve">AST-01</t>
  </si>
  <si>
    <t xml:space="preserve">Asset Governance</t>
  </si>
  <si>
    <t xml:space="preserve">Asset Management</t>
  </si>
  <si>
    <t xml:space="preserve">AST</t>
  </si>
  <si>
    <t xml:space="preserve">Mechanisms exist to facilitate an IT Asset Management (ITAM) program to implement and manage asset management controls.</t>
  </si>
  <si>
    <t xml:space="preserve">Does the organization facilitate an IT Asset Management (ITAM) program to implement and manage asset management controls?</t>
  </si>
  <si>
    <t xml:space="preserve">E-AST-01</t>
  </si>
  <si>
    <t xml:space="preserve">NIST SP 800-82 R3 - Moderate OT Overlay; NERC CIP; CISA Cross-Sector Cybersecurity Performance Goals; NIST Cybersecurity Framework 2.0; DOE Cybersecurity Capability Maturity Model; CSA IoT Security Controls Framework v2; NIST Privacy Framework 1.0; NIST SP 800-53B R5 - Privacy baseline; ANSI/ISA-62443-3-2:2020</t>
  </si>
  <si>
    <t xml:space="preserve">Director, IT Infrastructure &amp; Asset Management</t>
  </si>
  <si>
    <t xml:space="preserve">Manager, OT Asset Management / AMI Field Operations</t>
  </si>
  <si>
    <t xml:space="preserve">AMI vendor (head-end system); meter manufacturer; OT asset discovery tool vendor</t>
  </si>
  <si>
    <t xml:space="preserve">The organization shall maintain accurate, authoritative inventories of all technology assets across enterprise IT, OT and AMI, including meters, collectors, gateways, RTUs, PLCs, HMIs, engineering workstations and head-end systems. Asset management shall identify ownership, criticality, zone assignment and interdependencies so that risk, change, vulnerability and incident processes operate on complete and trusted asset data.</t>
  </si>
  <si>
    <t xml:space="preserve">The organization implements and operates mechanisms to facilitate an IT Asset Management (ITAM) program to implement and manage asset management controls.
Within the OT and AMI environment, this objective applies to OT and AMI assets, including field devices that cannot be actively scanned, and supports the definition of the System Under Consideration (SUC), zones and conduits required by ISA/IEC 62443-3-2.</t>
  </si>
  <si>
    <t xml:space="preserve">The Chief Information Security Officer (CISO), in coordination with the OT Security Lead, is responsible for:
a. Ensuring an authoritative source and repository are established to provide a trusted source and accountability for approved and implemented systems and system components;
b. Ensuring the frequency at which to review / update the system and system component inventory is defined;
c. Ensuring an inventory of systems and system components that is at the level of granularity deemed necessary for tracking and reporting is developed and documented;
d. Ensuring IT Asset Management (ITAM) operations are conducted according to documented policies, standards, procedures and/or other organizational directives;
e. Ensuring adequate resources (e.g., people, processes, technologies, data and/or facilities) are provided to support IT Asset Management (ITAM) operations;
f. Ensuring responsibility and authority for the performance of IT Asset Management (ITAM)-related activities are assigned to designated personnel;
g. Ensuring personnel performing IT Asset Management (ITAM)-related activities have the skills and knowledge needed to perform their assigned duties;
h. Maintaining an OT and AMI asset inventory that records device type, firmware version, physical location, zone and conduit assignment, criticality and the accountable owner;
i. Using passive discovery, head-end system records and field work-order data to maintain inventory accuracy for devices that cannot be actively scanned; and
j.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</si>
  <si>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Enterprise CMDB (e.g., ServiceNow CMDB, BMC Helix CMDB); ITAM integrated with GRC, procurement, and HR systems.
In-scope requirement alignment: NIST SP 800-82 R3 (Moderate OT overlay): PM-05 | NERC CIP: CIP-003-8 1.1, CIP-003-8 1.2.5, CIP-003-8 R2, CIP-011-3 R1, CIP-011-3 1.2 | CISA CPG: 1.A | DOE C2M2: ASSET-1d, ASSET-1h, ASSET-2e | NIST CSF 2.0: GV.SC-04, ID.AM, ID.AM-08 | CSA IoT SCF: ASM-02 | NIST Privacy Framework: ID.IM-P, PR.DS-P3 | NIST SP 800-53B Privacy: PM-05 | ISA/IEC 62443-3-2: ZCR 1.1.
Validation: Annual conformity validation; evidence artifacts E-AST-01; PPTDF applicability: Process.</t>
  </si>
  <si>
    <t xml:space="preserve">ZCR 1.1</t>
  </si>
  <si>
    <t xml:space="preserve">PM-05</t>
  </si>
  <si>
    <t xml:space="preserve">CIP-003-8 1.1, CIP-003-8 1.2.5, CIP-003-8 R2, CIP-011-3 R1, CIP-011-3 1.2</t>
  </si>
  <si>
    <t xml:space="preserve">1.A</t>
  </si>
  <si>
    <t xml:space="preserve">ASSET-1d, ASSET-1h, ASSET-2e</t>
  </si>
  <si>
    <t xml:space="preserve">GV.SC-04, ID.AM, ID.AM-08</t>
  </si>
  <si>
    <t xml:space="preserve">ASM-02</t>
  </si>
  <si>
    <t xml:space="preserve">ID.IM-P, PR.DS-P3</t>
  </si>
  <si>
    <t xml:space="preserve">5.30, 5.31, 7.9</t>
  </si>
  <si>
    <t xml:space="preserve">NIST Tenet 1, NIST Tenet 5</t>
  </si>
  <si>
    <t xml:space="preserve">∙ IT Asset Management (ITAM) program
∙ Enterprise CMDB (e.g., ServiceNow CMDB, BMC Helix CMDB)
∙ ITAM integrated with GRC, procurement, and HR systems</t>
  </si>
  <si>
    <t xml:space="preserve">AST-01.1</t>
  </si>
  <si>
    <t xml:space="preserve">Asset-Service Dependencies</t>
  </si>
  <si>
    <t xml:space="preserve">Identify</t>
  </si>
  <si>
    <t xml:space="preserve">Mechanisms exist to identify and assess the security of Technology Assets, Applications and/or Services (TAAS) that support more than one critical business function.</t>
  </si>
  <si>
    <t xml:space="preserve">Does the organization identify and assess the security of Technology Assets, Applications and/or Services (TAAS) that support more than one critical business function?</t>
  </si>
  <si>
    <t xml:space="preserve">E-BCM-09</t>
  </si>
  <si>
    <t xml:space="preserve">NERC CIP; NIST Cybersecurity Framework 2.0; DOE Cybersecurity Capability Maturity Model; NIST Privacy Framework 1.0</t>
  </si>
  <si>
    <t xml:space="preserve">IT Ops</t>
  </si>
  <si>
    <t xml:space="preserve">The organization implements and operates mechanisms to identify and assess the security of Technology Assets, Applications and/or Services (TAAS) that support more than one critical business function.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</si>
  <si>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asset-service dependencies are identified and documented;
b. Ensuring asset-service dependencies are assessed to evaluate cybersecurity / data privacy concerns for technology assets that support more than one critical business function;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</si>
  <si>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NERC CIP: CIP-011-3 1.2 | DOE C2M2: ASSET-1a, RISK-2m, THIRD-PARTIES-1a | NIST CSF 2.0: GV.OC, GV.SC-04, ID.AM | NIST Privacy Framework: ID.IM-P8.
Validation: Annual conformity validation; evidence artifacts E-BCM-09; PPTDF applicability: Process.</t>
  </si>
  <si>
    <t xml:space="preserve">CIP-011-3 1.2</t>
  </si>
  <si>
    <t xml:space="preserve">ASSET-1a, RISK-2m, THIRD-PARTIES-1a</t>
  </si>
  <si>
    <t xml:space="preserve">GV.OC, GV.SC-04, ID.AM</t>
  </si>
  <si>
    <t xml:space="preserve">ID.IM-P8</t>
  </si>
  <si>
    <t xml:space="preserve">5.9, 5.30</t>
  </si>
  <si>
    <t xml:space="preserve">NIST Tenet 1</t>
  </si>
  <si>
    <t xml:space="preserve">∙ IT Asset Management (ITAM) program
∙ Configuration Management Database (CMDB)</t>
  </si>
  <si>
    <t xml:space="preserve">AST-01.2</t>
  </si>
  <si>
    <t xml:space="preserve">Stakeholder Identification &amp; Involvement</t>
  </si>
  <si>
    <t xml:space="preserve">Mechanisms exist to identify and involve pertinent stakeholders of critical Technology Assets, Applications, Services and/or Data (TAASD) to support the ongoing secure management of those assets.</t>
  </si>
  <si>
    <t xml:space="preserve">Does the organization identify and involve pertinent stakeholders of critical Technology Assets, Applications, Services and/or Data (TAASD) to support the ongoing secure management of those assets?</t>
  </si>
  <si>
    <t xml:space="preserve">E-CPL-03</t>
  </si>
  <si>
    <t xml:space="preserve">NERC CIP; NIST Cybersecurity Framework 2.0; NIST Privacy Framework 1.0</t>
  </si>
  <si>
    <t xml:space="preserve">The organization implements and operates mechanisms to identify and involve pertinent stakeholders of critical Technology Assets, Applications, Services and/or Data (TAASD) to support the ongoing secure management of those assets.
Within the OT and AMI environment, this objective applies to OT and AMI assets, including field devices that cannot be actively scanned, and supports the definition of the System Under Consideration (SUC), zones and conduits required by ISA/IEC 62443-3-2.</t>
  </si>
  <si>
    <t xml:space="preserve">Line management across IT, OT and field operations is responsible for:
a. Ensuring pertinent stakeholders of critical systems, applications and services are identified and documented;
b. Ensuring pertinent stakeholders of critical systems, applications and services are involved in supporting the ongoing secure management of those assets;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</si>
  <si>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System Security &amp; Privacy Plan (SSPP).
In-scope requirement alignment: NERC CIP: CIP-003-8 R3 | NIST CSF 2.0: GV.OC, GV.OC-02, ID.AM, ID.AM-08 | NIST Privacy Framework: ID.IM-P8.
Validation: Annual conformity validation; evidence artifacts E-CPL-03; PPTDF applicability: Process.</t>
  </si>
  <si>
    <t xml:space="preserve">CIP-003-8 R3</t>
  </si>
  <si>
    <t xml:space="preserve">GV.OC, GV.OC-02, ID.AM, ID.AM-08</t>
  </si>
  <si>
    <t xml:space="preserve">4.2, 4.2(a)</t>
  </si>
  <si>
    <t xml:space="preserve">5.9</t>
  </si>
  <si>
    <t xml:space="preserve">∙ System Security &amp; Privacy Plan (SSPP)</t>
  </si>
  <si>
    <t xml:space="preserve">AST-01.3</t>
  </si>
  <si>
    <t xml:space="preserve">Standardized Naming Convention</t>
  </si>
  <si>
    <t xml:space="preserve">Mechanisms exist to implement a scalable, standardized naming convention for Technology Assets, Applications, Services and/or Data (TAASD) that avoids asset naming conflicts.</t>
  </si>
  <si>
    <t xml:space="preserve">Does the organization implement a scalable, standardized naming convention for Technology Assets, Applications, Services and/or Data (TAASD) that avoids asset naming conflicts?</t>
  </si>
  <si>
    <t xml:space="preserve">The organization implements and operates mechanisms to implement a scalable, standardized naming convention for Technology Assets, Applications, Services and/or Data (TAASD) that avoids asset naming conflicts.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</si>
  <si>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 scalable, standardized naming convention exists for systems, applications and services that avoids asset naming conflicts;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</si>
  <si>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In-scope requirement alignment: CSA IoT SCF: ASM-04.
Validation: Annual conformity validation; evidence artifacts to be defined; PPTDF applicability: Process.</t>
  </si>
  <si>
    <t xml:space="preserve">ASM-04</t>
  </si>
  <si>
    <t xml:space="preserve">∙ IT Asset Management (ITAM) program</t>
  </si>
  <si>
    <t xml:space="preserve">AST-01.5</t>
  </si>
  <si>
    <t xml:space="preserve">Authorized To Connect</t>
  </si>
  <si>
    <t xml:space="preserve">Mechanisms exist to maintain a list of Technology Asset, Application and/or Service (TAAS) that are authorized to connect to organizational Technology Assets, Applications, Services and/or Data (TAASD).</t>
  </si>
  <si>
    <t xml:space="preserve">Does the organization maintain a list of Technology Asset, Application and/or Service (TAAS) that are authorized to connect to organizational Technology Assets, Applications, Services and/or Data (TAASD)?</t>
  </si>
  <si>
    <t xml:space="preserve">Quarterly</t>
  </si>
  <si>
    <t xml:space="preserve">E-AST-29</t>
  </si>
  <si>
    <t xml:space="preserve">The organization implements and operates mechanisms to maintain a list of Technology Asset, Application and/or Service (TAAS) that are authorized to connect to organizational Technology Assets, Applications, Services and/or Data (TAASD).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</si>
  <si>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Technology Asset, Application and/or Service (TAAS) that are authorized to connect to organizational Technology Assets, Applications, Services and/or Data (TAASD) are identified;
b. Ensuring Identity &amp; Access Management (IAM) personnel maintain a list of TAAS that are authorized to connect to organizational TAASD;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</si>
  <si>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Enterprise CMDB (e.g., ServiceNow); Automated network discovery; Asset lifecycle management.
In-scope requirement alignment: ISA/IEC 62443-3-2: ZCR 3.4.
Validation: Quarterly conformity validation; evidence artifacts E-AST-29; PPTDF applicability: Process.</t>
  </si>
  <si>
    <t xml:space="preserve">ZCR 3.4</t>
  </si>
  <si>
    <t xml:space="preserve">∙ Enterprise CMDB (e.g., ServiceNow)
∙ Automated network discovery
∙ Asset lifecycle management</t>
  </si>
  <si>
    <t xml:space="preserve">AST-02</t>
  </si>
  <si>
    <t xml:space="preserve">Asset Inventories</t>
  </si>
  <si>
    <t xml:space="preserve">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</si>
  <si>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 xml:space="preserve">Does the organization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</si>
  <si>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 xml:space="preserve">E-AST-04, E-AST-05, E-AST-07, E-AST-28</t>
  </si>
  <si>
    <t xml:space="preserve">IEC 62443-2-1:2024; IEC 62443-3-3:2013; IEC 62443-4-2:2019; NIST SP 800-82 R3 - Moderate OT Overlay; NERC CIP; CISA Cross-Sector Cybersecurity Performance Goals; NIST Cybersecurity Framework 2.0; DOE Cybersecurity Capability Maturity Model; CSA IoT Security Controls Framework v2; NIST SP 800-161 R1 - C-SCRM Baseline; NIST Privacy Framework 1.0; NIST SP 800-53B R5 - Privacy baseline; ANSI/ISA-62443-3-2:2020</t>
  </si>
  <si>
    <t xml:space="preserve">AMI Endpoint / Field Device; OT Core</t>
  </si>
  <si>
    <t xml:space="preserve">The organization implements and operates mechanisms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</si>
  <si>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 documented, up-to-date, complete, accurate and readily available inventory of systems and system components exists;
b. Ensuring the system inventory includes hardware, software, firmware and documentation;
c. Ensuring the inventory is maintained (reviewed / updated) throughout the system development life cycle;
d. Ensuring approved systems and system components are identified;
e. Ensuring the frequency at which to review and update the system component inventory is defined;
f. Ensuring an inventory of system components is developed and documented;
g. Ensuring information deemed necessary to achieve effective systems and system component accountability is defined;
h. Ensuring the frequency at which to update the inventory of systems and system components is defined;
i. Maintaining an inventory of OT and AMI assets (meters, collectors, gateways, RTUs, PLCs, HMIs, engineering workstations, historians, head-end and MDM servers, network and security devices) that records owner, location, firmware version, zone/conduit assignment and criticality; and
j. Reconciling the OT and AMI inventory with the AMI head-end and the enterprise CMDB at least quarterly and after deployment campaigns.</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</si>
  <si>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Enterprise ITAM solution (e.g., Ivanti, Snow Software, Flexera); Configuration Management Database (CMDB) (e.g., ServiceNow CMDB); Automated asset discovery integrated with vulnerability management; CIS Control 1 &amp; 2 alignment.
In-scope requirement alignment: IEC 62443-2-1: CM 1.1, CM 1.1(a), CM 1.1(b), CM 1.1(c), CM 1.1(d), CM 1.1(e), CM 1.1(f), CM 1.1(g), CM 1.1(h), CM 1.1(i) | IEC 62443-3-3: SR 7.8 | IEC 62443-4-2: CR 7.8 | NIST SP 800-82 R3 (Moderate OT overlay): CM-08, PM-05 | NERC CIP: CIP-011-3 1.1 | CISA CPG: 1.A | DOE C2M2: ASSET-1a, ASSET-1b, ASSET-1d, ASSET-1e, ASSET-1f, ASSET-1g, ASSET-2a, ASSET-2b, ASSET-2f, ASSET-2g, RISK-2h | NIST CSF 2.0: ID.AM, ID.AM-01, ID.AM-02 | NIST SP 800-161 R1 C-SCRM: CM-8 | CSA IoT SCF: ASM-01, SNT-04 | NIST Privacy Framework: ID.IM-P1 | NIST SP 800-53B Privacy: CM-08, PM-05 | ISA/IEC 62443-3-2: ZCR 1.1.
Validation: Annual conformity validation; evidence artifacts E-AST-04, E-AST-05, E-AST-07, E-AST-28; PPTDF applicability: Process.</t>
  </si>
  <si>
    <t xml:space="preserve">CM 1.1, CM 1.1(a), CM 1.1(b), CM 1.1(c), CM 1.1(d), CM 1.1(e), CM 1.1(f), CM 1.1(g), CM 1.1(h), CM 1.1(i)</t>
  </si>
  <si>
    <t xml:space="preserve">SR 7.8</t>
  </si>
  <si>
    <t xml:space="preserve">CR 7.8</t>
  </si>
  <si>
    <t xml:space="preserve">CM-08, PM-05</t>
  </si>
  <si>
    <t xml:space="preserve">CIP-011-3 1.1</t>
  </si>
  <si>
    <t xml:space="preserve">ASSET-1a, ASSET-1b, ASSET-1d, ASSET-1e, ASSET-1f, ASSET-1g, ASSET-2a, ASSET-2b, ASSET-2f, ASSET-2g, RISK-2h</t>
  </si>
  <si>
    <t xml:space="preserve">ID.AM, ID.AM-01, ID.AM-02</t>
  </si>
  <si>
    <t xml:space="preserve">CM-8</t>
  </si>
  <si>
    <t xml:space="preserve">ASM-01, SNT-04</t>
  </si>
  <si>
    <t xml:space="preserve">ID.IM-P1</t>
  </si>
  <si>
    <t xml:space="preserve">SG.CM Configuration Management; SG.PM Security Program Management</t>
  </si>
  <si>
    <t xml:space="preserve">∙ IT Asset Management (ITAM) program
∙ Enterprise ITAM solution (e.g., Ivanti, Snow Software, Flexera)
∙ Configuration Management Database (CMDB) (e.g., ServiceNow CMDB)
∙ Automated asset discovery integrated with vulnerability management
∙ CIS Control 1 &amp; 2 alignment</t>
  </si>
  <si>
    <t xml:space="preserve">AST-02.1</t>
  </si>
  <si>
    <t xml:space="preserve">Updates During Installations / Removals</t>
  </si>
  <si>
    <t xml:space="preserve">Mechanisms exist to update asset inventories as part of component installations, removals and asset upgrades.</t>
  </si>
  <si>
    <t xml:space="preserve">Does the organization update asset inventories as part of component installations, removals and asset upgrades?</t>
  </si>
  <si>
    <t xml:space="preserve">NIST SP 800-82 R3 - Moderate OT Overlay; NIST SP 800-53B R5 - Moderate baseline; DOE Cybersecurity Capability Maturity Model</t>
  </si>
  <si>
    <t xml:space="preserve">The organization implements and operates mechanisms to update asset inventories as part of component installations, removals and asset upgrades.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</si>
  <si>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the system component inventory is updated as part of component installations;
b. Ensuring the system component inventory is updated as part of component removals;
c. Ensuring the system component inventory is updated as part of system updates;
d. Maintaining an OT and AMI asset inventory that records device type, firmware version, physical location, zone and conduit assignment, criticality and the accountable owner;
e. Using passive discovery, head-end system records and field work-order data to maintain inventory accuracy for devices that cannot be actively scanned; and
f.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</si>
  <si>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Configuration Management Database (CMDB).
In-scope requirement alignment: NIST SP 800-82 R3 (Moderate OT overlay): CM-08(01) | DOE C2M2: ASSET-2g | NIST SP 800-53B Moderate: CM-08(01).
Validation: Annual conformity validation; evidence artifacts to be defined; PPTDF applicability: Process.</t>
  </si>
  <si>
    <t xml:space="preserve">CM-08(01)</t>
  </si>
  <si>
    <t xml:space="preserve">ASSET-2g</t>
  </si>
  <si>
    <t xml:space="preserve">SG.CM Configuration Management</t>
  </si>
  <si>
    <t xml:space="preserve">∙ Configuration Management Database (CMDB)</t>
  </si>
  <si>
    <t xml:space="preserve">AST-02.2</t>
  </si>
  <si>
    <t xml:space="preserve">Automated Unauthorized Component Detection</t>
  </si>
  <si>
    <t xml:space="preserve">Detect</t>
  </si>
  <si>
    <t xml:space="preserve">Automated mechanisms exist to detect and alert upon the detection of unauthorized hardware, software and firmware components.</t>
  </si>
  <si>
    <t xml:space="preserve">Does the organization use automated mechanisms to detect and alert upon the detection of unauthorized hardware, software and firmware components?</t>
  </si>
  <si>
    <t xml:space="preserve">Technology</t>
  </si>
  <si>
    <t xml:space="preserve">IEC 62443-2-1:2024; NIST SP 800-82 R3 - Moderate OT Overlay; NIST SP 800-53B R5 - Moderate baseline; CSA IoT Security Controls Framework v2; NIST SP 800-53B R5 - Privacy baseline</t>
  </si>
  <si>
    <t xml:space="preserve">MSSP</t>
  </si>
  <si>
    <t xml:space="preserve">Technical</t>
  </si>
  <si>
    <t xml:space="preserve">The organization implements and operates automated mechanisms to detect and alert upon the detection of unauthorized hardware, software and firmware components.
Within the OT and AMI environment, this objective applies to OT and AMI assets, including field devices that cannot be actively scanned, and supports the definition of the System Under Consideration (SUC), zones and conduits required by ISA/IEC 62443-3-2.</t>
  </si>
  <si>
    <t xml:space="preserve">The Managed Security Service Provider (MSSP), under the oversight of the Security Operations function and with OT visibility requirements, is responsible for:
a. Ensuring automated mechanisms used to detect the presence of unauthorized hardware within the system are defined;
b. Ensuring the frequency at which automated mechanisms are used to detect the presence of unauthorized hardware, software and/or firmware within the system is defined;
c. Ensuring automated mechanisms disable network access by unauthorized components, isolate unauthorized components and/or notify organization-defined personnel or roles;
d. Ensuring personnel or roles to be notified when unauthorized components are detected is/are defined;
e. Ensuring organization-defined actions are taken when unauthorized hardware, software and/or firmware is/are detected;
f. Maintaining an OT and AMI asset inventory that records device type, firmware version, physical location, zone and conduit assignment, criticality and the accountable owner;
g. Using passive discovery, head-end system records and field work-order data to maintain inventory accuracy for devices that cannot be actively scanned; and
h.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</si>
  <si>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Enterprise asset discovery with continuous monitoring (e.g., Qualys CSAM, Tenable.io); Network Access Control (NAC) integration; DHCP + SIEM correlation for unauthorized device alerting; CimTrak Integrity Suite; CIS Control 1 automated asset discovery alignment.
In-scope requirement alignment: IEC 62443-2-1: ORG 2.2(a) | NIST SP 800-82 R3 (Moderate OT overlay): CM-08(03) | NIST SP 800-53B Moderate: CM-08(03) | CSA IoT SCF: SNT-04 | NIST SP 800-53B Privacy: CM-08(03).
Validation: Quarterly conformity validation; evidence artifacts to be defined; PPTDF applicability: Technology.</t>
  </si>
  <si>
    <t xml:space="preserve">ORG 2.2(a)</t>
  </si>
  <si>
    <t xml:space="preserve">CM-08(03)</t>
  </si>
  <si>
    <t xml:space="preserve">SNT-04</t>
  </si>
  <si>
    <t xml:space="preserve">NIST Tenet 5, NIST Tenet 6</t>
  </si>
  <si>
    <t xml:space="preserve">∙ Enterprise asset discovery with continuous monitoring (e.g., Qualys CSAM, Tenable.io)
∙ Network Access Control (NAC) integration
∙ DHCP + SIEM correlation for unauthorized device alerting
∙ CimTrak Integrity Suite (https://cimcor.com/cimtrak)
∙ CIS Control 1 automated asset discovery alignment</t>
  </si>
  <si>
    <t xml:space="preserve">AST-02.3</t>
  </si>
  <si>
    <t xml:space="preserve">Component Duplication Avoidance</t>
  </si>
  <si>
    <t xml:space="preserve">Mechanisms exist to establish and maintain an authoritative source and repository to provide a trusted source and accountability for approved and implemented system components that prevents assets from being duplicated in other asset inventories.</t>
  </si>
  <si>
    <t xml:space="preserve">Does the organization establish and maintain an authoritative source and repository to provide a trusted source and accountability for approved and implemented system components that prevents assets from being duplicated in other asset inventories?</t>
  </si>
  <si>
    <t xml:space="preserve">NIST SP 800-82 R3 - Moderate OT Overlay; NIST SP 800-161 R1 - C-SCRM Baseline; NIST SP 800-53B R5 - Privacy baseline</t>
  </si>
  <si>
    <t xml:space="preserve">The organization implements and operates mechanisms to establish and maintain an authoritative source and repository to provide a trusted source and accountability for approved and implemented system components that prevents assets from being duplicated in other asset inventories.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</si>
  <si>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an inventory of system components that accurately reflects the system is developed and documented;
b. Ensuring an inventory of system components that includes all components within the system is developed and documented;
c. Ensuring an inventory of system components that does not include duplicate accounting of components or components assigned to any other system is developed and documented;
d. Ensuring an inventory of system components that includes information is developed and documented;
e. Ensuring the system component inventory is reviewed / updated frequently;
f. Maintaining an OT and AMI asset inventory that records device type, firmware version, physical location, zone and conduit assignment, criticality and the accountable owner;
g. Using passive discovery, head-end system records and field work-order data to maintain inventory accuracy for devices that cannot be actively scanned; and
h.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</si>
  <si>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Configuration Management Database (CMDB).
In-scope requirement alignment: NIST SP 800-82 R3 (Moderate OT overlay): CM-08 | NIST SP 800-161 R1 C-SCRM: CM-8 | NIST SP 800-53B Privacy: CM-08.
Validation: Annual conformity validation; evidence artifacts to be defined; PPTDF applicability: Process.</t>
  </si>
  <si>
    <t xml:space="preserve">CM-08</t>
  </si>
  <si>
    <t xml:space="preserve">AST-02.5</t>
  </si>
  <si>
    <t xml:space="preserve">Network Access Control (NAC)</t>
  </si>
  <si>
    <t xml:space="preserve">Protect</t>
  </si>
  <si>
    <t xml:space="preserve">Automated mechanisms exist to employ Network Access Control (NAC), or a similar technology, which is capable of detecting unauthorized devices and disable network access to those unauthorized devices.</t>
  </si>
  <si>
    <t xml:space="preserve">Does the organization use automated mechanisms to employ Network Access Control (NAC), or a similar technology, which is capable of detecting unauthorized devices and disable network access to those unauthorized devices?</t>
  </si>
  <si>
    <t xml:space="preserve">The organization implements and operates automated mechanisms to employ Network Access Control (NAC), or a similar technology, which is capable of detecting unauthorized devices and disable network access to those unauthorized devices.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</si>
  <si>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 components that are known, authenticated, in a properly configured state or in a trust profile are identified;
b. Ensuring automated or manual/procedural mechanisms to prohibit system components from connecting to organizational systems are identified;
c. Ensuring automated or manual/procedural mechanisms are employed to prohibit system components from connecting to organizational systems unless the components are known, authenticated, in a properly configured state or in a trust profile;
d. Ensuring configuration management process to be employed to handle device identification and authentication based on attestation is defined;
e. Ensuring device identification and authentication are handled based on attestation by configuration management process;
f. Maintaining an OT and AMI asset inventory that records device type, firmware version, physical location, zone and conduit assignment, criticality and the accountable owner;
g. Using passive discovery, head-end system records and field work-order data to maintain inventory accuracy for devices that cannot be actively scanned; and
h.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</si>
  <si>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Cisco Identity Services Engine (ISE); HPE Aruba Central; Juniper Mist Access Assurance; Zero Trust Network Architecture (ZTNA) integration; 802.1X with EAP-TLS and certificate infrastructure.
In-scope requirement alignment: DOE C2M2: ARCHITECTURE-2k.
Validation: Quarterly conformity validation; evidence artifacts to be defined; PPTDF applicability: Technology.</t>
  </si>
  <si>
    <t xml:space="preserve">IA-03(03), SC-07(19)</t>
  </si>
  <si>
    <t xml:space="preserve">ARCHITECTURE-2k</t>
  </si>
  <si>
    <t xml:space="preserve">SG.IA Identification and Authentication; SG.SC Smart Grid Information System and Communication Protection</t>
  </si>
  <si>
    <t xml:space="preserve">NIST Tenet 6</t>
  </si>
  <si>
    <t xml:space="preserve">∙ Cisco Identity Services Engine (ISE) (https://cisco.com)
∙ HPE Aruba Central (https://arubanetworks.com)
∙ Juniper Mist Access Assurance (https://juniper.net)
∙ Zero Trust Network Architecture (ZTNA) integration
∙ 802.1X with EAP-TLS and certificate infrastructure</t>
  </si>
  <si>
    <t xml:space="preserve">AST-02.7</t>
  </si>
  <si>
    <t xml:space="preserve">Software Licensing Restrictions</t>
  </si>
  <si>
    <t xml:space="preserve">Mechanisms exist to protect Intellectual Property (IP) rights with software licensing restrictions.</t>
  </si>
  <si>
    <t xml:space="preserve">Does the organization protect Intellectual Property (IP) rights with software licensing restrictions?</t>
  </si>
  <si>
    <t xml:space="preserve">In 3HUE master catalog (Draft)</t>
  </si>
  <si>
    <t xml:space="preserve">The organization implements and operates mechanisms to protect Intellectual Property (IP) rights with software licensing restrictions.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</si>
  <si>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administrative practices identify software licensing restrictions to ensure compliance with End User Licensing Agreements (EULA);
b. Ensuring software inventories are automatically or manually reviewed for software licensing compliance;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</si>
  <si>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In-scope requirement alignment: NIST SP 800-53B Privacy: SC-18(02).
Validation: Annual conformity validation; evidence artifacts to be defined; PPTDF applicability: Technology.</t>
  </si>
  <si>
    <t xml:space="preserve">SC-18(02)</t>
  </si>
  <si>
    <t xml:space="preserve">SG.SC Smart Grid Information System and Communication Protection</t>
  </si>
  <si>
    <t xml:space="preserve">5.32</t>
  </si>
  <si>
    <t xml:space="preserve">AST-02.8</t>
  </si>
  <si>
    <t xml:space="preserve">Data Action Mapping</t>
  </si>
  <si>
    <t xml:space="preserve">Mechanisms exist to create and maintain a map of Technology Assets, Applications and/or Services (TAAS) where sensitive and/or regulated data is stored, transmitted or processed.</t>
  </si>
  <si>
    <t xml:space="preserve">Does the organization create and maintain a map of Technology Assets, Applications and/or Services (TAAS) where sensitive and/or regulated data is stored, transmitted or processed?</t>
  </si>
  <si>
    <t xml:space="preserve">Semi-Annual</t>
  </si>
  <si>
    <t xml:space="preserve">E-DCH-05</t>
  </si>
  <si>
    <t xml:space="preserve">The organization implements and operates mechanisms to create and maintain a map of Technology Assets, Applications and/or Services (TAAS) where sensitive and/or regulated data is stored, transmitted or processed.
Within the OT and AMI environment, this objective applies to OT and AMI assets, including field devices that cannot be actively scanned, and supports the definition of the System Under Consideration (SUC), zones and conduits required by ISA/IEC 62443-3-2.</t>
  </si>
  <si>
    <t xml:space="preserve">OT Engineering and application development teams are responsible for:
a. Ensuring a map of system data actions is developed and documented;
b. Ensuring the location of sensitive / regulated data is identified and documented;
c. Ensuring the system components on which sensitive / regulated data is processed are identified and documented;
d. Ensuring the system components on which sensitive / regulated data is stored are identified and documented;
e. Ensuring changes to the system or system component location where sensitive / regulated data is processed are documented;
f. Ensuring changes to the system or system component location where sensitive / regulated data is stored are documented;
g. Maintaining an OT and AMI asset inventory that records device type, firmware version, physical location, zone and conduit assignment, criticality and the accountable owner;
h. Using passive discovery, head-end system records and field work-order data to maintain inventory accuracy for devices that cannot be actively scanned; and
i.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</si>
  <si>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Enterprise data flow/action mapping platform (e.g., BigID, OneTrust, Securiti.ai); Microsoft Visio / LucidChart for technical documentation; Automated data lineage tools (e.g., Collibra, Alation); Data maps maintained current for regulatory compliance (GDPR Article 30).
In-scope requirement alignment: NIST Privacy Framework: ID.IM-P4, ID.IM-P5, ID.IM-P6, ID.IM-P8.
Validation: Semi-Annual conformity validation; evidence artifacts E-DCH-05; PPTDF applicability: Process.</t>
  </si>
  <si>
    <t xml:space="preserve">CM-13</t>
  </si>
  <si>
    <t xml:space="preserve">ID.IM-P4, ID.IM-P5, ID.IM-P6, ID.IM-P8</t>
  </si>
  <si>
    <t xml:space="preserve">NIST Tenet 1, NIST Tenet 7</t>
  </si>
  <si>
    <t xml:space="preserve">∙ Enterprise data flow/action mapping platform (e.g., BigID, OneTrust, Securiti.ai)
∙ Microsoft Visio / LucidChart for technical documentation
∙ Automated data lineage tools (e.g., Collibra, Alation)
∙ Data maps maintained current for regulatory compliance (GDPR Article 30)</t>
  </si>
  <si>
    <t xml:space="preserve">AST-02.9</t>
  </si>
  <si>
    <t xml:space="preserve">Configuration Management Database (CMDB)</t>
  </si>
  <si>
    <t xml:space="preserve">Mechanisms exist to implement and manage a Configuration Management Database (CMDB), or similar technology, to monitor and govern technology asset-specific information.</t>
  </si>
  <si>
    <t xml:space="preserve">Does the organization implement and manage a Configuration Management Database (CMDB), or similar technology, to monitor and govern technology asset-specific information?</t>
  </si>
  <si>
    <t xml:space="preserve">DOE Cybersecurity Capability Maturity Model; CSA IoT Security Controls Framework v2</t>
  </si>
  <si>
    <t xml:space="preserve">AMI Endpoint / Field Device</t>
  </si>
  <si>
    <t xml:space="preserve">The organization implements and operates mechanisms to implement and manage a Configuration Management Database (CMDB), or similar technology, to monitor and govern technology asset-specific information.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</si>
  <si>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are jointly responsible for:
a. Ensuring a centralized repository for the system and system component inventory is provided;
b. Ensuring automated mechanisms used to maintain the currency of the system component inventory are defined;
c. Ensuring automated mechanisms used to maintain the completeness of the system component inventory are defined;
d. Ensuring automated mechanisms used to maintain the accuracy of the system component inventory are defined;
e. Ensuring automated mechanisms used to maintain the availability of the system component inventory are defined;
f. Maintaining an OT and AMI asset inventory that records device type, firmware version, physical location, zone and conduit assignment, criticality and the accountable owner;
g. Using passive discovery, head-end system records and field work-order data to maintain inventory accuracy for devices that cannot be actively scanned; and
h.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</si>
  <si>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Configuration Management Database (CMDB).
In-scope requirement alignment: DOE C2M2: ASSET-1d, ASSET-2e, ASSET-2g | CSA IoT SCF: SNT-04.
Validation: Quarterly conformity validation; evidence artifacts to be defined; PPTDF applicability: Technology.</t>
  </si>
  <si>
    <t xml:space="preserve">CM-08(02), CM-08(07)</t>
  </si>
  <si>
    <t xml:space="preserve">ASSET-1d, ASSET-2e, ASSET-2g</t>
  </si>
  <si>
    <t xml:space="preserve">8.9</t>
  </si>
  <si>
    <t xml:space="preserve">NIST Tenet 1, NIST Tenet 6, NIST Tenet 7</t>
  </si>
  <si>
    <t xml:space="preserve">AST-03</t>
  </si>
  <si>
    <t xml:space="preserve">Asset Ownership Assignment</t>
  </si>
  <si>
    <t xml:space="preserve">Mechanisms exist to ensure asset ownership responsibilities are assigned, tracked and managed at a team, individual, or responsible organization level to establish a common understanding of requirements for asset protection.</t>
  </si>
  <si>
    <t xml:space="preserve">Does the organization ensure asset ownership responsibilities are assigned, tracked and managed at a team, individual, or responsible organization level to establish a common understanding of requirements for asset protection?</t>
  </si>
  <si>
    <t xml:space="preserve">E-AST-01, E-CPL-03</t>
  </si>
  <si>
    <t xml:space="preserve">NIST SP 800-82 R3 - Moderate OT Overlay; NIST Cybersecurity Framework 2.0; NIST Privacy Framework 1.0; NIST SP 800-53B R5 - Privacy baseline; ANSI/ISA-62443-3-2:2020</t>
  </si>
  <si>
    <t xml:space="preserve">The organization implements and operates mechanisms to ensure asset ownership responsibilities are assigned, tracked and managed at a team, individual, or responsible organization level to establish a common understanding of requirements for asset protection.
Within the OT and AMI environment, this objective applies to OT and AMI assets, including field devices that cannot be actively scanned, and supports the definition of the System Under Consideration (SUC), zones and conduits required by ISA/IEC 62443-3-2.</t>
  </si>
  <si>
    <t xml:space="preserve">Line management across IT, OT and field operations is responsible for:
a. Ensuring name, position and/or role of data ownership is documented;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</si>
  <si>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NIST SP 800-82 R3 (Moderate OT overlay): SA-04(12) | NIST CSF 2.0: ID.AM | NIST Privacy Framework: ID.IM-P2 | NIST SP 800-53B Privacy: SA-04(12) | ISA/IEC 62443-3-2: ZCR 6.4.
Validation: Annual conformity validation; evidence artifacts E-AST-01, E-CPL-03; PPTDF applicability: Process.</t>
  </si>
  <si>
    <t xml:space="preserve">ZCR 6.4</t>
  </si>
  <si>
    <t xml:space="preserve">SA-04(12)</t>
  </si>
  <si>
    <t xml:space="preserve">ID.AM</t>
  </si>
  <si>
    <t xml:space="preserve">ID.IM-P2</t>
  </si>
  <si>
    <t xml:space="preserve">SG.SA Smart Grid Information System and Services Acquisition</t>
  </si>
  <si>
    <t xml:space="preserve">AST-03.1</t>
  </si>
  <si>
    <t xml:space="preserve">Accountability Information</t>
  </si>
  <si>
    <t xml:space="preserve">Mechanisms exist to include capturing the name, position and/or role of individuals responsible/accountable for administering assets as part of the technology asset inventory process.</t>
  </si>
  <si>
    <t xml:space="preserve">Does the organization include capturing the name, position and/or role of individuals responsible/accountable for administering assets as part of the technology asset inventory process?</t>
  </si>
  <si>
    <t xml:space="preserve">The organization implements and operates mechanisms to include capturing the name, position and/or role of individuals responsible/accountable for administering assets as part of the technology asset inventory process.
Within the OT and AMI environment, this objective applies to OT and AMI assets, including field devices that cannot be actively scanned, and supports the definition of the System Under Consideration (SUC), zones and conduits required by ISA/IEC 62443-3-2.</t>
  </si>
  <si>
    <t xml:space="preserve">All workforce members, including OT personnel, contractors and vendors with access to OT or AMI assets, are responsible for:
a. Ensuring individuals responsible and accountable for administering system components are identified by organization-defined criteria in the system component inventory;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</si>
  <si>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NIST CSF 2.0: ID.AM | NIST Privacy Framework: ID.IM-P2.
Validation: Annual conformity validation; evidence artifacts E-AST-01; PPTDF applicability: Process.</t>
  </si>
  <si>
    <t xml:space="preserve">CM-08(04)</t>
  </si>
  <si>
    <t xml:space="preserve">AST-03.2</t>
  </si>
  <si>
    <t xml:space="preserve">Provenance</t>
  </si>
  <si>
    <t xml:space="preserve">Mechanisms exist to track the origin, development, ownership, location and changes to Technology Assets, Applications, Services and/or Data (TAASD).</t>
  </si>
  <si>
    <t xml:space="preserve">Does the organization track the origin, development, ownership, location and changes to Technology Assets, Applications, Services and/or Data (TAASD)?</t>
  </si>
  <si>
    <t xml:space="preserve">E-AST-22</t>
  </si>
  <si>
    <t xml:space="preserve">The organization implements and operates mechanisms to track the origin, development, ownership, location and changes to Technology Assets, Applications, Services and/or Data (TAASD).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</si>
  <si>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systems, system components and associated data that require valid provenance are defined;
b. Ensuring valid provenance is documented for systems, system components and associated data;
c. Ensuring valid provenance is monitored for systems, system components and associated data;
d. Ensuring valid provenance is maintained for systems, system components and associated data;
e. Ensuring supply chain elements, processes and personnel associated with systems and critical system components that require unique identification are defined;
f. Ensuring unique identification of supply chain elements, processes and personnel is established;
g. Ensuring unique identification of supply chain elements, processes and personnel is maintained;
h. Ensuring systems and critical system components that require unique identification for tracking through the supply chain are defined;
i. Maintaining an OT and AMI asset inventory that records device type, firmware version, physical location, zone and conduit assignment, criticality and the accountable owner;
j. Using passive discovery, head-end system records and field work-order data to maintain inventory accuracy for devices that cannot be actively scanned; and
k.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</si>
  <si>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CSA IoT SCF: DAT-03.
Validation: Annual conformity validation; evidence artifacts E-AST-22; PPTDF applicability: Process.</t>
  </si>
  <si>
    <t xml:space="preserve">SR-04, SR-04(01), SR-04(02)</t>
  </si>
  <si>
    <t xml:space="preserve">DAT-03</t>
  </si>
  <si>
    <t xml:space="preserve">SG.SA Smart Grid Information System and Services Acquisition (supply chain)</t>
  </si>
  <si>
    <t xml:space="preserve">5.21</t>
  </si>
  <si>
    <t xml:space="preserve">AST-04</t>
  </si>
  <si>
    <t xml:space="preserve">Network Diagrams &amp; Data Flow Diagrams (DFDs)</t>
  </si>
  <si>
    <t xml:space="preserve">Mechanisms exist to maintain network architecture diagrams that: 
(1) Contain sufficient detail to assess the security of the network's architecture;
(2) Reflect the current architecture of the network environment; and
(3) Document all sensitive and/or regulated data flows.</t>
  </si>
  <si>
    <t xml:space="preserve">Does the organization maintain network architecture diagrams that: 
 (1) Contain sufficient detail to assess the security of the network's architecture;
 (2) Reflect the current architecture of the network environment; and
 (3) Document all sensitive and/or regulated data flows?</t>
  </si>
  <si>
    <t xml:space="preserve">E-DCH-03, E-DCH-04, E-DCH-05</t>
  </si>
  <si>
    <t xml:space="preserve">IEC 62443-2-1:2024; NIST SP 800-82 R3 - Moderate OT Overlay; CISA Cross-Sector Cybersecurity Performance Goals; NIST Cybersecurity Framework 2.0; NIST SP 800-53B R5 - Moderate baseline; CSA IoT Security Controls Framework v2; NIST SP 800-161 R1 - C-SCRM Baseline; NIST Privacy Framework 1.0; NIST SP 800-53B R5 - Privacy baseline; ANSI/ISA-62443-3-2:2020</t>
  </si>
  <si>
    <t xml:space="preserve">The organization implements and operates mechanisms to maintain network architecture diagrams that: (1) Contain sufficient detail to assess the security of the network's architecture; (2) Reflect the current architecture of the network environment; and (3) Document all sensitive and/or regulated data flows.
Within the OT and AMI environment, this objective applies to OT and AMI assets, including field devices that cannot be actively scanned, and supports the definition of the System Under Consideration (SUC), zones and conduits required by ISA/IEC 62443-3-2.</t>
  </si>
  <si>
    <t xml:space="preserve">The Project Management Office (PMO), including OT and AMI program managers, is responsible for:
a. Ensuring sensitive data flows are identified and documented;
b. Ensuring a Data Flow Diagram (DFD) exists for each type of sensitive / regulated data that is stored, processed and/or transmitted;
c. Ensuring a process exists to review DFDs for accuracy;
d. Ensuring a process exists to update DFDs upon technology or business practice changes that affect where sensitive / regulated data is stored, processed and/or transmitted;
e. Ensuring one or more high-level network diagrams exist as a schematic to identify the logical placement of systems, applications and services at a conceptual level;
f. Ensuring one or more low-level network diagrams exist as a schematic to identify the detailed logical and physical placement of systems, applications and services;
g. Ensuring a process exists to update network diagrams upon technologies change;
h. Ensuring a process exists to review network diagrams for accuracy;
i. Maintaining current network diagrams and data-flow diagrams for OT and AMI environments that identify zones, conduits, access points, protocols and external connections, consistent with ISA/IEC 62443-3-2 ZCR 6.3; and
j. Reviewing and updating OT and AMI diagrams after significant changes and at least annually.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</si>
  <si>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High-Level Diagram (HLD); Low-Level Diagram (LLD); Data Flow Diagram (DFD); Enterprise network documentation platform (e.g., NetBox, SolarWinds NTM); Automated network discovery and diagram generation; Diagrams integrated with CMDB and change management.
In-scope requirement alignment: IEC 62443-2-1: CM 1.2 | NIST SP 800-82 R3 (Moderate OT overlay): PL-02, SA-04(01), SA-04(02) | CISA CPG: 2.P | NIST CSF 2.0: ID.AM-03 | NIST SP 800-53B Moderate: SA-04(01), SA-04(02) | NIST SP 800-161 R1 C-SCRM: PL-2 | CSA IoT SCF: DAT-03 | NIST Privacy Framework: ID.IM-P7, ID.IM-P8 | NIST SP 800-53B Privacy: PL-02, SA-04(01), SA-04(02) | ISA/IEC 62443-3-2: ZCR 1.1, ZCR 6.2, ZCR 6.3.
Validation: Annual conformity validation; evidence artifacts E-DCH-03, E-DCH-04, E-DCH-05; PPTDF applicability: Process.</t>
  </si>
  <si>
    <t xml:space="preserve">CM 1.2</t>
  </si>
  <si>
    <t xml:space="preserve">ZCR 1.1, ZCR 6.2, ZCR 6.3</t>
  </si>
  <si>
    <t xml:space="preserve">PL-02, SA-04(01), SA-04(02)</t>
  </si>
  <si>
    <t xml:space="preserve">2.P</t>
  </si>
  <si>
    <t xml:space="preserve">ID.AM-03</t>
  </si>
  <si>
    <t xml:space="preserve">SA-04(01), SA-04(02)</t>
  </si>
  <si>
    <t xml:space="preserve">PL-2</t>
  </si>
  <si>
    <t xml:space="preserve">ID.IM-P7, ID.IM-P8</t>
  </si>
  <si>
    <t xml:space="preserve">SG.PL Planning; SG.SA Smart Grid Information System and Services Acquisition</t>
  </si>
  <si>
    <t xml:space="preserve">5.9, 8.20</t>
  </si>
  <si>
    <t xml:space="preserve">∙ High-Level Diagram (HLD)
∙ Low-Level Diagram (LLD)
∙ Data Flow Diagram (DFD)
∙ Enterprise network documentation platform (e.g., NetBox, SolarWinds NTM)
∙ Automated network discovery and diagram generation
∙ Diagrams integrated with CMDB and change management</t>
  </si>
  <si>
    <t xml:space="preserve">AST-04.1</t>
  </si>
  <si>
    <t xml:space="preserve">Asset Scope Classification</t>
  </si>
  <si>
    <t xml:space="preserve">Mechanisms exist to determine security, compliance and resilience control applicability by identifying, assigning and documenting the appropriate asset scope categorization for all Technology Assets, Applications and/or Services (TAAS) and personnel (internal and third-parties).</t>
  </si>
  <si>
    <t xml:space="preserve">Does the organization determine security, compliance and resilience control applicability by identifying, assigning and documenting the appropriate asset scope categorization for all Technology Assets, Applications and/or Services (TAAS) and personnel (internal and third-parties)?</t>
  </si>
  <si>
    <t xml:space="preserve">E-AST-02, E-CPL-02, E-DCH-01, E-DCH-02</t>
  </si>
  <si>
    <t xml:space="preserve">NIST SP 800-82 R3 - Moderate OT Overlay; NIST Cybersecurity Framework 2.0; IEC 62443-4-1:2018; NIST SP 800-161 R1 - C-SCRM Baseline; NIST SP 800-53B R5 - Privacy baseline; ANSI/ISA-62443-3-2:2020</t>
  </si>
  <si>
    <t xml:space="preserve">The organization implements and operates mechanisms to determine security, compliance and resilience control applicability by identifying, assigning and documenting the appropriate asset scope categorization for all Technology Assets, Applications and/or Services (TAAS) and personnel (internal and third-parties).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</si>
  <si>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 hardware components to be marked indicating the impact level or classification level of the information permitted to be processed, stored, or transmitted by the hardware component are defined;
b. Ensuring system hardware components are marked indicating the impact level or classification level of the information permitted to be processed, stored, or transmitted by the hardware component;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</si>
  <si>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Unified Scoping Guide.
In-scope requirement alignment: IEC 62443-4-1: SM-3 | NIST SP 800-82 R3 (Moderate OT overlay): PE-22, SA-05 | NIST CSF 2.0: ID.AM-05 | NIST SP 800-161 R1 C-SCRM: SA-5 | NIST SP 800-53B Privacy: PE-22, SA-05 | ISA/IEC 62443-3-2: ZCR 1.1, ZCR 3.1, ZCR 6.4.
Validation: Annual conformity validation; evidence artifacts E-AST-02, E-CPL-02, E-DCH-01, E-DCH-02; PPTDF applicability: Process.</t>
  </si>
  <si>
    <t xml:space="preserve">SM-3</t>
  </si>
  <si>
    <t xml:space="preserve">ZCR 1.1, ZCR 3.1, ZCR 6.4</t>
  </si>
  <si>
    <t xml:space="preserve">PE-22, SA-05</t>
  </si>
  <si>
    <t xml:space="preserve">ID.AM-05</t>
  </si>
  <si>
    <t xml:space="preserve">SA-5</t>
  </si>
  <si>
    <t xml:space="preserve">SG.PE Physical and Environmental Security; SG.SA Smart Grid Information System and Services Acquisition</t>
  </si>
  <si>
    <t xml:space="preserve">4.3</t>
  </si>
  <si>
    <t xml:space="preserve">∙ Unified Scoping Guide (https://unified-scoping-guide.com)</t>
  </si>
  <si>
    <t xml:space="preserve">AST-04.2</t>
  </si>
  <si>
    <t xml:space="preserve">Control Applicability Boundary Graphical Representation</t>
  </si>
  <si>
    <t xml:space="preserve">Mechanisms exist to ensure control applicability is appropriately-determined for Technology Assets, Applications and/or Services (TAAS) and third parties by graphically representing applicable boundaries.</t>
  </si>
  <si>
    <t xml:space="preserve">Does the organization ensure control applicability is appropriately-determined for Technology Assets, Applications and/or Services (TAAS) and third parties by graphically representing applicable boundaries?</t>
  </si>
  <si>
    <t xml:space="preserve">E-AST-02, E-CPL-02</t>
  </si>
  <si>
    <t xml:space="preserve">CISA Cross-Sector Cybersecurity Performance Goals; NIST Cybersecurity Framework 2.0; ANSI/ISA-62443-3-2:2020</t>
  </si>
  <si>
    <t xml:space="preserve">The organization implements and operates mechanisms to ensure control applicability is appropriately-determined for Technology Assets, Applications and/or Services (TAAS) and third parties by graphically representing applicable boundaries.
Within the OT and AMI environment, this objective applies to OT and AMI assets, including field devices that cannot be actively scanned, and supports the definition of the System Under Consideration (SUC), zones and conduits required by ISA/IEC 62443-3-2.</t>
  </si>
  <si>
    <t xml:space="preserve">The Project Management Office (PMO), including OT and AMI program managers, is responsible for:
a. Ensuring one or more diagrams graphically depict control applicability boundaries for systems, applications, services and third parties to clarify "in-scope versus out-of-scope" determinations;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</si>
  <si>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Unified Scoping Guide.
In-scope requirement alignment: CISA CPG: 2.P | NIST CSF 2.0: ID.AM-03 | ISA/IEC 62443-3-2: ZCR 1.1, ZCR 6.3.
Validation: Annual conformity validation; evidence artifacts E-AST-02, E-CPL-02; PPTDF applicability: Process.</t>
  </si>
  <si>
    <t xml:space="preserve">ZCR 1.1, ZCR 6.3</t>
  </si>
  <si>
    <t xml:space="preserve">AST-07</t>
  </si>
  <si>
    <t xml:space="preserve">Kiosks &amp; Point of Interaction (PoI) Devices</t>
  </si>
  <si>
    <t xml:space="preserve">Mechanisms exist to appropriately protect devices that capture sensitive and/or regulated data via direct physical interaction from tampering and substitution.</t>
  </si>
  <si>
    <t xml:space="preserve">Does the organization appropriately protect devices that capture sensitive and/or regulated data via direct physical interaction from tampering and substitution?</t>
  </si>
  <si>
    <t xml:space="preserve">The organization implements and operates mechanisms to appropriately protect devices that capture sensitive and/or regulated data via direct physical interaction from tampering and substitution.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</si>
  <si>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devices that capture sensitive / regulated data via direct physical interaction are appropriately protected from tampering and substitution;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</si>
  <si>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Lockable casings; Tamper detection tape; Full Disk Encryption (FDE); File Integrity Monitoring (FIM); CimTrak Integrity Suite; Netwrix Auditor.
In-scope requirement alignment: CSA IoT SCF: PHY-01.
Validation: Annual conformity validation; evidence artifacts to be defined; PPTDF applicability: Technology.</t>
  </si>
  <si>
    <t xml:space="preserve">PHY-01</t>
  </si>
  <si>
    <t xml:space="preserve">8.1</t>
  </si>
  <si>
    <t xml:space="preserve">∙ Lockable casings
∙ Tamper detection tape
∙ Full Disk Encryption (FDE) 
∙ File Integrity Monitoring (FIM)
∙ CimTrak Integrity Suite (https://cimcor.com/cimtrak)
∙ Netwrix Auditor (https://netrix.com)</t>
  </si>
  <si>
    <t xml:space="preserve">AST-08</t>
  </si>
  <si>
    <t xml:space="preserve">Physical Tampering Detection</t>
  </si>
  <si>
    <t xml:space="preserve">Mechanisms exist to periodically inspect systems and system components for Indicators of Compromise (IoC).</t>
  </si>
  <si>
    <t xml:space="preserve">Does the organization periodically inspect systems and system components for Indicators of Compromise (IoC)?</t>
  </si>
  <si>
    <t xml:space="preserve">IEC 62443-4-2:2019; CSA IoT Security Controls Framework v2</t>
  </si>
  <si>
    <t xml:space="preserve">The organization implements and operates mechanisms to periodically inspect systems and system components for Indicators of Compromise (IoC).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</si>
  <si>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mobile devices are inspected for evidence of tampering upon return from geographic regions of concern or other known hostile environments that could lead to device compromise;
b. Ensuring mobile devices that show signs of tampering are confiscated for forensic examination;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</si>
  <si>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Tamper detection tape.
In-scope requirement alignment: IEC 62443-4-2: CR 3.11, EDR 3.11, HDR 3.11, NDR 3.11 | CSA IoT SCF: PHY-01.
Validation: Semi-Annual conformity validation; evidence artifacts to be defined; PPTDF applicability: Process.</t>
  </si>
  <si>
    <t xml:space="preserve">CR 3.11, EDR 3.11, HDR 3.11, NDR 3.11</t>
  </si>
  <si>
    <t xml:space="preserve">7.9</t>
  </si>
  <si>
    <t xml:space="preserve">∙ Tamper detection tape</t>
  </si>
  <si>
    <t xml:space="preserve">AST-09</t>
  </si>
  <si>
    <t xml:space="preserve">Secure Disposal, Destruction or Re-Use of Equipment</t>
  </si>
  <si>
    <t xml:space="preserve">Mechanisms exist to securely dispose of, destroy or repurpose system components using organization-defined techniques and methods to prevent information being recovered from these components.</t>
  </si>
  <si>
    <t xml:space="preserve">Does the organization securely dispose of, destroy or repurpose system components using organization-defined techniques and methods to prevent information being recovered from these components?</t>
  </si>
  <si>
    <t xml:space="preserve">E-AST-03</t>
  </si>
  <si>
    <t xml:space="preserve">NIST SP 800-82 R3 - Moderate OT Overlay; DOE Cybersecurity Capability Maturity Model; CSA IoT Security Controls Framework v2; NIST SP 800-161 R1 - C-SCRM Baseline; NIST SP 800-53B R5 - Privacy baseline</t>
  </si>
  <si>
    <t xml:space="preserve">The organization implements and operates mechanisms to securely dispose of, destroy or repurpose system components using organization-defined techniques and methods to prevent information being recovered from these components.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</si>
  <si>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data, documentation, tools or system components to be disposed of are defined;
b. Ensuring techniques and methods for disposing of data, documentation, tools or system components are defined;
c. Ensuring data, documentation, tools or system components are disposed of using techniques and methods;
d. Ensuring system media is sanitized using sanitization techniques and procedures prior to disposal;
e. Ensuring system media is sanitized using sanitization techniques and procedures prior to release from organizational control;
f. Ensuring system media is sanitized using sanitization techniques and procedures prior to release for reuse;
g. Ensuring sanitization mechanisms with strength and integrity commensurate with the security category or classification of the information are employed;
h. Maintaining an OT and AMI asset inventory that records device type, firmware version, physical location, zone and conduit assignment, criticality and the accountable owner;
i. Using passive discovery, head-end system records and field work-order data to maintain inventory accuracy for devices that cannot be actively scanned; and
j.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</si>
  <si>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Shred-it; IronMountain; BitRaser; DBAN; DoD-strength data erasers.
In-scope requirement alignment: NIST SP 800-82 R3 (Moderate OT overlay): SR-12 | DOE C2M2: ASSET-1h, ASSET-2h | NIST SP 800-161 R1 C-SCRM: SR-12 | CSA IoT SCF: POL-04 | NIST SP 800-53B Privacy: SR-12.
Validation: Annual conformity validation; evidence artifacts E-AST-03; PPTDF applicability: Process.</t>
  </si>
  <si>
    <t xml:space="preserve">SR-12</t>
  </si>
  <si>
    <t xml:space="preserve">ASSET-1h, ASSET-2h</t>
  </si>
  <si>
    <t xml:space="preserve">POL-04</t>
  </si>
  <si>
    <t xml:space="preserve">7.14, 8.10</t>
  </si>
  <si>
    <t xml:space="preserve">∙ Shred-it (https://shredit.com)
∙ IronMountain (https://ironmountain.com)
∙ BitRaser (https://bitraser.com)
∙ DBAN (https://dban.org)
∙ DoD-strength data erasers</t>
  </si>
  <si>
    <t xml:space="preserve">AST-14.1</t>
  </si>
  <si>
    <t xml:space="preserve">Bluetooth &amp; Wireless Devices</t>
  </si>
  <si>
    <t xml:space="preserve">Mechanisms exist to prevent the usage of Bluetooth and wireless devices (e.g., Near Field Communications (NFC)) in sensitive areas or unless used in a Radio Frequency (RF)-screened building.</t>
  </si>
  <si>
    <t xml:space="preserve">Does the organization prevent the usage of Bluetooth and wireless devices (e.g., Near Field Communications (NFC)) in sensitive areas or unless used in a Radio Frequency (RF)-screened building?</t>
  </si>
  <si>
    <t xml:space="preserve">The organization implements and operates mechanisms to prevent the usage of Bluetooth and wireless devices (e.g., Near Field Communications (NFC)) in sensitive areas or unless used in a Radio Frequency (RF)-screened building.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</si>
  <si>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the possession of unauthorized Bluetooth and wireless devices (e.g., Near Field Communications (NFC)) is prohibited in sensitive areas;
b. Ensuring the usage of Bluetooth and wireless devices (e.g., Near Field Communications (NFC)) is prohibited in sensitive areas, unless use is in a Radio Frequency (RF)-screened building;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</si>
  <si>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Rules of Behavior (RoB) / Acceptable Use; Secure Baseline Configurations (SBC).
In-scope requirement alignment: CSA IoT SCF: SWS-01, SWS-03.
Validation: Annual conformity validation; evidence artifacts to be defined; PPTDF applicability: Technology.</t>
  </si>
  <si>
    <t xml:space="preserve">SWS-01, SWS-03</t>
  </si>
  <si>
    <t xml:space="preserve">∙ Rules of Behavior (RoB) / Acceptable Use
∙ Secure Baseline Configurations (SBC)</t>
  </si>
  <si>
    <t xml:space="preserve">AST-15</t>
  </si>
  <si>
    <t xml:space="preserve">Logical Tampering Protection</t>
  </si>
  <si>
    <t xml:space="preserve">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</si>
  <si>
    <t xml:space="preserve">Does the organization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</si>
  <si>
    <t xml:space="preserve">E-AST-25</t>
  </si>
  <si>
    <t xml:space="preserve">NIST Cybersecurity Framework 2.0; CSA IoT Security Controls Framework v2</t>
  </si>
  <si>
    <t xml:space="preserve">The organization implements and operates mechanisms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</si>
  <si>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 tamper protection program is implemented for the system, system component or system service;
b. Ensuring anti-tamper technologies, tools and techniques are employed throughout the system development life cycle;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</si>
  <si>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Indicators of Compromise (IoC); File Integrity Monitoring (FIM); CimTrak Integrity Suite; Netwrix Auditor; Tripwire Enterprise.
In-scope requirement alignment: NIST CSF 2.0: ID.RA-09 | CSA IoT SCF: IOT-05.
Validation: Annual conformity validation; evidence artifacts E-AST-25; PPTDF applicability: Technology.</t>
  </si>
  <si>
    <t xml:space="preserve">SR-09, SR-09(01)</t>
  </si>
  <si>
    <t xml:space="preserve">ID.RA-09</t>
  </si>
  <si>
    <t xml:space="preserve">IOT-05</t>
  </si>
  <si>
    <t xml:space="preserve">∙ Indicators of Compromise (IoC)
∙ File Integrity Monitoring (FIM)
∙ CimTrak Integrity Suite (https://cimcor.com/cimtrak)
∙ Netwrix Auditor (https://netrix.com)
∙ Tripwire Enterprise (https://tripwire.com)</t>
  </si>
  <si>
    <t xml:space="preserve">AST-15.1</t>
  </si>
  <si>
    <t xml:space="preserve">Technology Asset Inspections</t>
  </si>
  <si>
    <t xml:space="preserve">Mechanisms exist to physically and logically inspect critical technology assets to detect evidence of tampering.</t>
  </si>
  <si>
    <t xml:space="preserve">Does the organization physically and logically inspect critical technology assets to detect evidence of tampering?</t>
  </si>
  <si>
    <t xml:space="preserve">The organization implements and operates mechanisms to physically and logically inspect critical technology assets to detect evidence of tampering.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</si>
  <si>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systems or system components that require inspection are defined;
b. Ensuring the frequency at which to inspect systems or system components is defined;
c. Ensuring indications of the need for an inspection of systems or system components are defined;
d. Ensuring systems or system components are inspected to detect tampering;
e. Maintaining an OT and AMI asset inventory that records device type, firmware version, physical location, zone and conduit assignment, criticality and the accountable owner;
f. Using passive discovery, head-end system records and field work-order data to maintain inventory accuracy for devices that cannot be actively scanned; and
g.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</si>
  <si>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Tamper detection tape; Indicators of Compromise (IoC); File Integrity Monitoring (FIM); CimTrak Integrity Suite; Netwrix Auditor; Tripwire Enterprise.
In-scope requirement alignment: NIST SP 800-82 R3 (Moderate OT overlay): SR-10 | NIST SP 800-161 R1 C-SCRM: SR-10 | NIST SP 800-53B Privacy: SR-10.
Validation: Annual conformity validation; evidence artifacts to be defined; PPTDF applicability: Process.</t>
  </si>
  <si>
    <t xml:space="preserve">SR-10</t>
  </si>
  <si>
    <t xml:space="preserve">∙ Tamper detection tape
∙ Indicators of Compromise (IoC)
∙ File Integrity Monitoring (FIM)
∙ CimTrak Integrity Suite (https://cimcor.com/cimtrak)
∙ Netwrix Auditor (https://netrix.com)
∙ Tripwire Enterprise (https://tripwire.com)</t>
  </si>
  <si>
    <t xml:space="preserve">AST-18</t>
  </si>
  <si>
    <t xml:space="preserve">Roots of Trust Protection</t>
  </si>
  <si>
    <t xml:space="preserve">Mechanisms exist to provision and protect the confidentiality, integrity and authenticity of product supplier keys and data that can be used as a “roots of trust” basis for integrity verification.</t>
  </si>
  <si>
    <t xml:space="preserve">Does the organization provision and protect the confidentiality, integrity and authenticity of product supplier keys and data that can be used as a “roots of trust” basis for integrity verification?</t>
  </si>
  <si>
    <t xml:space="preserve">E-AST-26</t>
  </si>
  <si>
    <t xml:space="preserve">IEC 62443-4-2:2019; NIST Cybersecurity Framework 2.0; CSA IoT Security Controls Framework v2</t>
  </si>
  <si>
    <t xml:space="preserve">The organization implements and operates mechanisms to provision and protect the confidentiality, integrity and authenticity of product supplier keys and data that can be used as a “roots of trust” basis for integrity verification.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</si>
  <si>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security-critical or essential software is defined;
b. Ensuring root of trust mechanisms or cryptographic signatures are identified;
c. Ensuring the integrity of security critical or essential software is verified using root of trust mechanisms or cryptographic signatures;
d. Maintaining an OT and AMI asset inventory that records device type, firmware version, physical location, zone and conduit assignment, criticality and the accountable owner;
e. Using passive discovery, head-end system records and field work-order data to maintain inventory accuracy for devices that cannot be actively scanned; and
f.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</si>
  <si>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IEC 62443-4-2: EDR 3.12, EDR 3.13(a), EDR 3.13(b), HDR 3.12, HDR 3.13(a), NDR 3.12, NDR 3.13(a), NDR 3.13(b) | NIST CSF 2.0: ID.RA-09 | CSA IoT SCF: IOT-09.
Validation: Annual conformity validation; evidence artifacts E-AST-26; PPTDF applicability: Technology.</t>
  </si>
  <si>
    <t xml:space="preserve">EDR 3.12, EDR 3.13(a), EDR 3.13(b), HDR 3.12, HDR 3.13(a), NDR 3.12, NDR 3.13(a), NDR 3.13(b)</t>
  </si>
  <si>
    <t xml:space="preserve">IOT-09</t>
  </si>
  <si>
    <t xml:space="preserve">AST-27</t>
  </si>
  <si>
    <t xml:space="preserve">Jump Server</t>
  </si>
  <si>
    <t xml:space="preserve">Mechanisms exist to conduct remote system administrative functions via a "jump box" or "jump server" that is located in a separate network zone to user workstations.</t>
  </si>
  <si>
    <t xml:space="preserve">Does the organization conduct remote system administrative functions via a "jump box" or "jump server" that is located in a separate network zone to user workstations?</t>
  </si>
  <si>
    <t xml:space="preserve">CISA Cross-Sector Cybersecurity Performance Goals</t>
  </si>
  <si>
    <t xml:space="preserve">The organization implements and operates mechanisms to conduct remote system administrative functions via a "jump box" or "jump server" that is located in a separate network zone to user workstations.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</si>
  <si>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 "jump box" or "jump server" is established in secure enclaves that are in a separate network zone to user workstations;
b. Ensuring non-console system administrative functions are restricted to connect to secure enclaves via a "jump box" or "jump server" that is located in a separate network zone to user workstations;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</si>
  <si>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Secure Baseline Configurations (SBC); Network segmentation.
In-scope requirement alignment: CISA CPG: 2.F.
Validation: Annual conformity validation; evidence artifacts to be defined; PPTDF applicability: Technology.</t>
  </si>
  <si>
    <t xml:space="preserve">2.F</t>
  </si>
  <si>
    <t xml:space="preserve">∙ IT Asset Management (ITAM) program
∙ Secure Baseline Configurations (SBC)
∙ Network segmentation</t>
  </si>
  <si>
    <t xml:space="preserve">AST-30</t>
  </si>
  <si>
    <t xml:space="preserve">Decommissioning</t>
  </si>
  <si>
    <t xml:space="preserve">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</si>
  <si>
    <t xml:space="preserve">Does the organization ensure Technology Assets, Applications and/or Services (TAAS) are properly decommissioned so that data is properly transitioned to new systems or archived in accordance with applicable organizational standards, as well as statutory, regulatory and contractual obligations?</t>
  </si>
  <si>
    <t xml:space="preserve">NERC CIP</t>
  </si>
  <si>
    <t xml:space="preserve">The organization implements and operates mechanisms to ensure Technology Assets, Applications and/or Services (TAAS) are properly decommissioned so that data is properly transitioned to new systems or archived in accordance with applicable organizational standards, as well as statutory, regulatory and contractual obligations.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</si>
  <si>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systems, applications and services are properly decommissioned so that data is properly transitioned to new systems or archived in accordance with applicable organizational standards, as well as statutory, regulatory and contractual obligations;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</si>
  <si>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In-scope requirement alignment: NERC CIP: CIP-011-3 2.2.
Validation: Semi-Annual conformity validation; evidence artifacts to be defined; PPTDF applicability: Process.</t>
  </si>
  <si>
    <t xml:space="preserve">CIP-011-3 2.2</t>
  </si>
  <si>
    <t xml:space="preserve">AST-31</t>
  </si>
  <si>
    <t xml:space="preserve">Asset Categorization</t>
  </si>
  <si>
    <t xml:space="preserve">Mechanisms exist to categorize Technology Assets, Applications and/or Services (TAAS).</t>
  </si>
  <si>
    <t xml:space="preserve">Does the organization categorize Technology Assets, Applications and/or Services (TAAS)?</t>
  </si>
  <si>
    <t xml:space="preserve">E-AST-24</t>
  </si>
  <si>
    <t xml:space="preserve">The organization implements and operates mechanisms to categorize Technology Assets, Applications and/or Services (TAAS).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</si>
  <si>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the organization utilizes a defined methodology to categorize its technology assets based on data sensitivity and criticality;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</si>
  <si>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Data classification scheme; IT Asset Management (ITAM) program; Configuration Management Database (CMDB).
In-scope requirement alignment: DOE C2M2: ASSET-2c, ASSET-2d.
Validation: Annual conformity validation; evidence artifacts E-AST-24; PPTDF applicability: Process.</t>
  </si>
  <si>
    <t xml:space="preserve">ASSET-2c, ASSET-2d</t>
  </si>
  <si>
    <t xml:space="preserve">∙ Data classification scheme
∙ IT Asset Management (ITAM) program
∙ Configuration Management Database (CMDB)</t>
  </si>
  <si>
    <t xml:space="preserve">BCD-01</t>
  </si>
  <si>
    <t xml:space="preserve">Business Continuity Management System (BCMS)</t>
  </si>
  <si>
    <t xml:space="preserve">Business Continuity &amp; Disaster Recovery</t>
  </si>
  <si>
    <t xml:space="preserve">BCD</t>
  </si>
  <si>
    <t xml:space="preserve">Mechanisms exist to facilitate the implementation of contingency planning controls to help ensure resilient Technology Assets, Applications and/or Services (TAAS) (e.g., Continuity of Operations Plan (COOP) or Business Continuity &amp; Disaster Recovery (BC/DR) playbooks).</t>
  </si>
  <si>
    <t xml:space="preserve">Does the organization facilitate the implementation of contingency planning controls to help ensure resilient Technology Assets, Applications and/or Services (TAAS) (e.g., Continuity of Operations Plan (COOP) or Business Continuity &amp; Disaster Recovery (BC/DR) playbooks)?</t>
  </si>
  <si>
    <t xml:space="preserve">E-BCM-01</t>
  </si>
  <si>
    <t xml:space="preserve">IEC 62443-2-1:2024; IEC 62443-4-2:2019; NIST SP 800-82 R3 - Moderate OT Overlay; NERC CIP; CISA Cross-Sector Cybersecurity Performance Goals; NIST Cybersecurity Framework 2.0; DOE Cybersecurity Capability Maturity Model; CSA IoT Security Controls Framework v2; NIST SP 800-161 R1 - C-SCRM Baseline; NIST Privacy Framework 1.0; NIST SP 800-53B R5 - Privacy baseline</t>
  </si>
  <si>
    <t xml:space="preserve">Director, Business Continuity &amp; IT Resilience</t>
  </si>
  <si>
    <t xml:space="preserve">Director, Grid / System Operations (OT Continuity)</t>
  </si>
  <si>
    <t xml:space="preserve">AMI vendor; telecommunications / backhaul carriers; disaster recovery site provider</t>
  </si>
  <si>
    <t xml:space="preserve">The organization shall maintain the capability to continue and recover essential operations, including energy delivery, metering, billing-critical data collection and control system functions, during adverse events. Continuity and disaster recovery for OT and AMI shall prioritize safety and service availability, address loss of head-end, communications and control systems, and be exercised with OT personnel.</t>
  </si>
  <si>
    <t xml:space="preserve">The organization develops, implements and governs processes and documentation to facilitate the implementation of contingency planning controls to help ensure resilient Technology Assets, Applications and/or Services (TAAS) (e.g., Continuity of Operations Plan (COOP) or Business Continuity &amp; Disaster Recovery (BC/DR) playbooks), as well as associated standards, controls and procedures, across enterprise IT, Operational Technology (OT) and Advanced Metering Infrastructure (AMI) environments.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</si>
  <si>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Business Continuity &amp; Disaster Recovery (BC/DR) operations are conducted according to documented policies, standards, procedures and/or other organizational directives;
b. Ensuring adequate resources (e.g., people, processes, technologies, data and/or facilities) are provided to support Business Continuity &amp; Disaster Recovery (BC/DR) operations;
c. Ensuring responsibility and authority for the performance of Business Continuity &amp; Disaster Recovery (BC/DR)-related activities are assigned to designated personnel;
d. Ensuring cybersecurity issues are addressed in the development of a critical infrastructure and key resources protection plan;
e. Ensuring privacy issues are addressed in the development of a critical infrastructure and key resources protection plan;
f. Ensuring personnel performing Business Continuity &amp; Disaster Recovery (BC/DR)-related activities have the skills and knowledge needed to perform their assigned duties;
g. Ensuring cybersecurity issues are addressed in the documentation of a critical infrastructure and key resources protection plan;
h. Ensuring privacy issues are addressed in the documentation of a critical infrastructure and key resources protection plan;
i. Documenting manual and degraded-mode operating procedures for metering, control and field operations when OT or AMI systems are unavailable;
j. Maintaining recovery capabilities for AMI head-end, meter data management, SCADA/DMS and supporting telecommunications that meet documented recovery time and recovery point objectives; and
k.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</si>
  <si>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Business Impact Analysis (BIA); Criticality assessments.
In-scope requirement alignment: IEC 62443-2-1: AVAIL 1.1 | IEC 62443-4-2: CR 2.10(a) | NIST SP 800-82 R3 (Moderate OT overlay): CP-01, CP-02, CP-10, PM-08 | NERC CIP: CIP-003-8 1.1.6, CIP-009-6 R1, CIP-009-6 R2, CIP-009-6 R3 | CISA CPG: 5.A | DOE C2M2: RESPONSE-4d | NIST CSF 2.0: GV.SC-08, ID.IM-04, PR.IR-02, PR.IR-03, RS.MA-05, RC, RC.RP, RC.RP-02, RC.RP-04 | NIST SP 800-161 R1 C-SCRM: CP-1, CP-2 | CSA IoT SCF: GVN-03 | NIST Privacy Framework: PR.PO-P7 | NIST SP 800-53B Privacy: CP-01, CP-02, CP-10, IR-04(03), PM-08.
Validation: Annual conformity validation; evidence artifacts E-BCM-01; PPTDF applicability: Process.</t>
  </si>
  <si>
    <t xml:space="preserve">AVAIL 1.1</t>
  </si>
  <si>
    <t xml:space="preserve">CR 2.10(a)</t>
  </si>
  <si>
    <t xml:space="preserve">CP-01, CP-02, CP-10, IR-04(03), PM-08</t>
  </si>
  <si>
    <t xml:space="preserve">CP-01, CP-02, CP-10, PM-08</t>
  </si>
  <si>
    <t xml:space="preserve">CIP-003-8 1.1.6, CIP-009-6 R1, CIP-009-6 R2, CIP-009-6 R3</t>
  </si>
  <si>
    <t xml:space="preserve">5.A</t>
  </si>
  <si>
    <t xml:space="preserve">RESPONSE-4d</t>
  </si>
  <si>
    <t xml:space="preserve">GV.SC-08, ID.IM-04, PR.IR-02, PR.IR-03, RS.MA-05, RC, RC.RP, RC.RP-02, RC.RP-04</t>
  </si>
  <si>
    <t xml:space="preserve">CP-1, CP-2</t>
  </si>
  <si>
    <t xml:space="preserve">GVN-03</t>
  </si>
  <si>
    <t xml:space="preserve">PR.PO-P7</t>
  </si>
  <si>
    <t xml:space="preserve">SG.CP Continuity of Operations; SG.IR Incident Response; SG.PM Security Program Management</t>
  </si>
  <si>
    <t xml:space="preserve">5.29, 5.30</t>
  </si>
  <si>
    <t xml:space="preserve">∙ Continuity of Operations Plan (COOP)
∙ Business Continuity Plan (BCP)
∙ Disaster Recovery Plan (DRP)
∙ Business Impact Analysis (BIA)
∙ Criticality assessments</t>
  </si>
  <si>
    <t xml:space="preserve">BCD-01.1</t>
  </si>
  <si>
    <t xml:space="preserve">Coordinate with Related Plans</t>
  </si>
  <si>
    <t xml:space="preserve">Recover</t>
  </si>
  <si>
    <t xml:space="preserve">Mechanisms exist to coordinate contingency plan development with internal and external elements responsible for related plans.</t>
  </si>
  <si>
    <t xml:space="preserve">Does the organization coordinate contingency plan development with internal and external elements responsible for related plans?</t>
  </si>
  <si>
    <t xml:space="preserve">NIST SP 800-82 R3 - Moderate OT Overlay; NIST Cybersecurity Framework 2.0; NIST SP 800-53B R5 - Moderate baseline</t>
  </si>
  <si>
    <t xml:space="preserve">The organization implements and operates mechanisms to coordinate contingency plan development with internal and external elements responsible for related plans.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</si>
  <si>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contingency plan development is coordinated with organizational elements responsible for related plans;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</si>
  <si>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Incident Response Plan (IRP).
In-scope requirement alignment: NIST SP 800-82 R3 (Moderate OT overlay): CP-02(01) | NIST CSF 2.0: RC.CO | NIST SP 800-53B Moderate: CP-02(01).
Validation: Annual conformity validation; evidence artifacts E-BCM-01; PPTDF applicability: Process.</t>
  </si>
  <si>
    <t xml:space="preserve">CP-02(01)</t>
  </si>
  <si>
    <t xml:space="preserve">RC.CO</t>
  </si>
  <si>
    <t xml:space="preserve">SG.CP Continuity of Operations</t>
  </si>
  <si>
    <t xml:space="preserve">∙ Incident Response Plan (IRP)</t>
  </si>
  <si>
    <t xml:space="preserve">BCD-01.2</t>
  </si>
  <si>
    <t xml:space="preserve">Coordinate With External Service Providers</t>
  </si>
  <si>
    <t xml:space="preserve">Mechanisms exist to coordinate internal contingency plans with the contingency plans of external service providers to ensure that contingency requirements can be satisfied.</t>
  </si>
  <si>
    <t xml:space="preserve">Does the organization coordinate internal contingency plans with the contingency plans of external service providers to ensure that contingency requirements can be satisfied?</t>
  </si>
  <si>
    <t xml:space="preserve">The organization implements and operates mechanisms to coordinate internal contingency plans with the contingency plans of external service providers to ensure that contingency requirements can be satisfied.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</si>
  <si>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contingency plan is coordinated with the contingency plans of external service providers to ensure that contingency requirements can be satisfied;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</si>
  <si>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NIST CSF 2.0: GV.SC-08, RC.CO | CSA IoT SCF: OPA-05.
Validation: Annual conformity validation; evidence artifacts E-BCM-01; PPTDF applicability: Process.</t>
  </si>
  <si>
    <t xml:space="preserve">CP-02(07)</t>
  </si>
  <si>
    <t xml:space="preserve">GV.SC-08, RC.CO</t>
  </si>
  <si>
    <t xml:space="preserve">OPA-05</t>
  </si>
  <si>
    <t xml:space="preserve">∙ Continuity of Operations Plan (COOP)
∙ Business Continuity Plan (BCP)
∙ Disaster Recovery Plan (DRP)</t>
  </si>
  <si>
    <t xml:space="preserve">BCD-01.4</t>
  </si>
  <si>
    <t xml:space="preserve">Recovery Time / Point Objectives (RTO / RPO)</t>
  </si>
  <si>
    <t xml:space="preserve">Mechanisms exist to facilitate recovery operations in accordance with Recovery Time Objectives (RTOs) and Recovery Point Objectives (RPOs).</t>
  </si>
  <si>
    <t xml:space="preserve">Does the organization facilitate recovery operations in accordance with Recovery Time Objectives (RTOs) and Recovery Point Objectives (RPOs)?</t>
  </si>
  <si>
    <t xml:space="preserve">E-BCM-02, E-BCM-03</t>
  </si>
  <si>
    <t xml:space="preserve">NIST SP 800-82 R3 - Moderate OT Overlay; NIST Cybersecurity Framework 2.0; DOE Cybersecurity Capability Maturity Model; NIST SP 800-53B R5 - Privacy baseline</t>
  </si>
  <si>
    <t xml:space="preserve">The organization implements and operates mechanisms to facilitate recovery operations in accordance with Recovery Time Objectives (RTOs) and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</si>
  <si>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time period consistent with Recovery Time Objectives (RTOs) and Recovery Point Objectives (RPOs) for the recovery of the system is determined;
b. Ensuring the alternate storage site is configured to facilitate recovery operations in accordance with Recovery Time Objectives (RTOs) and Recovery Point Objectives (RPOs);
c. Ensuring time period consistent with Recovery Time Objectives (RTOs) and Recovery Point Objectives (RPOs) for the reconstitution of the system is determined;
d. Ensuring the recovery of the system to a known state is provided within a specified time period after a disruption, compromise or failure;
e. Ensuring a reconstitution of the system to a known state is provided within an organization-defined time period after a disruption, compromise or failure;
f. Documenting manual and degraded-mode operating procedures for metering, control and field operations when OT or AMI systems are unavailable;
g. Maintaining recovery capabilities for AMI head-end, meter data management, SCADA/DMS and supporting telecommunications that meet documented recovery time and recovery point objectives; and
h.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</si>
  <si>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Recovery Time Objectives (RTOs); Recovery Point Objectives (RPOs).
In-scope requirement alignment: NIST SP 800-82 R3 (Moderate OT overlay): CP-10 | DOE C2M2: RESPONSE-4g | NIST CSF 2.0: RC.RP, RC.RP-02, RC.RP-04 | NIST SP 800-53B Privacy: CP-10.
Validation: Annual conformity validation; evidence artifacts E-BCM-02, E-BCM-03; PPTDF applicability: Process.</t>
  </si>
  <si>
    <t xml:space="preserve">CP-06(02), CP-10</t>
  </si>
  <si>
    <t xml:space="preserve">CP-10</t>
  </si>
  <si>
    <t xml:space="preserve">RESPONSE-4g</t>
  </si>
  <si>
    <t xml:space="preserve">RC.RP, RC.RP-02, RC.RP-04</t>
  </si>
  <si>
    <t xml:space="preserve">∙ Continuity of Operations Plan (COOP)
∙ Business Continuity Plan (BCP)
∙ Disaster Recovery Plan (DRP)
∙ Recovery Time Objectives (RTOs) 
∙ Recovery Point Objectives (RPOs)</t>
  </si>
  <si>
    <t xml:space="preserve">BCD-01.5</t>
  </si>
  <si>
    <t xml:space="preserve">Recovery Operations Criteria</t>
  </si>
  <si>
    <t xml:space="preserve">Mechanisms exist to define specific criteria that must be met to initiate Business Continuity / Disaster Recover (BC/DR) plans that facilitate business continuity operations capable of meeting applicable Recovery Time Objectives (RTOs) and Recovery Point Objectives (RPOs).</t>
  </si>
  <si>
    <t xml:space="preserve">Does the organization define specific criteria that must be met to initiate Business Continuity / Disaster Recover (BC/DR) plans that facilitate business continuity operations capable of meeting applicable Recovery Time Objectives (RTOs) and Recovery Point Objectives (RPOs)?</t>
  </si>
  <si>
    <t xml:space="preserve">E-BCM-14</t>
  </si>
  <si>
    <t xml:space="preserve">NERC CIP; NIST Cybersecurity Framework 2.0; DOE Cybersecurity Capability Maturity Model</t>
  </si>
  <si>
    <t xml:space="preserve">The organization implements and operates mechanisms to define specific criteria that must be met to initiate Business Continuity / Disaster Recover (BC/DR) plans that facilitate business continuity operations capable of meeting applicable Recovery Time Objectives (RTOs) and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</si>
  <si>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criteria that must be met to initiate Business Continuity / Disaster Recovery (BC/DR) plans that facilitate business continuity operations capable of meeting applicable Recovery Time Objectives (RTOs) and Recovery Point Objectives (RPOs) is defined;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</si>
  <si>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Recovery Time Objectives (RTOs); Recovery Point Objectives (RPOs).
In-scope requirement alignment: NERC CIP: CIP-009-6 1.1 | DOE C2M2: RESPONSE-4h | NIST CSF 2.0: RS.MA-05, RC.RP-01.
Validation: Annual conformity validation; evidence artifacts E-BCM-14; PPTDF applicability: Process.</t>
  </si>
  <si>
    <t xml:space="preserve">CIP-009-6 1.1</t>
  </si>
  <si>
    <t xml:space="preserve">RESPONSE-4h</t>
  </si>
  <si>
    <t xml:space="preserve">RS.MA-05, RC.RP-01</t>
  </si>
  <si>
    <t xml:space="preserve">BCD-01.6</t>
  </si>
  <si>
    <t xml:space="preserve">Recovery Operations Communications</t>
  </si>
  <si>
    <t xml:space="preserve">Mechanisms exist to communicate the status of recovery activities and progress in restoring operational capabilities to designated internal and external stakeholders.</t>
  </si>
  <si>
    <t xml:space="preserve">Does the organization communicate the status of recovery activities and progress in restoring operational capabilities to designated internal and external stakeholders?</t>
  </si>
  <si>
    <t xml:space="preserve">The organization implements and operates mechanisms to communicate the status of recovery activities and progress in restoring operational capabilities to designated internal and external stakeholders.
Within the OT and AMI environment, this objective prioritizes the availability and safe operation of OT and AMI services, including manual or degraded-mode operations when head-end, communications or control systems are unavailable.</t>
  </si>
  <si>
    <t xml:space="preserve">Line management across IT, OT and field operations is responsible for:
a. Ensuring internal and external stakeholders requiring notification of recovery activities and progress in restoring operational capabilities are identified;
b. Ensuring based on the type of incident, methods to contact internal and external stakeholders requiring notification of recovery activities and progress in restoring operational capabilities are identified;
c. Ensuring processes exist to communicate the status of recovery activities and progress in restoring operational capabilities to designated internal and external stakeholders;
d. Documenting manual and degraded-mode operating procedures for metering, control and field operations when OT or AMI systems are unavailable;
e. Maintaining recovery capabilities for AMI head-end, meter data management, SCADA/DMS and supporting telecommunications that meet documented recovery time and recovery point objectives; and
f.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</si>
  <si>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NIST CSF 2.0: RC.CO-03.
Validation: Annual conformity validation; evidence artifacts E-BCM-01; PPTDF applicability: Process.</t>
  </si>
  <si>
    <t xml:space="preserve">RC.CO-03</t>
  </si>
  <si>
    <t xml:space="preserve">BCD-01.7</t>
  </si>
  <si>
    <t xml:space="preserve">Business Continuity &amp; Disaster Recovery (BC/DR) Plans</t>
  </si>
  <si>
    <t xml:space="preserve">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</si>
  <si>
    <t xml:space="preserve">Does the organization ensure process owners establish and maintain formal Business Continuity &amp; Disaster Recovery (BC/DR) plans to ensure information is detailed enough, accurate and representative of current operations in order to sustain and/or restore operations under adverse conditions?</t>
  </si>
  <si>
    <t xml:space="preserve">The organization ensures that 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</si>
  <si>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Documented roles and responsibilities exist that direct process owners to establish and maintain formal Business Continuity &amp; Disaster Recovery (BC/DR) plans;
b. Ensuring Process owners to establish and maintain formal BC/DR plans to ensure information is detailed enough, accurate and representative of current operations in order to sustain and/or restore operations under adverse conditions;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</si>
  <si>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DOE C2M2: RESPONSE-4a, RESPONSE-4e, RESPONSE-4f, RESPONSE-4g, RESPONSE-4m.
Validation: Quarterly conformity validation; evidence artifacts E-BCM-01; PPTDF applicability: Process.</t>
  </si>
  <si>
    <t xml:space="preserve">RESPONSE-4a, RESPONSE-4e, RESPONSE-4f, RESPONSE-4g, RESPONSE-4m</t>
  </si>
  <si>
    <t xml:space="preserve">∙ Enterprise BC/DR platform (e.g., Zerto, Veeam Enterprise)
∙ Dedicated DR site
∙ Automated failover
∙ Annual DR exercises</t>
  </si>
  <si>
    <t xml:space="preserve">BCD-02</t>
  </si>
  <si>
    <t xml:space="preserve">Identify Critical Assets</t>
  </si>
  <si>
    <t xml:space="preserve">Mechanisms exist to identify and document the critical Technology Assets, Applications, Services and/or Data (TAASD) that support essential missions and business functions.</t>
  </si>
  <si>
    <t xml:space="preserve">Does the organization identify and document the critical Technology Assets, Applications, Services and/or Data (TAASD) that support essential missions and business functions?</t>
  </si>
  <si>
    <t xml:space="preserve">E-BCM-08</t>
  </si>
  <si>
    <t xml:space="preserve">NIST SP 800-82 R3 - Moderate OT Overlay; NIST Cybersecurity Framework 2.0; NIST SP 800-53B R5 - Moderate baseline; DOE Cybersecurity Capability Maturity Model; NIST Privacy Framework 1.0; ANSI/ISA-62443-3-2:2020</t>
  </si>
  <si>
    <t xml:space="preserve">The organization implements and operates mechanisms to identify and document the critical Technology Assets, Applications, Services and/or Data (TAASD) that support essential missions and business functions.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</si>
  <si>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systems, applications and services that support essential missions and business functions are identified;
b. Ensuring critical system assets supporting organization-defined criteria mission and business functions are identified;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</si>
  <si>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Business Impact Analysis (BIA); Criticality assessments.
In-scope requirement alignment: NIST SP 800-82 R3 (Moderate OT overlay): CP-02(08) | DOE C2M2: ASSET-1c, ASSET-2c, RISK-2h, RISK-2m, THIRD-PARTIES-1a | NIST CSF 2.0: GV.OC-04, GV.OC-05, ID.AM-05, RC.RP, RC.RP-02, RC.RP-04 | NIST SP 800-53B Moderate: CP-02(08) | NIST Privacy Framework: ID.BE-P3 | ISA/IEC 62443-3-2: ZCR 5.3.
Validation: Annual conformity validation; evidence artifacts E-BCM-08; PPTDF applicability: Process.</t>
  </si>
  <si>
    <t xml:space="preserve">ZCR 5.3</t>
  </si>
  <si>
    <t xml:space="preserve">CP-02(08)</t>
  </si>
  <si>
    <t xml:space="preserve">ASSET-1c, ASSET-2c, RISK-2h, RISK-2m, THIRD-PARTIES-1a</t>
  </si>
  <si>
    <t xml:space="preserve">GV.OC-04, GV.OC-05, ID.AM-05, RC.RP, RC.RP-02, RC.RP-04</t>
  </si>
  <si>
    <t xml:space="preserve">ID.BE-P3</t>
  </si>
  <si>
    <t xml:space="preserve">∙ Business Impact Analysis (BIA)
∙ Criticality assessments</t>
  </si>
  <si>
    <t xml:space="preserve">BCD-02.1</t>
  </si>
  <si>
    <t xml:space="preserve">Resume All Missions &amp; Business Functions</t>
  </si>
  <si>
    <t xml:space="preserve">Mechanisms exist to resume all missions and business functions within Recovery Time Objectives (RTOs) of the contingency plan's activation.</t>
  </si>
  <si>
    <t xml:space="preserve">Does the organization resume all missions and business functions within Recovery Time Objectives (RTOs) of the contingency plan's activation?</t>
  </si>
  <si>
    <t xml:space="preserve">NIST SP 800-82 R3 - Moderate OT Overlay; CISA Cross-Sector Cybersecurity Performance Goals; NIST Cybersecurity Framework 2.0; NIST SP 800-53B R5 - Moderate baseline; NIST SP 800-53B R5 - Privacy baseline</t>
  </si>
  <si>
    <t xml:space="preserve">The organization implements and operates mechanisms to resume all missions and business functions within Recovery Time Objectives (RTOs) of the contingency plan's activation.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</si>
  <si>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the contingency plan activation time period within which to resume all mission and business functions is defined;
b. Ensuring the resumption of all mission and business functions are planned for within an organization-defined time period of contingency plan activation;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</si>
  <si>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NIST SP 800-82 R3 (Moderate OT overlay): CP-02(03) | CISA CPG: 5.A | NIST CSF 2.0: RC.RP, RC.RP-02, RC.RP-04 | NIST SP 800-53B Moderate: CP-02(03) | NIST SP 800-53B Privacy: CP-02(03).
Validation: Annual conformity validation; evidence artifacts E-BCM-01; PPTDF applicability: Process.</t>
  </si>
  <si>
    <t xml:space="preserve">CP-02(03)</t>
  </si>
  <si>
    <t xml:space="preserve">BCD-02.2</t>
  </si>
  <si>
    <t xml:space="preserve">Continue Essential Mission &amp; Business Functions</t>
  </si>
  <si>
    <t xml:space="preserve">Mechanisms exist to continue essential missions and business functions with little or no loss of operational continuity and sustain that continuity until full system restoration at primary processing and/or storage sites.</t>
  </si>
  <si>
    <t xml:space="preserve">Does the organization continue essential missions and business functions with little or no loss of operational continuity and sustain that continuity until full system restoration at primary processing and/or storage sites?</t>
  </si>
  <si>
    <t xml:space="preserve">CISA Cross-Sector Cybersecurity Performance Goals; CSA IoT Security Controls Framework v2</t>
  </si>
  <si>
    <t xml:space="preserve">The organization implements and operates mechanisms to continue essential missions and business functions with little or no loss of operational continuity and sustain that continuity until full system restoration at primary processing and/or storage sites.
Within the OT and AMI environment, this objective prioritizes the availability and safe operation of OT and AMI services, including manual or degraded-mode operations when head-end, communications or control systems are unavailable.</t>
  </si>
  <si>
    <t xml:space="preserve">Line management across IT, OT and field operations is responsible for:
a. Ensuring the continuance of organization-defined criteria mission and business functions with minimal or no loss of operational continuity is planned for;
b. Ensuring continuity is sustained until full system restoration at primary processing and/or storage sites;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</si>
  <si>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CISA CPG: 5.A | CSA IoT SCF: OPA-05.
Validation: Annual conformity validation; evidence artifacts to be defined; PPTDF applicability: Process.</t>
  </si>
  <si>
    <t xml:space="preserve">CP-02(05)</t>
  </si>
  <si>
    <t xml:space="preserve">BCD-02.3</t>
  </si>
  <si>
    <t xml:space="preserve">Resume Essential Missions &amp; Business Functions</t>
  </si>
  <si>
    <t xml:space="preserve">Mechanisms exist to resume essential missions and business functions within an organization-defined time period of contingency plan activation.</t>
  </si>
  <si>
    <t xml:space="preserve">Does the organization resume essential missions and business functions within an organization-defined time period of contingency plan activation?</t>
  </si>
  <si>
    <t xml:space="preserve">NIST SP 800-82 R3 - Moderate OT Overlay; NIST SP 800-53B R5 - Moderate baseline; NIST SP 800-53B R5 - Privacy baseline</t>
  </si>
  <si>
    <t xml:space="preserve">The organization implements and operates mechanisms to resume essential missions and business functions within an organization-defined time period of contingency plan activation.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</si>
  <si>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the contingency plan activation time period within which to resume essential mission and business functions is defined;
b. Ensuring the resumption of essential mission and business functions are planned for within an organization-defined time period of contingency plan activation;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</si>
  <si>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NIST SP 800-82 R3 (Moderate OT overlay): CP-02(03) | NIST SP 800-53B Moderate: CP-02(03) | NIST SP 800-53B Privacy: CP-02(03).
Validation: Annual conformity validation; evidence artifacts to be defined; PPTDF applicability: Process.</t>
  </si>
  <si>
    <t xml:space="preserve">BCD-03</t>
  </si>
  <si>
    <t xml:space="preserve">Contingency Training</t>
  </si>
  <si>
    <t xml:space="preserve">Mechanisms exist to adequately train contingency personnel and applicable stakeholders in their contingency roles and responsibilities.</t>
  </si>
  <si>
    <t xml:space="preserve">Does the organization adequately train contingency personnel and applicable stakeholders in their contingency roles and responsibilities?</t>
  </si>
  <si>
    <t xml:space="preserve">E-BCM-07</t>
  </si>
  <si>
    <t xml:space="preserve">NIST SP 800-82 R3 - Moderate OT Overlay; NIST SP 800-161 R1 - C-SCRM Baseline</t>
  </si>
  <si>
    <t xml:space="preserve">The organization implements and operates mechanisms to adequately train contingency personnel and applicable stakeholders in their contingency roles and responsibilities.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</si>
  <si>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time period within which to provide contingency training after assuming a contingency role or responsibility is defined;
b. Ensuring the frequency at which to provide training to system users with a contingency role or responsibility is defined;
c. Ensuring the frequency at which to review / update contingency training content is defined;
d. Ensuring events necessitating review / update of contingency training are defined;
e. Ensuring contingency training is provided to system users consistent with assigned roles and responsibilities within an organization-defined time period of assuming a contingency role or responsibility;
f. Ensuring contingency training is provided to system users consistent with assigned roles and responsibilities when required by system changes;
g. Ensuring contingency training is provided to system users consistent with assigned roles and responsibilities and frequency thereafter;
h. Ensuring the contingency plan training content is reviewed / updated frequently;
i. Documenting manual and degraded-mode operating procedures for metering, control and field operations when OT or AMI systems are unavailable;
j. Maintaining recovery capabilities for AMI head-end, meter data management, SCADA/DMS and supporting telecommunications that meet documented recovery time and recovery point objectives; and
k.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</si>
  <si>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NIST NICE Framework; Tabletop exercises; Simulated events.
In-scope requirement alignment: NIST SP 800-82 R3 (Moderate OT overlay): CP-03 | NIST SP 800-161 R1 C-SCRM: CP-3.
Validation: Annual conformity validation; evidence artifacts E-BCM-07; PPTDF applicability: People.</t>
  </si>
  <si>
    <t xml:space="preserve">CP-03</t>
  </si>
  <si>
    <t xml:space="preserve">CP-3</t>
  </si>
  <si>
    <t xml:space="preserve">∙ NIST NICE Framework
∙ Tabletop exercises
∙ Simulated events</t>
  </si>
  <si>
    <t xml:space="preserve">BCD-04</t>
  </si>
  <si>
    <t xml:space="preserve">Contingency Plan Testing &amp; Exercises</t>
  </si>
  <si>
    <t xml:space="preserve">Mechanisms exist to conduct tests and/or exercises to evaluate the contingency plan's effectiveness and the organization's readiness to execute the plan.</t>
  </si>
  <si>
    <t xml:space="preserve">Does the organization conduct tests and/or exercises to evaluate the contingency plan's effectiveness and its readiness to execute the plan?</t>
  </si>
  <si>
    <t xml:space="preserve">E-BCM-06, E-BCM-07</t>
  </si>
  <si>
    <t xml:space="preserve">NIST SP 800-82 R3 - Moderate OT Overlay; NERC CIP; DOE Cybersecurity Capability Maturity Model; CSA IoT Security Controls Framework v2; NIST SP 800-161 R1 - C-SCRM Baseline; NIST Privacy Framework 1.0; NIST SP 800-53B R5 - Privacy baseline</t>
  </si>
  <si>
    <t xml:space="preserve">The organization implements and operates mechanisms to conduct tests and/or exercises to evaluate the contingency plan's effectiveness and the organization's readiness to execute the plan.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</si>
  <si>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frequency of testing the contingency plan for the system is defined;
b. Ensuring tests for determining the effectiveness of the contingency plan are defined;
c. Ensuring tests for determining readiness to execute the contingency plan are defined;
d. Ensuring the contingency plan for the system is tested frequently;
e. Ensuring tests are used to determine the effectiveness of the plan;
f. Ensuring tests are used to determine the readiness to execute the plan;
g. Documenting manual and degraded-mode operating procedures for metering, control and field operations when OT or AMI systems are unavailable;
h. Maintaining recovery capabilities for AMI head-end, meter data management, SCADA/DMS and supporting telecommunications that meet documented recovery time and recovery point objectives; and
i.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</si>
  <si>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Tabletop exercises; Simulated events.
In-scope requirement alignment: NIST SP 800-82 R3 (Moderate OT overlay): CP-04 | NERC CIP: CIP-009-6 2.1, CIP-009-6 2.3, CIP-009-6 3.1 | DOE C2M2: RESPONSE-4i, RESPONSE-4n | NIST SP 800-161 R1 C-SCRM: CP-4 | CSA IoT SCF: OPA-03, OPA-06 | NIST Privacy Framework: PR.PO-P8 | NIST SP 800-53B Privacy: CP-04.
Validation: Annual conformity validation; evidence artifacts E-BCM-06, E-BCM-07; PPTDF applicability: Process.</t>
  </si>
  <si>
    <t xml:space="preserve">CP-04</t>
  </si>
  <si>
    <t xml:space="preserve">CIP-009-6 2.1, CIP-009-6 2.3, CIP-009-6 3.1</t>
  </si>
  <si>
    <t xml:space="preserve">RESPONSE-4i, RESPONSE-4n</t>
  </si>
  <si>
    <t xml:space="preserve">CP-4</t>
  </si>
  <si>
    <t xml:space="preserve">OPA-03, OPA-06</t>
  </si>
  <si>
    <t xml:space="preserve">PR.PO-P8</t>
  </si>
  <si>
    <t xml:space="preserve">∙ Tabletop exercises
∙ Simulated events</t>
  </si>
  <si>
    <t xml:space="preserve">BCD-04.1</t>
  </si>
  <si>
    <t xml:space="preserve">Coordinated Testing with Related Plans</t>
  </si>
  <si>
    <t xml:space="preserve">Mechanisms exist to coordinate contingency plan testing with internal and external elements responsible for related plans.</t>
  </si>
  <si>
    <t xml:space="preserve">Does the organization coordinate contingency plan testing with internal and external elements responsible for related plans?</t>
  </si>
  <si>
    <t xml:space="preserve">NIST SP 800-82 R3 - Moderate OT Overlay; NIST SP 800-53B R5 - Moderate baseline</t>
  </si>
  <si>
    <t xml:space="preserve">The organization implements and operates mechanisms to coordinate contingency plan testing with internal and external elements responsible for related plans.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</si>
  <si>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contingency plan testing is coordinated with organizational elements responsible for related plans;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</si>
  <si>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Tabletop exercises; Red Team testing; Penetration testing.
In-scope requirement alignment: NIST SP 800-82 R3 (Moderate OT overlay): CP-04(01) | NIST SP 800-53B Moderate: CP-04(01).
Validation: Annual conformity validation; evidence artifacts to be defined; PPTDF applicability: Process.</t>
  </si>
  <si>
    <t xml:space="preserve">CP-04(01)</t>
  </si>
  <si>
    <t xml:space="preserve">∙ Tabletop exercises
∙ Red Team testing
∙ Penetration testing</t>
  </si>
  <si>
    <t xml:space="preserve">BCD-05</t>
  </si>
  <si>
    <t xml:space="preserve">Contingency Plan Root Cause Analysis (RCA) &amp; Lessons Learned</t>
  </si>
  <si>
    <t xml:space="preserve">Mechanisms exist to conduct a Root Cause Analysis (RCA) and "lessons learned" activity every time the contingency plan is activated.</t>
  </si>
  <si>
    <t xml:space="preserve">Does the organization conduct a Root Cause Analysis (RCA) and "lessons learned" activity every time the contingency plan is activated?</t>
  </si>
  <si>
    <t xml:space="preserve">E-BCM-04</t>
  </si>
  <si>
    <t xml:space="preserve">NIST SP 800-82 R3 - Moderate OT Overlay; NERC CIP; NIST Cybersecurity Framework 2.0; DOE Cybersecurity Capability Maturity Model; NIST SP 800-161 R1 - C-SCRM Baseline; NIST SP 800-53B R5 - Privacy baseline</t>
  </si>
  <si>
    <t xml:space="preserve">The organization implements and operates mechanisms to conduct a Root Cause Analysis (RCA) and "lessons learned" activity every time the contingency plan is activated.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</si>
  <si>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contingency plan test results are reviewed;
b. Ensuring corrective actions to remediate contingency plan deficiencies are initiated, if needed;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</si>
  <si>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Root Cause Analysis (RCA) (After Action Review (AAR), lessons learned, etc.).
In-scope requirement alignment: NIST SP 800-82 R3 (Moderate OT overlay): CP-04 | NERC CIP: CIP-009-6 3.1.1, CIP-009-6 3.1.2 | DOE C2M2: RESPONSE-4o | NIST CSF 2.0: ID.IM-02, ID.IM-03 | NIST SP 800-161 R1 C-SCRM: CP-4 | NIST SP 800-53B Privacy: CP-04.
Validation: Annual conformity validation; evidence artifacts E-BCM-04; PPTDF applicability: Process.</t>
  </si>
  <si>
    <t xml:space="preserve">CIP-009-6 3.1.1, CIP-009-6 3.1.2</t>
  </si>
  <si>
    <t xml:space="preserve">RESPONSE-4o</t>
  </si>
  <si>
    <t xml:space="preserve">ID.IM-02, ID.IM-03</t>
  </si>
  <si>
    <t xml:space="preserve">∙ Root Cause Analysis (RCA) (After Action Review (AAR), lessons learned, etc.)</t>
  </si>
  <si>
    <t xml:space="preserve">BCD-06</t>
  </si>
  <si>
    <t xml:space="preserve">Ongoing Contingency Planning</t>
  </si>
  <si>
    <t xml:space="preserve">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</si>
  <si>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 xml:space="preserve">Does the organization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</si>
  <si>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 xml:space="preserve">E-BCM-05</t>
  </si>
  <si>
    <t xml:space="preserve">The organization implements and operates mechanisms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
Within the OT and AMI environment, this objective prioritizes the availability and safe operation of OT and AMI services, including manual or degraded-mode operations when head-end, communications or control systems are unavailable.</t>
  </si>
  <si>
    <t xml:space="preserve">Line management across IT, OT and field operations is responsible for:
a. Ensuring a contingency plan is developed that identifies essential mission and business functions and associated contingency requirements;
b. Ensuring personnel or roles to review a contingency plan is/are defined;
c. Ensuring the contingency plan is updated to address changes to the organization, system or environment of operation;
d. Ensuring contingency plan changes are communicated to key contingency personnel;
e. Ensuring the contingency plan is updated to address problems encountered during contingency plan implementation, execution or testing;
f. Ensuring personnel or roles to approve a contingency plan is/are defined;
g. Ensuring key contingency personnel (identified by name and/or by role) to whom copies of the contingency plan are distributed are defined;
h. Ensuring key contingency organizational elements to which copies of the contingency plan are distributed are defined;
i. Documenting manual and degraded-mode operating procedures for metering, control and field operations when OT or AMI systems are unavailable;
j. Maintaining recovery capabilities for AMI head-end, meter data management, SCADA/DMS and supporting telecommunications that meet documented recovery time and recovery point objectives; and
k.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</si>
  <si>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Documentation change control.
In-scope requirement alignment: NIST SP 800-82 R3 (Moderate OT overlay): CP-02 | NERC CIP: CIP-009-6 3.1.3, CIP-009-6 3.2.1 | DOE C2M2: RESPONSE-4p | NIST CSF 2.0: ID.IM-04 | NIST SP 800-161 R1 C-SCRM: CP-2 | NIST SP 800-53B Privacy: CP-02.
Validation: Annual conformity validation; evidence artifacts E-BCM-05; PPTDF applicability: Process.</t>
  </si>
  <si>
    <t xml:space="preserve">CP-02</t>
  </si>
  <si>
    <t xml:space="preserve">CIP-009-6 3.1.3, CIP-009-6 3.2.1</t>
  </si>
  <si>
    <t xml:space="preserve">RESPONSE-4p</t>
  </si>
  <si>
    <t xml:space="preserve">ID.IM-04</t>
  </si>
  <si>
    <t xml:space="preserve">CP-2</t>
  </si>
  <si>
    <t xml:space="preserve">∙ Documentation change control</t>
  </si>
  <si>
    <t xml:space="preserve">BCD-06.1</t>
  </si>
  <si>
    <t xml:space="preserve">Contingency Planning Components</t>
  </si>
  <si>
    <t xml:space="preserve">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</si>
  <si>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 xml:space="preserve">Does the organization identify components that potentially impact its ability to execute contingency plans, including changes to:
(1) Personnel roles;
(2) Business processes (including the use of third-party services);
(3) Deployed technologies; 
(4) Data repositories and/or data flows; and/or
(5) Physical infrastructure?</t>
  </si>
  <si>
    <t xml:space="preserve">E-BCM-17</t>
  </si>
  <si>
    <t xml:space="preserve">The organization implements and operates mechanisms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</si>
  <si>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organization identifies components that, if changed, potentially impact the organization's ability to execute contingency plans;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</si>
  <si>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NERC CIP: CIP-009-6 3.2.
Validation: Annual conformity validation; evidence artifacts E-BCM-17; PPTDF applicability: Process.</t>
  </si>
  <si>
    <t xml:space="preserve">CIP-009-6 3.2</t>
  </si>
  <si>
    <t xml:space="preserve">BCD-06.2</t>
  </si>
  <si>
    <t xml:space="preserve">Contingency Plan Update Notifications</t>
  </si>
  <si>
    <t xml:space="preserve">Mechanisms exist to keep stakeholders informed of changes to contingency plans.</t>
  </si>
  <si>
    <t xml:space="preserve">Does the organization keep stakeholders informed of changes to contingency plans?</t>
  </si>
  <si>
    <t xml:space="preserve">The organization implements and operates mechanisms to keep stakeholders informed of changes to contingency plans.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</si>
  <si>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stakeholders for contingency plans are identified;
b. Ensuring stakeholders are informed of changes to contingency plans;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</si>
  <si>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NERC CIP: CIP-009-6 3.2.2.
Validation: Annual conformity validation; evidence artifacts to be defined; PPTDF applicability: Process.</t>
  </si>
  <si>
    <t xml:space="preserve">CIP-009-6 3.2.2</t>
  </si>
  <si>
    <t xml:space="preserve">BCD-08</t>
  </si>
  <si>
    <t xml:space="preserve">Alternate Storage Site</t>
  </si>
  <si>
    <t xml:space="preserve">Mechanisms exist to establish an alternate storage site that includes both the assets and necessary agreements to permit the storage and recovery of system backup information.</t>
  </si>
  <si>
    <t xml:space="preserve">Does the organization establish an alternate storage site that includes both the assets and necessary agreements to permit the storage and recovery of system backup information?</t>
  </si>
  <si>
    <t xml:space="preserve">Facility</t>
  </si>
  <si>
    <t xml:space="preserve">The organization implements and operates mechanisms to establish an alternate storage site that includes both the assets and necessary agreements to permit the storage and recovery of system backup information.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</si>
  <si>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an alternate storage site is established;
b. Ensuring establishment of the alternate storage site includes necessary agreements to permit the storage and retrieval of system backup information;
c. Ensuring the alternate storage site provides controls equivalent to that of the primary site;
d. Ensuring the location or site of the facility where the system resides is planned considering physical and environmental hazards;
e. Documenting manual and degraded-mode operating procedures for metering, control and field operations when OT or AMI systems are unavailable;
f. Maintaining recovery capabilities for AMI head-end, meter data management, SCADA/DMS and supporting telecommunications that meet documented recovery time and recovery point objectives; and
g.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</si>
  <si>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Multi-region cloud storage (AWS, Azure, or Google Cloud); Enterprise backup and DR platform (e.g., Commvault, Veeam Enterprise, Zerto); Alternate storage site with defined SLAs and tested failover; NIST SP 800-34 contingency planning alignment.
In-scope requirement alignment: NIST SP 800-82 R3 (Moderate OT overlay): CP-06 | NIST SP 800-53B Moderate: CP-06 | NIST SP 800-53B Privacy: PE-23.
Validation: Annual conformity validation; evidence artifacts to be defined; PPTDF applicability: Facility.</t>
  </si>
  <si>
    <t xml:space="preserve">CP-06, PE-23</t>
  </si>
  <si>
    <t xml:space="preserve">CP-06</t>
  </si>
  <si>
    <t xml:space="preserve">PE-23</t>
  </si>
  <si>
    <t xml:space="preserve">SG.CP Continuity of Operations; SG.PE Physical and Environmental Security</t>
  </si>
  <si>
    <t xml:space="preserve">8.14</t>
  </si>
  <si>
    <t xml:space="preserve">∙ Multi-region cloud storage (AWS, Azure, or Google Cloud)
∙ Enterprise backup and DR platform (e.g., Commvault, Veeam Enterprise, Zerto)
∙ Alternate storage site with defined SLAs and tested failover
∙ NIST SP 800-34 contingency planning alignment</t>
  </si>
  <si>
    <t xml:space="preserve">BCD-08.1</t>
  </si>
  <si>
    <t xml:space="preserve">Separation from Primary Storage Site</t>
  </si>
  <si>
    <t xml:space="preserve">Mechanisms exist to separate the alternate storage site from the primary storage site to reduce susceptibility to similar threats.</t>
  </si>
  <si>
    <t xml:space="preserve">Does the organization separate the alternate storage site from the primary storage site to reduce susceptibility to similar threats?</t>
  </si>
  <si>
    <t xml:space="preserve">The organization implements and operates mechanisms to separate the alternate storage site from the primary storage site to reduce susceptibility to similar threats.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</si>
  <si>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an alternate storage site that is sufficiently separated from the primary storage site is identified to reduce susceptibility to the same threats;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</si>
  <si>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In-scope requirement alignment: NIST SP 800-82 R3 (Moderate OT overlay): CP-06(01) | NIST SP 800-53B Moderate: CP-06(01).
Validation: Annual conformity validation; evidence artifacts to be defined; PPTDF applicability: Facility.</t>
  </si>
  <si>
    <t xml:space="preserve">CP-06(01)</t>
  </si>
  <si>
    <t xml:space="preserve">∙ Continuity of Operations Plan (COOP)</t>
  </si>
  <si>
    <t xml:space="preserve">BCD-08.2</t>
  </si>
  <si>
    <t xml:space="preserve">Primary Storage Site Accessibility</t>
  </si>
  <si>
    <t xml:space="preserve">Mechanisms exist to identify and mitigate potential accessibility problems to the alternate storage sites in the event of an area-wide disruption or disaster.</t>
  </si>
  <si>
    <t xml:space="preserve">Does the organization identify and mitigate potential accessibility problems to the alternate storage sites in the event of an area-wide disruption or disaster?</t>
  </si>
  <si>
    <t xml:space="preserve">The organization implements and operates mechanisms to identify and mitigate potential accessibility problems to the alternate storage sites in the event of an area-wide disruption or disaster.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</si>
  <si>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potential accessibility problems to the alternate storage site in the event of an area-wide disruption or disaster are identified;
b. Ensuring explicit mitigation actions to address identified accessibility problems are outlined;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</si>
  <si>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In-scope requirement alignment: NIST SP 800-82 R3 (Moderate OT overlay): CP-06(03) | NIST SP 800-53B Moderate: CP-06(03).
Validation: Annual conformity validation; evidence artifacts to be defined; PPTDF applicability: Facility.</t>
  </si>
  <si>
    <t xml:space="preserve">CP-06(03)</t>
  </si>
  <si>
    <t xml:space="preserve">BCD-09</t>
  </si>
  <si>
    <t xml:space="preserve">Alternate Processing Site</t>
  </si>
  <si>
    <t xml:space="preserve">Mechanisms exist to establish an alternate processing site that provides security measures equivalent to that of the primary site.</t>
  </si>
  <si>
    <t xml:space="preserve">Does the organization establish an alternate processing site that provides security measures equivalent to that of the primary site?</t>
  </si>
  <si>
    <t xml:space="preserve">The organization implements and operates mechanisms to establish an alternate processing site that provides security measures equivalent to that of the primary site.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</si>
  <si>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system operations for essential mission and business functions are defined;
b. Ensuring time period consistent with recovery time and recovery point objectives is defined;
c. Ensuring an alternate processing site, including necessary agreements to permit the transfer and resumption of system operations for essential mission and business functions, is established within an organization-defined time period when the primary processing capabilities are unavailable;
d. Ensuring the equipment and supplies required to transfer operations are made available at the alternate processing site or if contracts are in place to support delivery to the site within an organization-specified time period for transfer;
e. Ensuring the equipment and supplies required to resume operations are made available at the alternate processing site or if contracts are in place to support delivery to the site within an organization-defined time period for resumption;
f. Ensuring controls provided at the alternate processing site are equivalent to those at the primary site;
g. Ensuring the location or site of the facility where the system resides is planned considering physical and environmental hazards;
h. Documenting manual and degraded-mode operating procedures for metering, control and field operations when OT or AMI systems are unavailable;
i. Maintaining recovery capabilities for AMI head-end, meter data management, SCADA/DMS and supporting telecommunications that meet documented recovery time and recovery point objectives; and
j.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</si>
  <si>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DR platform with automated failover (e.g., Zerto, Veeam Replication, AWS DRS); Geographically separate alternate processing site (cloud or colocation); Regularly tested failover with RTO/RPO compliance verification; NIST SP 800-34 contingency planning alignment.
In-scope requirement alignment: NIST SP 800-82 R3 (Moderate OT overlay): CP-07 | NIST SP 800-53B Moderate: CP-07 | NIST SP 800-53B Privacy: PE-23.
Validation: Annual conformity validation; evidence artifacts to be defined; PPTDF applicability: Facility.</t>
  </si>
  <si>
    <t xml:space="preserve">CP-07, PE-23</t>
  </si>
  <si>
    <t xml:space="preserve">CP-07</t>
  </si>
  <si>
    <t xml:space="preserve">∙ Enterprise DR platform with automated failover (e.g., Zerto, Veeam Replication, AWS DRS)
∙ Geographically separate alternate processing site (cloud or colocation)
∙ Regularly tested failover with RTO/RPO compliance verification
∙ NIST SP 800-34 contingency planning alignment</t>
  </si>
  <si>
    <t xml:space="preserve">BCD-09.1</t>
  </si>
  <si>
    <t xml:space="preserve">Separation from Primary Processing Site</t>
  </si>
  <si>
    <t xml:space="preserve">Mechanisms exist to separate the alternate processing site from the primary processing site to reduce susceptibility to similar threats.</t>
  </si>
  <si>
    <t xml:space="preserve">Does the organization separate the alternate processing site from the primary processing site to reduce susceptibility to similar threats?</t>
  </si>
  <si>
    <t xml:space="preserve">The organization implements and operates mechanisms to separate the alternate processing site from the primary processing site to reduce susceptibility to similar threats.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</si>
  <si>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an alternate processing site is sufficiently separated from the primary processing site to reduce susceptibility to the same threats is identified;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</si>
  <si>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In-scope requirement alignment: NIST SP 800-82 R3 (Moderate OT overlay): CP-07(01) | NIST SP 800-53B Moderate: CP-07(01).
Validation: Annual conformity validation; evidence artifacts to be defined; PPTDF applicability: Facility.</t>
  </si>
  <si>
    <t xml:space="preserve">CP-07(01)</t>
  </si>
  <si>
    <t xml:space="preserve">BCD-09.2</t>
  </si>
  <si>
    <t xml:space="preserve">Alternate Processing Site Accessibility</t>
  </si>
  <si>
    <t xml:space="preserve">Mechanisms exist to identify and mitigate potential accessibility problems to the alternate processing sites and possible mitigation actions, in the event of an area-wide disruption or disaster.</t>
  </si>
  <si>
    <t xml:space="preserve">Does the organization identify and mitigate potential accessibility problems to the alternate processing sites and possible mitigation actions, in the event of an area-wide disruption or disaster?</t>
  </si>
  <si>
    <t xml:space="preserve">The organization implements and operates mechanisms to identify and mitigate potential accessibility problems to the alternate processing sites and possible mitigation actions, in the event of an area-wide disruption or disaster.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</si>
  <si>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potential accessibility problems to alternate processing sites in the event of an area-wide disruption or disaster are identified;
b. Ensuring explicit mitigation actions to address identified accessibility problems are outlined;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</si>
  <si>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In-scope requirement alignment: NIST SP 800-82 R3 (Moderate OT overlay): CP-07(02) | NIST SP 800-53B Moderate: CP-07(02).
Validation: Annual conformity validation; evidence artifacts to be defined; PPTDF applicability: Facility.</t>
  </si>
  <si>
    <t xml:space="preserve">CP-07(02)</t>
  </si>
  <si>
    <t xml:space="preserve">BCD-09.3</t>
  </si>
  <si>
    <t xml:space="preserve">Alternate Site Priority of Service</t>
  </si>
  <si>
    <t xml:space="preserve">Mechanisms exist to address priority-of-service provisions in alternate processing and storage sites that support availability requirements, including Recovery Time Objectives (RTOs).</t>
  </si>
  <si>
    <t xml:space="preserve">Does the organization address priority-of-service provisions in alternate processing and storage sites that support availability requirements, including Recovery Time Objectives (RTOs)?</t>
  </si>
  <si>
    <t xml:space="preserve">E-TPM-04</t>
  </si>
  <si>
    <t xml:space="preserve">The organization implements and operates mechanisms to address priority-of-service provisions in alternate processing and storage sites that support availability requirements, including Recovery Time Objectives (RTOs).
Within the OT and AMI environment, this objective prioritizes the availability and safe operation of OT and AMI services, including manual or degraded-mode operations when head-end, communications or control systems are unavailable.</t>
  </si>
  <si>
    <t xml:space="preserve">Line management across IT, OT and field operations is responsible for:
a. Ensuring alternate processing site agreements that contain priority-of-service provisions in accordance with availability requirements (including recovery time objectives) are developed;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</si>
  <si>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Priority-of-service contract provisions for hot / warm / cold sites.
In-scope requirement alignment: NIST SP 800-82 R3 (Moderate OT overlay): CP-07(03) | NIST SP 800-53B Moderate: CP-07(03).
Validation: Annual conformity validation; evidence artifacts E-TPM-04; PPTDF applicability: Facility.</t>
  </si>
  <si>
    <t xml:space="preserve">CP-07(03)</t>
  </si>
  <si>
    <t xml:space="preserve">∙ Priority-of-service contract provisions for hot / warm / cold sites.</t>
  </si>
  <si>
    <t xml:space="preserve">BCD-10</t>
  </si>
  <si>
    <t xml:space="preserve">Telecommunications Services Availability</t>
  </si>
  <si>
    <t xml:space="preserve">Mechanisms exist to reduce the likelihood of a single point of failure with primary telecommunications services.</t>
  </si>
  <si>
    <t xml:space="preserve">Does the organization reduce the likelihood of a single point of failure with primary telecommunications services?</t>
  </si>
  <si>
    <t xml:space="preserve">The organization implements and operates mechanisms to reduce the likelihood of a single point of failure with primary telecommunications services.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</si>
  <si>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alternative communications protocols in support of maintaining continuity of operations are defined;
b. Ensuring the capability to employ alternative communications protocols are provided in support of maintaining continuity of operations;
c. Ensuring system operations to be resumed for essential mission and business functions are defined;
d. Ensuring time period within which to resume essential mission and business functions when the primary telecommunications capabilities are unavailable is defined;
e. Ensuring alternate telecommunications services, including necessary agreements to permit the resumption of system operations, are established for essential mission and business functions within an organization-defined time period when the primary telecommunications capabilities are unavailable at either the primary or alternate processing or storage sites;
f. Ensuring alternate telecommunications services to reduce the likelihood of sharing a single point of failure with primary telecommunications services are obtained;
g. Documenting manual and degraded-mode operating procedures for metering, control and field operations when OT or AMI systems are unavailable;
h. Maintaining recovery capabilities for AMI head-end, meter data management, SCADA/DMS and supporting telecommunications that meet documented recovery time and recovery point objectives; and
i.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</si>
  <si>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Alternate / redundant telecommunications services are maintained with more than one telecom / Internet provider.
In-scope requirement alignment: NIST SP 800-82 R3 (Moderate OT overlay): CP-08, CP-08(02) | NIST SP 800-53B Moderate: CP-08, CP-08(02).
Validation: Annual conformity validation; evidence artifacts to be defined; PPTDF applicability: Facility.</t>
  </si>
  <si>
    <t xml:space="preserve">CP-08, CP-08(02), CP-11</t>
  </si>
  <si>
    <t xml:space="preserve">CP-08, CP-08(02)</t>
  </si>
  <si>
    <t xml:space="preserve">∙ Alternate / redundant telecommunications services are maintained with more than one telecom / Internet provider.</t>
  </si>
  <si>
    <t xml:space="preserve">BCD-10.1</t>
  </si>
  <si>
    <t xml:space="preserve">Telecommunications Priority of Service Provisions</t>
  </si>
  <si>
    <t xml:space="preserve">Mechanisms exist to formalize primary and alternate telecommunications service agreements contain priority-of-service provisions that support availability requirements, including Recovery Time Objectives (RTOs).</t>
  </si>
  <si>
    <t xml:space="preserve">Does the organization formalize primary and alternate telecommunications service agreements contain priority-of-service provisions that support availability requirements, including Recovery Time Objectives (RTOs)?</t>
  </si>
  <si>
    <t xml:space="preserve">The organization implements and operates mechanisms to formalize primary and alternate telecommunications service agreements contain priority-of-service provisions that support availability requirements, including Recovery Time Objectives (RTOs).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</si>
  <si>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primary telecommunications service agreements that contain priority-of-service provisions in accordance with availability requirements (including recovery time objectives) are developed;
b. Ensuring alternate telecommunications service agreements that contain priority-of-service provisions in accordance with availability requirements (including recovery time objectives) are developed;
c. Ensuring Telecommunications Service Priority is requested for all telecommunications services used for national security emergency preparedness if the primary and/or alternate telecommunications services are provided by a common carrier;
d. Documenting manual and degraded-mode operating procedures for metering, control and field operations when OT or AMI systems are unavailable;
e. Maintaining recovery capabilities for AMI head-end, meter data management, SCADA/DMS and supporting telecommunications that meet documented recovery time and recovery point objectives; and
f.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</si>
  <si>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Priority-of-service contract provisions for hot / warm / cold sites.
In-scope requirement alignment: NIST SP 800-82 R3 (Moderate OT overlay): CP-08(01) | NIST SP 800-53B Moderate: CP-08(01).
Validation: Annual conformity validation; evidence artifacts E-TPM-04; PPTDF applicability: Facility.</t>
  </si>
  <si>
    <t xml:space="preserve">CP-08(01)</t>
  </si>
  <si>
    <t xml:space="preserve">BCD-11</t>
  </si>
  <si>
    <t xml:space="preserve">Data Backups</t>
  </si>
  <si>
    <t xml:space="preserve">Mechanisms exist to create recurring backups of data, software and/or system images, as well as verify the integrity of these backups, to ensure the availability of the data to satisfy Recovery Time Objectives (RTOs) and Recovery Point Objectives (RPOs).</t>
  </si>
  <si>
    <t xml:space="preserve">Does the organization create recurring backups of data, software and/or system images, as well as verify the integrity of these backups, to ensure the availability of the data to satisfy Recovery Time Objectives (RTOs) and Recovery Point Objectives (RPOs)?</t>
  </si>
  <si>
    <t xml:space="preserve">E-BCM-10, E-BCM-11, E-BCM-12, E-BCM-13</t>
  </si>
  <si>
    <t xml:space="preserve">IEC 62443-2-1:2024; IEC 62443-3-3:2013; IEC 62443-4-2:2019; NIST SP 800-82 R3 - Moderate OT Overlay; NERC CIP; CISA Cross-Sector Cybersecurity Performance Goals; NIST Cybersecurity Framework 2.0; DOE Cybersecurity Capability Maturity Model; NIST Privacy Framework 1.0; NIST SP 800-53B R5 - Privacy baseline</t>
  </si>
  <si>
    <t xml:space="preserve">The organization shall maintain protected, integrity-verified backups of OT and AMI systems, including controller logic, head-end configuration, meter programs and cryptographic material, and shall validate that those backups can restore operations within required timeframes.</t>
  </si>
  <si>
    <t xml:space="preserve">The organization implements and operates mechanisms to create recurring backups of data, software and/or system images, as well as verify the integrity of these backups, to ensure the availability of the data to satisfy Recovery Time Objectives (RTOs) and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</si>
  <si>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confidentiality of backup sensitive / regulated data is protected at storage locations;
b. Ensuring system components for which to conduct backups of user-level information are defined;
c. Ensuring the frequency at which to conduct backups of user-level information consistent with recovery time and recovery point objectives is defined;
d. Ensuring the frequency at which to conduct backups of system-level information consistent with recovery time and recovery point objectives is defined;
e. Ensuring the frequency at which to conduct backups of system documentation consistent with recovery time and recovery point objectives is defined;
f. Ensuring backups of user-level information contained in system components are conducted frequently;
g. Ensuring backups of system-level information contained in the system are conducted frequently;
h. Ensuring backups of system documentation, including security- and privacy-related documentation are conducted frequently;
i. Backing up OT and AMI systems, including controller logic, HMI projects, head-end and MDM configuration, meter programs and cryptographic material, to protected, offline or immutable storage; and
j. Testing restoration of OT and AMI backups at least annually in an isolated environment.</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</si>
  <si>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Disaster Recovery Plan (DRP); Enterprise backup platform with immutable storage (e.g., Commvault, Veeam, Rubrik); Ransomware-resilient backup architecture (air-gap or immutable); Automated backup validation and recovery testing; Backup data encrypted at rest and in transit.
In-scope requirement alignment: IEC 62443-2-1: AVAIL 2.1, AVAIL 2.2 | IEC 62443-3-3: SR 7.3 RE 2 | IEC 62443-4-2: CR 7.3 | NIST SP 800-82 R3 (Moderate OT overlay): CP-09 | NERC CIP: CIP-009-6 1.3, CIP-009-6 1.4 | CISA CPG: 2.R | DOE C2M2: RESPONSE-4b, RESPONSE-4j | NIST CSF 2.0: PR.DS-11 | NIST Privacy Framework: PR.PO-P3 | NIST SP 800-53B Privacy: SC-28(02).
Validation: Quarterly conformity validation; evidence artifacts E-BCM-10, E-BCM-11, E-BCM-12, E-BCM-13; PPTDF applicability: Technology.</t>
  </si>
  <si>
    <t xml:space="preserve">AVAIL 2.1, AVAIL 2.2</t>
  </si>
  <si>
    <t xml:space="preserve">SR 7.3 RE 2</t>
  </si>
  <si>
    <t xml:space="preserve">CR 7.3</t>
  </si>
  <si>
    <t xml:space="preserve">CP-09, SC-28(02)</t>
  </si>
  <si>
    <t xml:space="preserve">CP-09</t>
  </si>
  <si>
    <t xml:space="preserve">CIP-009-6 1.3, CIP-009-6 1.4</t>
  </si>
  <si>
    <t xml:space="preserve">2.R</t>
  </si>
  <si>
    <t xml:space="preserve">RESPONSE-4b, RESPONSE-4j</t>
  </si>
  <si>
    <t xml:space="preserve">PR.DS-11</t>
  </si>
  <si>
    <t xml:space="preserve">PR.PO-P3</t>
  </si>
  <si>
    <t xml:space="preserve">SC-28(02)</t>
  </si>
  <si>
    <t xml:space="preserve">SG.CP Continuity of Operations; SG.SC Smart Grid Information System and Communication Protection</t>
  </si>
  <si>
    <t xml:space="preserve">8.13</t>
  </si>
  <si>
    <t xml:space="preserve">∙ Disaster Recovery Plan (DRP)
∙ Enterprise backup platform with immutable storage (e.g., Commvault, Veeam, Rubrik)
∙ Ransomware-resilient backup architecture (air-gap or immutable)
∙ Automated backup validation and recovery testing
∙ Backup data encrypted at rest and in transit</t>
  </si>
  <si>
    <t xml:space="preserve">BCD-11.1</t>
  </si>
  <si>
    <t xml:space="preserve">Testing for Reliability &amp; Integrity</t>
  </si>
  <si>
    <t xml:space="preserve">Mechanisms exist to routinely test backups that verify the reliability of the backup process, as well as the integrity and availability of the data.</t>
  </si>
  <si>
    <t xml:space="preserve">Does the organization routinely test backups that verify the reliability of the backup process, as well as the integrity and availability of the data?</t>
  </si>
  <si>
    <t xml:space="preserve">E-BCM-10</t>
  </si>
  <si>
    <t xml:space="preserve">IEC 62443-4-2:2019; NIST SP 800-82 R3 - Moderate OT Overlay; NERC CIP; CISA Cross-Sector Cybersecurity Performance Goals; NIST Cybersecurity Framework 2.0; NIST SP 800-53B R5 - Moderate baseline; DOE Cybersecurity Capability Maturity Model</t>
  </si>
  <si>
    <t xml:space="preserve">The organization implements and operates mechanisms to routinely test backups that verify the reliability of the backup process, as well as the integrity and availability of the data.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</si>
  <si>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frequency at which to test backup information for media reliability is defined;
b. Ensuring the frequency at which to test backup information for information integrity is defined;
c. Ensuring backup information is tested frequently to verify media reliability;
d. Ensuring backup information is tested frequently to verify information integrity;
e. Documenting manual and degraded-mode operating procedures for metering, control and field operations when OT or AMI systems are unavailable;
f. Maintaining recovery capabilities for AMI head-end, meter data management, SCADA/DMS and supporting telecommunications that meet documented recovery time and recovery point objectives; and
g.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</si>
  <si>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Randomized data recovery testing.
In-scope requirement alignment: IEC 62443-4-2: CR 7.3(1) | NIST SP 800-82 R3 (Moderate OT overlay): CP-09(01) | NERC CIP: CIP-009-6 1.4, CIP-009-6 2.2 | CISA CPG: 2.R | DOE C2M2: RESPONSE-4b | NIST CSF 2.0: PR.DS-11 | NIST SP 800-53B Moderate: CP-09(01).
Validation: Annual conformity validation; evidence artifacts E-BCM-10; PPTDF applicability: Process.</t>
  </si>
  <si>
    <t xml:space="preserve">CR 7.3(1)</t>
  </si>
  <si>
    <t xml:space="preserve">CP-09(01)</t>
  </si>
  <si>
    <t xml:space="preserve">CIP-009-6 1.4, CIP-009-6 2.2</t>
  </si>
  <si>
    <t xml:space="preserve">RESPONSE-4b</t>
  </si>
  <si>
    <t xml:space="preserve">∙ Randomized data recovery testing</t>
  </si>
  <si>
    <t xml:space="preserve">BCD-11.2</t>
  </si>
  <si>
    <t xml:space="preserve">Separate Storage for Critical Information</t>
  </si>
  <si>
    <t xml:space="preserve">Mechanisms exist to store backup copies of critical software and other security-related information in a separate facility or in a fire-rated container that is not collocated with the system being backed up.</t>
  </si>
  <si>
    <t xml:space="preserve">Does the organization store backup copies of critical software and other security-related information in a separate facility or in a fire-rated container that is not collocated with the system being backed up?</t>
  </si>
  <si>
    <t xml:space="preserve">E-AST-08, E-BCM-11, E-BCM-12, E-BCM-13</t>
  </si>
  <si>
    <t xml:space="preserve">IEC 62443-2-1:2024; IEC 62443-3-3:2013; CISA Cross-Sector Cybersecurity Performance Goals; DOE Cybersecurity Capability Maturity Model</t>
  </si>
  <si>
    <t xml:space="preserve">The organization implements and operates mechanisms to store backup copies of critical software and other security-related information in a separate facility or in a fire-rated container that is not collocated with the system being backed up.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</si>
  <si>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critical system software and other security-related information backups to be stored in a separate facility are defined;
b. Ensuring backup copies of critical system software and other security-related information are stored in a separate facility or in a fire rated container that is not collocated with the operational system;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</si>
  <si>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Disaster Recovery Plan (DRP); On-site data backup solution; Off-site data backup service.
In-scope requirement alignment: IEC 62443-2-1: AVAIL 2.4 | IEC 62443-3-3: SR 7.3 | CISA CPG: 2.R | DOE C2M2: RESPONSE-4k.
Validation: Annual conformity validation; evidence artifacts E-AST-08, E-BCM-11, E-BCM-12, E-BCM-13; PPTDF applicability: Process.</t>
  </si>
  <si>
    <t xml:space="preserve">AVAIL 2.4</t>
  </si>
  <si>
    <t xml:space="preserve">SR 7.3</t>
  </si>
  <si>
    <t xml:space="preserve">CP-09(03)</t>
  </si>
  <si>
    <t xml:space="preserve">RESPONSE-4k</t>
  </si>
  <si>
    <t xml:space="preserve">∙ Disaster Recovery Plan (DRP)
∙ On-site data backup solution
∙ Off-site data backup service</t>
  </si>
  <si>
    <t xml:space="preserve">BCD-11.4</t>
  </si>
  <si>
    <t xml:space="preserve">Cryptographic Protection</t>
  </si>
  <si>
    <t xml:space="preserve">Cryptographic mechanisms exist to prevent the unauthorized disclosure and/or modification of backup information.</t>
  </si>
  <si>
    <t xml:space="preserve">Are cryptographic mechanisms utilized to prevent the unauthorized disclosure and/or modification of backup information?</t>
  </si>
  <si>
    <t xml:space="preserve">Data</t>
  </si>
  <si>
    <t xml:space="preserve">E-BCM-16</t>
  </si>
  <si>
    <t xml:space="preserve">IEC 62443-2-1:2024; NIST SP 800-82 R3 - Moderate OT Overlay; NIST SP 800-53B R5 - Moderate baseline; DOE Cybersecurity Capability Maturity Model; NIST SP 800-53B R5 - Privacy baseline</t>
  </si>
  <si>
    <t xml:space="preserve">The organization implements and operates cryptographic mechanisms to prevent the unauthorized disclosure and/or modification of backup information.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</si>
  <si>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confidentiality of backup information is protected;
b. Ensuring backup information to protect against unauthorized disclosure and modification is defined;
c. Ensuring cryptographic mechanisms are implemented to prevent the unauthorized disclosure of sensitive / regulated data at backup storage locations;
d. Documenting manual and degraded-mode operating procedures for metering, control and field operations when OT or AMI systems are unavailable;
e. Maintaining recovery capabilities for AMI head-end, meter data management, SCADA/DMS and supporting telecommunications that meet documented recovery time and recovery point objectives; and
f.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</si>
  <si>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Secure Baseline Configurations (SBC); Data-at-rest cryptography.
In-scope requirement alignment: IEC 62443-2-1: AVAIL 2.4 | NIST SP 800-82 R3 (Moderate OT overlay): CP-09(08), SC-28(01) | DOE C2M2: RESPONSE-4j | NIST SP 800-53B Moderate: CP-09(08), SC-28(01) | NIST SP 800-53B Privacy: SC-28(01).
Validation: Annual conformity validation; evidence artifacts E-BCM-16; PPTDF applicability: Data.</t>
  </si>
  <si>
    <t xml:space="preserve">CP-09(08), SC-28(01)</t>
  </si>
  <si>
    <t xml:space="preserve">RESPONSE-4j</t>
  </si>
  <si>
    <t xml:space="preserve">SC-28(01)</t>
  </si>
  <si>
    <t xml:space="preserve">∙ Secure Baseline Configurations (SBC)
∙ Data-at-rest cryptography</t>
  </si>
  <si>
    <t xml:space="preserve">BCD-11.5</t>
  </si>
  <si>
    <t xml:space="preserve">Test Restoration Using Sampling</t>
  </si>
  <si>
    <t xml:space="preserve">Mechanisms exist to utilize sampling of available backups to test recovery capabilities as part of business continuity plan testing.</t>
  </si>
  <si>
    <t xml:space="preserve">Does the organization utilize sampling of available backups to test recovery capabilities as part of business continuity plan testing?</t>
  </si>
  <si>
    <t xml:space="preserve">E-BCM-15</t>
  </si>
  <si>
    <t xml:space="preserve">IEC 62443-2-1:2024; IEC 62443-3-3:2013; NIST Cybersecurity Framework 2.0</t>
  </si>
  <si>
    <t xml:space="preserve">The organization implements and operates mechanisms to utilize sampling of available backups to test recovery capabilities as part of business continuity plan testing.
Within the OT and AMI environment, this objective prioritizes the availability and safe operation of OT and AMI services, including manual or degraded-mode operations when head-end, communications or control systems are unavailable.</t>
  </si>
  <si>
    <t xml:space="preserve">The Project Management Office (PMO), including OT and AMI program managers, is responsible for:
a. Ensuring a sample of backup information in the restoration of selected system functions is used as part of contingency plan testing;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</si>
  <si>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Randomized data recovery testing.
In-scope requirement alignment: IEC 62443-2-1: AVAIL 2.3 | IEC 62443-3-3: SR 7.3 RE 1 | NIST CSF 2.0: PR.DS-11.
Validation: Annual conformity validation; evidence artifacts E-BCM-15; PPTDF applicability: Data.</t>
  </si>
  <si>
    <t xml:space="preserve">AVAIL 2.3</t>
  </si>
  <si>
    <t xml:space="preserve">SR 7.3 RE 1</t>
  </si>
  <si>
    <t xml:space="preserve">CP-09(02)</t>
  </si>
  <si>
    <t xml:space="preserve">BCD-11.6</t>
  </si>
  <si>
    <t xml:space="preserve">Transfer to Alternate Storage Site</t>
  </si>
  <si>
    <t xml:space="preserve">Mechanisms exist to transfer backup data to the alternate storage site at a rate that is capable of meeting both Recovery Time Objectives (RTOs) and Recovery Point Objectives (RPOs).</t>
  </si>
  <si>
    <t xml:space="preserve">Does the organization transfer backup data to the alternate storage site at a rate that is capable of meeting both Recovery Time Objectives (RTOs) and Recovery Point Objectives (RPOs)?</t>
  </si>
  <si>
    <t xml:space="preserve">E-BCM-12</t>
  </si>
  <si>
    <t xml:space="preserve">The organization implements and operates mechanisms to transfer backup data to the alternate storage site at a rate that is capable of meeting both Recovery Time Objectives (RTOs) and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</si>
  <si>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system backup information is transferred to the alternate storage site for an organization-defined time period;
b. Ensuring time period consistent with recovery time and recovery point objectives is defined;
c. Ensuring transfer rate consistent with recovery time and recovery point objectives is defined;
d. Ensuring system backup information is transferred to the alternate storage site transfer rate;
e. Documenting manual and degraded-mode operating procedures for metering, control and field operations when OT or AMI systems are unavailable;
f. Maintaining recovery capabilities for AMI head-end, meter data management, SCADA/DMS and supporting telecommunications that meet documented recovery time and recovery point objectives; and
g.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</si>
  <si>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Recovery Time Objectives (RTOs); Recovery Point Objectives (RPOs).
In-scope requirement alignment: NIST CSF 2.0: PR.DS-11.
Validation: Annual conformity validation; evidence artifacts E-BCM-12; PPTDF applicability: Process.</t>
  </si>
  <si>
    <t xml:space="preserve">CP-09(05)</t>
  </si>
  <si>
    <t xml:space="preserve">∙ Continuity of Operations Plan (COOP)
∙ Recovery Time Objectives (RTOs) 
∙ Recovery Point Objectives (RPOs)</t>
  </si>
  <si>
    <t xml:space="preserve">BCD-11.9</t>
  </si>
  <si>
    <t xml:space="preserve">Backup Access</t>
  </si>
  <si>
    <t xml:space="preserve">Mechanisms exist to restrict access to backups to privileged users with assigned roles for data backup and recovery operations.</t>
  </si>
  <si>
    <t xml:space="preserve">Does the organization restrict access to backups to privileged users with assigned roles for data backup and recovery operations?</t>
  </si>
  <si>
    <t xml:space="preserve">The organization implements and operates mechanisms to restrict access to backups to privileged users with assigned roles for data backup and recovery operations.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</si>
  <si>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Role Based Access Controls (RBAC) are utilized to logically restrict access to backups to privileged users with assigned roles for data backup and recovery operations;
b. Ensuring Physical Access Controls (PAC) are utilized to physically restrict access to backups to privileged users with assigned roles for data backup and recovery operations;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</si>
  <si>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Logical Access Control (LAC); Physical Access Control (PAC).
In-scope requirement alignment: DOE C2M2: RESPONSE-4j.
Validation: Annual conformity validation; evidence artifacts to be defined; PPTDF applicability: Data.</t>
  </si>
  <si>
    <t xml:space="preserve">∙ Logical Access Control (LAC)
∙ Physical Access Control (PAC)</t>
  </si>
  <si>
    <t xml:space="preserve">BCD-12</t>
  </si>
  <si>
    <t xml:space="preserve">Technology Assets, Applications and/or Services (TAAS) Recovery &amp; Reconstitution</t>
  </si>
  <si>
    <t xml:space="preserve">Mechanisms exist to ensure the secure recovery and reconstitution of Technology Assets, Applications and/or Services (TAAS) to a known state after a disruption, compromise or failure.</t>
  </si>
  <si>
    <t xml:space="preserve">Does the organization ensure the secure recovery and reconstitution of Technology Assets, Applications and/or Services (TAAS) to a known state after a disruption, compromise or failure?</t>
  </si>
  <si>
    <t xml:space="preserve">IEC 62443-2-1:2024; IEC 62443-3-3:2013; IEC 62443-4-2:2019; NIST SP 800-82 R3 - Moderate OT Overlay; NIST Cybersecurity Framework 2.0; CSA IoT Security Controls Framework v2; NIST SP 800-53B R5 - Privacy baseline</t>
  </si>
  <si>
    <t xml:space="preserve">The organization implements and operates mechanisms to ensure the secure recovery and reconstitution of Technology Assets, Applications and/or Services (TAAS) to a known state after a disruption, compromise or failure.
Within the OT and AMI environment, this objective prioritizes the availability and safe operation of OT and AMI services, including manual or degraded-mode operations when head-end, communications or control systems are unavailable.</t>
  </si>
  <si>
    <t xml:space="preserve">OT Engineering and application development teams are responsible for:
a. Ensuring secure baseline configurations exist for systems, applications and/or services protect the confidentiality and integrity of data being stored, processed and/or transmitted;
b. Ensuring systems, applications and/or services are securely recovered / reconstituted to a known, trusted state after a disruption, compromise or failure;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</si>
  <si>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recovery and reconstitution platform (e.g., Commvault, Veeam Enterprise, Rubrik); Automated recovery orchestration (e.g., Zerto, AWS DRS); IaC-based reconstitution (Terraform, Ansible); CimTrak Integrity Suite; Regularly tested recovery with documented evidence.
In-scope requirement alignment: IEC 62443-2-1: AVAIL 1.3, AVAIL 2.5 | IEC 62443-3-3: SR 7.4 | IEC 62443-4-2: CR 7.4 | NIST SP 800-82 R3 (Moderate OT overlay): CP-10 | NIST CSF 2.0: RC, RC.RP-01, RC.RP-05 | CSA IoT SCF: OPA-06 | NIST SP 800-53B Privacy: CP-10.
Validation: Annual conformity validation; evidence artifacts E-BCM-15; PPTDF applicability: Technology.</t>
  </si>
  <si>
    <t xml:space="preserve">AVAIL 1.3, AVAIL 2.5</t>
  </si>
  <si>
    <t xml:space="preserve">SR 7.4</t>
  </si>
  <si>
    <t xml:space="preserve">CR 7.4</t>
  </si>
  <si>
    <t xml:space="preserve">RC, RC.RP-01, RC.RP-05</t>
  </si>
  <si>
    <t xml:space="preserve">OPA-06</t>
  </si>
  <si>
    <t xml:space="preserve">∙ Enterprise recovery and reconstitution platform (e.g., Commvault, Veeam Enterprise, Rubrik)
∙ Automated recovery orchestration (e.g., Zerto, AWS DRS)
∙ IaC-based reconstitution (Terraform, Ansible)
∙ CimTrak Integrity Suite (https://cimcor.com/cimtrak)
∙ Regularly tested recovery with documented evidence</t>
  </si>
  <si>
    <t xml:space="preserve">BCD-12.1</t>
  </si>
  <si>
    <t xml:space="preserve">Transaction Recovery</t>
  </si>
  <si>
    <t xml:space="preserve">Mechanisms exist to utilize specialized backup mechanisms that will allow transaction recovery for transaction-based Technology Assets, Applications and/or Services (TAAS) in accordance with Recovery Point Objectives (RPOs).</t>
  </si>
  <si>
    <t xml:space="preserve">Does the organization utilize specialized backup mechanisms that will allow transaction recovery for transaction-based Technology Assets, Applications and/or Services (TAAS) in accordance with Recovery Point Objectives (RPOs)?</t>
  </si>
  <si>
    <t xml:space="preserve">The organization implements and operates mechanisms to utilize specialized backup mechanisms that will allow transaction recovery for transaction-based Technology Assets, Applications and/or Services (TAAS) in accordance with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</si>
  <si>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OT Engineering and application development teams are responsible for:
a. Ensuring transaction recovery is implemented for systems that are transaction-based;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</si>
  <si>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NIST SP 800-82 R3 (Moderate OT overlay): CP-10(02) | NIST SP 800-53B Moderate: CP-10(02).
Validation: Semi-Annual conformity validation; evidence artifacts to be defined; PPTDF applicability: Technology.</t>
  </si>
  <si>
    <t xml:space="preserve">CP-10(02)</t>
  </si>
  <si>
    <t xml:space="preserve">BCD-12.2</t>
  </si>
  <si>
    <t xml:space="preserve">Failover Capability</t>
  </si>
  <si>
    <t xml:space="preserve">Mechanisms exist to implement real-time or near-real-time failover capability to maintain availability of critical Technology Assets, Applications, Services and/or Data (TAASD).</t>
  </si>
  <si>
    <t xml:space="preserve">Does the organization implement real-time or near-real-time failover capability to maintain availability of critical Technology Assets, Applications, Services and/or Data (TAASD)?</t>
  </si>
  <si>
    <t xml:space="preserve">IEC 62443-4-2:2019; CSA IoT Security Controls Framework v2; NIST Privacy Framework 1.0; NIST SP 800-53B R5 - Privacy baseline</t>
  </si>
  <si>
    <t xml:space="preserve">The organization implements and operates mechanisms to implement real-time or near-real-time failover capability to maintain availability of critical Technology Assets, Applications, Services and/or Data (TAASD).
Within the OT and AMI environment, this objective prioritizes the availability and safe operation of OT and AMI services, including manual or degraded-mode operations when head-end, communications or control systems are unavailable.</t>
  </si>
  <si>
    <t xml:space="preserve">OT Engineering and application development teams are responsible for:
a. Ensuring system components for which Mean Time to Failure (MTTF) should be determined are defined;
b. Ensuring Mean Time to Failure (MTTF) is determined for system components in specific environments of operation;
c. Ensuring Mean Time to Failure (MTTF) substitution criteria to be used as a means to exchange active and standby components are defined;
d. Ensuring substitute system components and a means to exchange active and standby components are provided in accordance with Mean Time to Failure (MTTF) substitution criteria;
e. Documenting manual and degraded-mode operating procedures for metering, control and field operations when OT or AMI systems are unavailable;
f. Maintaining recovery capabilities for AMI head-end, meter data management, SCADA/DMS and supporting telecommunications that meet documented recovery time and recovery point objectives; and
g.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</si>
  <si>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Load balancers; High Availability (HA) network appliances (e.g., firewalls, routers, switches, etc.).
In-scope requirement alignment: IEC 62443-4-2: CR 2.10(b), CR 7.1 | CSA IoT SCF: OPA-03, OPA-06 | NIST Privacy Framework: PR.PT-P4 | NIST SP 800-53B Privacy: SI-13.
Validation: Annual conformity validation; evidence artifacts to be defined; PPTDF applicability: Technology.</t>
  </si>
  <si>
    <t xml:space="preserve">CR 2.10(b), CR 7.1</t>
  </si>
  <si>
    <t xml:space="preserve">SI-13</t>
  </si>
  <si>
    <t xml:space="preserve">PR.PT-P4</t>
  </si>
  <si>
    <t xml:space="preserve">SG.SI Smart Grid Information System and Information Integrity</t>
  </si>
  <si>
    <t xml:space="preserve">∙ Load balancers
∙ High Availability (HA) network appliances (e.g., firewalls, routers, switches, etc.)</t>
  </si>
  <si>
    <t xml:space="preserve">BCD-12.4</t>
  </si>
  <si>
    <t xml:space="preserve">Restore Within Time Period</t>
  </si>
  <si>
    <t xml:space="preserve">Respond</t>
  </si>
  <si>
    <t xml:space="preserve">Mechanisms exist to restore Technology Assets, Applications, Services and/or Data (TAASD) within organization-defined restoration time-periods from configuration-controlled and integrity-protected information; representing a known, operational state for the asset.</t>
  </si>
  <si>
    <t xml:space="preserve">Does the organization restore Technology Assets, Applications, Services and/or Data (TAASD) within organization-defined restoration time-periods from configuration-controlled and integrity-protected information; representing a known, operational state for the asset?</t>
  </si>
  <si>
    <t xml:space="preserve">The organization implements and operates mechanisms to restore Technology Assets, Applications, Services and/or Data (TAASD) within organization-defined restoration time-periods from configuration-controlled and integrity-protected information; representing a known, operational state for the asset.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</si>
  <si>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capability to restore system components within organization-defined restoration time periods from configuration-controlled and integrity-protected information representing a known, operational state for the components is provided;
b. Ensuring restoration time period within which to restore system components to a known, operational state is defined;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</si>
  <si>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Virtual machines; Docker; Acronis; CimTrak Integrity Suite; Docker.
In-scope requirement alignment: IEC 62443-2-1: AVAIL 1.3.
Validation: Annual conformity validation; evidence artifacts to be defined; PPTDF applicability: Technology.</t>
  </si>
  <si>
    <t xml:space="preserve">AVAIL 1.3</t>
  </si>
  <si>
    <t xml:space="preserve">CP-10(04)</t>
  </si>
  <si>
    <t xml:space="preserve">∙ Virtual machines
∙ Docker (https://docker.com)
∙ Acronis (https://acronis.com)
∙ CimTrak Integrity Suite (https://cimcor.com/cimtrak)
∙ Docker (https://docker.com)</t>
  </si>
  <si>
    <t xml:space="preserve">BCD-13</t>
  </si>
  <si>
    <t xml:space="preserve">Backup &amp; Restoration Hardware Protection</t>
  </si>
  <si>
    <t xml:space="preserve">Mechanisms exist to protect backup and restoration hardware and software.</t>
  </si>
  <si>
    <t xml:space="preserve">Does the organization protect backup and restoration hardware and software?</t>
  </si>
  <si>
    <t xml:space="preserve">E-GOV-10, E-GOV-11</t>
  </si>
  <si>
    <t xml:space="preserve">NIST SP 800-82 R3 - Moderate OT Overlay; NIST Cybersecurity Framework 2.0</t>
  </si>
  <si>
    <t xml:space="preserve">The organization implements and operates mechanisms to protect backup and restoration hardware and software.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</si>
  <si>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system components used for recovery and reconstitution are protected;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</si>
  <si>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Logical Access Control (LAC); Physical Access Control (PAC).
In-scope requirement alignment: NIST SP 800-82 R3 (Moderate OT overlay): CP-10(06) | NIST CSF 2.0: RC.RP-03.
Validation: Annual conformity validation; evidence artifacts E-GOV-10, E-GOV-11; PPTDF applicability: Technology.</t>
  </si>
  <si>
    <t xml:space="preserve">CP-10(06)</t>
  </si>
  <si>
    <t xml:space="preserve">RC.RP-03</t>
  </si>
  <si>
    <t xml:space="preserve">BCD-13.1</t>
  </si>
  <si>
    <t xml:space="preserve">Restoration Integrity Verification</t>
  </si>
  <si>
    <t xml:space="preserve">Mechanisms exist to verify the integrity of backups and other restoration assets prior to using them for restoration.</t>
  </si>
  <si>
    <t xml:space="preserve">Does the organization verify the integrity of backups and other restoration assets prior to using them for restoration?</t>
  </si>
  <si>
    <t xml:space="preserve">The organization implements and operates mechanisms to verify the integrity of backups and other restoration assets prior to using them for restoration.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</si>
  <si>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methods to verify the integrity of backups and other restoration assets are defined;
b. Ensuring the integrity of backups and other restoration assets is verified, prior to using them for restoration;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</si>
  <si>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NIST CSF 2.0: RC.RP-03.
Validation: Annual conformity validation; evidence artifacts E-GOV-10, E-GOV-11; PPTDF applicability: Technology.</t>
  </si>
  <si>
    <t xml:space="preserve">BCD-15</t>
  </si>
  <si>
    <t xml:space="preserve">Reserve Hardware</t>
  </si>
  <si>
    <t xml:space="preserve">Mechanisms exist to purchase and maintain a sufficient reserve of spare hardware to ensure essential missions and business functions can be maintained in the event of a supply chain disruption.</t>
  </si>
  <si>
    <t xml:space="preserve">Does the organization purchase and maintain a sufficient reserve of spare hardware to ensure essential missions and business functions can be maintained in the event of a supply chain disruption?</t>
  </si>
  <si>
    <t xml:space="preserve">The organization implements and operates mechanisms to purchase and maintain a sufficient reserve of spare hardware to ensure essential missions and business functions can be maintained in the event of a supply chain disruption.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</si>
  <si>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systems and system components that are or may be hard to replace in a supply chain disruption are identified;
b. Ensuring resources are allocated to obtain hard to replace identified systems and system components for critical business functions;
c. Ensuring a pool of hard to replace identified systems and system components for critical business functions is maintained;
d. Documenting manual and degraded-mode operating procedures for metering, control and field operations when OT or AMI systems are unavailable;
e. Maintaining recovery capabilities for AMI head-end, meter data management, SCADA/DMS and supporting telecommunications that meet documented recovery time and recovery point objectives; and
f.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</si>
  <si>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Dedicated recovery environment; Dedicated recovery hardware.
In-scope requirement alignment: DOE C2M2: RESPONSE-4c, RESPONSE-4l.
Validation: Annual conformity validation; evidence artifacts to be defined; PPTDF applicability: Technology.</t>
  </si>
  <si>
    <t xml:space="preserve">RESPONSE-4c, RESPONSE-4l</t>
  </si>
  <si>
    <t xml:space="preserve">∙ Dedicated recovery environment
∙ Dedicated recovery hardware</t>
  </si>
  <si>
    <t xml:space="preserve">CAP-01</t>
  </si>
  <si>
    <t xml:space="preserve">Capacity &amp; Performance Management</t>
  </si>
  <si>
    <t xml:space="preserve">Capacity &amp; Performance Planning</t>
  </si>
  <si>
    <t xml:space="preserve">CAP</t>
  </si>
  <si>
    <t xml:space="preserve">Mechanisms exist to facilitate the implementation of capacity management controls to ensure optimal system performance to meet expected and anticipated future capacity requirements.</t>
  </si>
  <si>
    <t xml:space="preserve">Does the organization facilitate the implementation of capacity management controls to ensure optimal system performance to meet expected and anticipated future capacity requirements?</t>
  </si>
  <si>
    <t xml:space="preserve">E-CAP-01</t>
  </si>
  <si>
    <t xml:space="preserve">IEC 62443-2-1:2024; IEC 62443-3-3:2013; IEC 62443-4-2:2019; NIST SP 800-82 R3 - Moderate OT Overlay; NIST Cybersecurity Framework 2.0; DOE Cybersecurity Capability Maturity Model; CSA IoT Security Controls Framework v2; NIST Privacy Framework 1.0; NIST SP 800-53B R5 - Privacy baseline</t>
  </si>
  <si>
    <t xml:space="preserve">Director, IT Infrastructure</t>
  </si>
  <si>
    <t xml:space="preserve">Manager, AMI Head-End &amp; Telecommunications Operations</t>
  </si>
  <si>
    <t xml:space="preserve">AMI head-end vendor; telecommunications / backhaul carriers; hosting provider</t>
  </si>
  <si>
    <t xml:space="preserve">The organization shall plan and monitor capacity and performance for OT, AMI and supporting telecommunications so that control, metering and data-collection functions remain available under peak load, storm response and adverse conditions.</t>
  </si>
  <si>
    <t xml:space="preserve">The organization develops, implements and governs processes and documentation to facilitate the implementation of capacity management controls to ensure optimal system performance to meet expected and anticipated future capacity requirements, as well as associated standards, controls and procedures, across enterprise IT, Operational Technology (OT) and Advanced Metering Infrastructure (AMI) environments.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</si>
  <si>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resources to be allocated to protect the availability of resources are defined;
b. Ensuring capacity &amp; performance planning operations are conducted according to documented policies, standards, procedures and/or other organizational directives;
c. Ensuring adequate resources (e.g., people, processes, technologies, data and/or facilities) are provided to support capacity &amp; performance planning operations;
d. Ensuring responsibility and authority for the performance of capacity &amp; performance planning-related activities are assigned to designated personnel;
e. Ensuring personnel performing capacity &amp; performance planning-related activities have the skills and knowledge needed to perform their assigned duties;
f. Ensuring controls to protect the availability of resources are defined;
g. Ensuring the availability of resources is protected by allocating resources per organization-defined criteria;
h. Monitoring AMI read success rates, backhaul utilization and head-end performance against defined thresholds; and
i. Planning capacity for storm restoration, mass outage notification and firmware campaign loads.</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</si>
  <si>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Splunk; Solarwinds.
In-scope requirement alignment: IEC 62443-2-1: AVAIL 1.2 | IEC 62443-3-3: SR 7.2 | IEC 62443-4-2: CR 7.2 | NIST SP 800-82 R3 (Moderate OT overlay): SC-05 | DOE C2M2: ARCHITECTURE-3i | NIST CSF 2.0: PR.IR-04 | CSA IoT SCF: SNT-03 | NIST Privacy Framework: PR.DS-P4 | NIST SP 800-53B Privacy: SC-05.
Validation: Annual conformity validation; evidence artifacts E-CAP-01; PPTDF applicability: Process.</t>
  </si>
  <si>
    <t xml:space="preserve">AVAIL 1.2</t>
  </si>
  <si>
    <t xml:space="preserve">SR 7.2</t>
  </si>
  <si>
    <t xml:space="preserve">CR 7.2</t>
  </si>
  <si>
    <t xml:space="preserve">SC-05, SC-05(03)</t>
  </si>
  <si>
    <t xml:space="preserve">SC-05</t>
  </si>
  <si>
    <t xml:space="preserve">ARCHITECTURE-3i</t>
  </si>
  <si>
    <t xml:space="preserve">PR.IR-04</t>
  </si>
  <si>
    <t xml:space="preserve">SNT-03</t>
  </si>
  <si>
    <t xml:space="preserve">PR.DS-P4</t>
  </si>
  <si>
    <t xml:space="preserve">8.6</t>
  </si>
  <si>
    <t xml:space="preserve">∙ Splunk (https://splunk.com)
∙ Solarwinds (https://solarwinds.com)</t>
  </si>
  <si>
    <t xml:space="preserve">CAP-02</t>
  </si>
  <si>
    <t xml:space="preserve">Resource Priority</t>
  </si>
  <si>
    <t xml:space="preserve">Mechanisms exist to control resource utilization of Technology Assets, Applications and/or Services (TAAS) that are susceptible to Denial of Service (DoS) attacks to limit and prioritize the use of resources.</t>
  </si>
  <si>
    <t xml:space="preserve">Does the organization control resource utilization of Technology Assets, Applications and/or Services (TAAS) that are susceptible to Denial of Service (DoS) attacks to limit and prioritize the use of resources?</t>
  </si>
  <si>
    <t xml:space="preserve">E-CAP-02</t>
  </si>
  <si>
    <t xml:space="preserve">NIST SP 800-82 R3 - Moderate OT Overlay; NIST Cybersecurity Framework 2.0; CSA IoT Security Controls Framework v2; NIST SP 800-53B R5 - Privacy baseline</t>
  </si>
  <si>
    <t xml:space="preserve">The organization implements and operates mechanisms to control resource utilization of Technology Assets, Applications and/or Services (TAAS) that are susceptible to Denial of Service (DoS) attacks to limit and prioritize the use of resources.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</si>
  <si>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types of denial-of-service events to be protected against or limited are defined;
b. Ensuring controls by type of denial-of-service event are employed to achieve the denial-of-service protection objective;
c. Ensuring resource prioritization is designed to limit negative effects of denial-of-service events;
d. Ensuring controls to achieve the denial-of-service objective by type of denial-of-service event are defined;
e. Ensuring the effects of types of denial-of-service events are organizationally-defined;
f. Monitoring AMI read success rates, backhaul utilization and head-end performance against defined thresholds; and
g. Planning capacity for storm restoration, mass outage notification and firmware campaign loads.</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</si>
  <si>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Enterprise capacity management platform; APM tools (e.g., Dynatrace, Datadog); Automated scaling.
In-scope requirement alignment: NIST SP 800-82 R3 (Moderate OT overlay): SC-05 | NIST CSF 2.0: PR.IR-04 | CSA IoT SCF: OPA-08, OPA-09 | NIST SP 800-53B Privacy: SC-05, SC-05(02).
Validation: Annual conformity validation; evidence artifacts E-CAP-02; PPTDF applicability: Technology.</t>
  </si>
  <si>
    <t xml:space="preserve">SC-05, SC-05(01), SC-05(02), SC-06</t>
  </si>
  <si>
    <t xml:space="preserve">OPA-08, OPA-09</t>
  </si>
  <si>
    <t xml:space="preserve">SC-05, SC-05(02)</t>
  </si>
  <si>
    <t xml:space="preserve">∙ Enterprise capacity management platform
∙ APM tools (e.g., Dynatrace, Datadog)
∙ Automated scaling</t>
  </si>
  <si>
    <t xml:space="preserve">CAP-03</t>
  </si>
  <si>
    <t xml:space="preserve">Capacity Planning</t>
  </si>
  <si>
    <t xml:space="preserve">Mechanisms exist to conduct capacity planning so that necessary capacity for information processing, telecommunications and environmental support will exist during contingency operations.</t>
  </si>
  <si>
    <t xml:space="preserve">Does the organization conduct capacity planning so that necessary capacity for information processing, telecommunications and environmental support will exist during contingency operations?</t>
  </si>
  <si>
    <t xml:space="preserve">NIST SP 800-82 R3 - Moderate OT Overlay; NIST Cybersecurity Framework 2.0; NIST Privacy Framework 1.0; NIST SP 800-53B R5 - Privacy baseline</t>
  </si>
  <si>
    <t xml:space="preserve">The organization implements and operates mechanisms to conduct capacity planning so that necessary capacity for information processing, telecommunications and environmental support will exist during contingency operations.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</si>
  <si>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capacity planning is conducted so that the necessary capacity exists during contingency operations for information processing;
b. Ensuring capacity planning is conducted so that the necessary capacity exists during contingency operations for telecommunications;
c. Ensuring capacity planning is conducted so that the necessary capacity exists during contingency operations for environmental support;
d. Monitoring AMI read success rates, backhaul utilization and head-end performance against defined thresholds; and
e. Planning capacity for storm restoration, mass outage notification and firmware campaign loads.</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</si>
  <si>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Enterprise capacity management platform; APM tools (e.g., Dynatrace, Datadog); Automated scaling.
In-scope requirement alignment: NIST SP 800-82 R3 (Moderate OT overlay): SC-05 | NIST CSF 2.0: PR.IR-04 | NIST Privacy Framework: PR.DS-P4 | NIST SP 800-53B Privacy: SC-05, SC-05(02).
Validation: Annual conformity validation; evidence artifacts E-CAP-01; PPTDF applicability: Process.</t>
  </si>
  <si>
    <t xml:space="preserve">CP-02(02), SC-05, SC-05(02)</t>
  </si>
  <si>
    <t xml:space="preserve">CAP-04</t>
  </si>
  <si>
    <t xml:space="preserve">Performance Monitoring</t>
  </si>
  <si>
    <t xml:space="preserve">Automated mechanisms exist to centrally-monitor and alert on the operating state and health status of critical Technology Assets, Applications and/or Services (TAAS).</t>
  </si>
  <si>
    <t xml:space="preserve">Does the organization use automated mechanisms to centrally-monitor and alert on the operating state and health status of critical Technology Assets, Applications and/or Services (TAAS)?</t>
  </si>
  <si>
    <t xml:space="preserve">E-CAP-03</t>
  </si>
  <si>
    <t xml:space="preserve">The organization implements and operates automated mechanisms to centrally-monitor and alert on the operating state and health status of critical Technology Assets, Applications and/or Services (TAAS).
Within the OT and AMI environment, this objective covers AMI head-end, meter data management, backhaul and control system capacity so that read success rates, control message latency and storm-mode operations are sustained.</t>
  </si>
  <si>
    <t xml:space="preserve">OT Engineering and application development teams are responsible for:
a. Ensuring the operating state and health status of critical systems, applications and services is centrally-monitored;
b. Monitoring AMI read success rates, backhaul utilization and head-end performance against defined thresholds; and
c. Planning capacity for storm restoration, mass outage notification and firmware campaign loads.</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</si>
  <si>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Splunk; Solarwinds.
In-scope requirement alignment: NIST CSF 2.0: PR.IR-04 | CSA IoT SCF: SNT-03.
Validation: Quarterly conformity validation; evidence artifacts E-CAP-03; PPTDF applicability: Technology.</t>
  </si>
  <si>
    <t xml:space="preserve">CAP-05</t>
  </si>
  <si>
    <t xml:space="preserve">Elastic Expansion</t>
  </si>
  <si>
    <t xml:space="preserve">Mechanisms exist to automatically scale the resources available for Technology Assets, Applications and/or Services (TAAS), as demand conditions change.</t>
  </si>
  <si>
    <t xml:space="preserve">Does the organization automatically scale the resources available for Technology Assets, Applications and/or Services (TAAS), as demand conditions change?</t>
  </si>
  <si>
    <t xml:space="preserve">E-CAP-04</t>
  </si>
  <si>
    <t xml:space="preserve">The organization implements and operates mechanisms to automatically scale the resources available for Technology Assets, Applications and/or Services (TAAS), as demand conditions change.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</si>
  <si>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resources needing dynamic expansion (e.g., elasticity) are defined;
b. Ensuring applicable services are configured to dynamically expand the resources available for services, as demand conditions change;
c. Monitoring AMI read success rates, backhaul utilization and head-end performance against defined thresholds; and
d. Planning capacity for storm restoration, mass outage notification and firmware campaign loads.</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</si>
  <si>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Enterprise capacity management platform; APM tools (e.g., Dynatrace, Datadog); Automated scaling.
In-scope requirement alignment: NIST CSF 2.0: PR.IR-04.
Validation: Annual conformity validation; evidence artifacts E-CAP-04; PPTDF applicability: Technology.</t>
  </si>
  <si>
    <t xml:space="preserve">CAP-06</t>
  </si>
  <si>
    <t xml:space="preserve">Regional Delivery</t>
  </si>
  <si>
    <t xml:space="preserve">Mechanisms exist to support operations that are geographically dispersed via regional delivery of technological Technology Assets, Applications and/or Services (TAAS).</t>
  </si>
  <si>
    <t xml:space="preserve">Does the organization support operations that are geographically dispersed via regional delivery of technological Technology Assets, Applications and/or Services (TAAS)?</t>
  </si>
  <si>
    <t xml:space="preserve">The organization implements and operates mechanisms to support operations that are geographically dispersed via regional delivery of technological Technology Assets, Applications and/or Services (TAAS).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</si>
  <si>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business processes requiring regional delivery of technological services are identified;
b. Ensuring applicable services are configured to support geographically dispersed business processes requiring regional delivery of technological services;
c. Monitoring AMI read success rates, backhaul utilization and head-end performance against defined thresholds; and
d. Planning capacity for storm restoration, mass outage notification and firmware campaign loads.</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</si>
  <si>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Enterprise capacity management platform; APM tools (e.g., Dynatrace, Datadog); Automated scaling.
In-scope requirement alignment: CSA IoT SCF: OPA-03.
Validation: Annual conformity validation; evidence artifacts to be defined; PPTDF applicability: Technology.</t>
  </si>
  <si>
    <t xml:space="preserve">OPA-03</t>
  </si>
  <si>
    <t xml:space="preserve">CHG-01</t>
  </si>
  <si>
    <t xml:space="preserve">Change Management Program</t>
  </si>
  <si>
    <t xml:space="preserve">Change Management</t>
  </si>
  <si>
    <t xml:space="preserve">CHG</t>
  </si>
  <si>
    <t xml:space="preserve">Mechanisms exist to facilitate the implementation of a change management program.</t>
  </si>
  <si>
    <t xml:space="preserve">Does the organization facilitate the implementation of a change management program?</t>
  </si>
  <si>
    <t xml:space="preserve">E-CHG-02</t>
  </si>
  <si>
    <t xml:space="preserve">IEC 62443-2-1:2024; NIST SP 800-82 R3 - Moderate OT Overlay; NERC CIP; CISA Cross-Sector Cybersecurity Performance Goals; NIST Cybersecurity Framework 2.0; NIST SP 800-53B R5 - Moderate baseline; DOE Cybersecurity Capability Maturity Model; CSA IoT Security Controls Framework v2; NIST Privacy Framework 1.0; NIST SP 800-53B R5 - Privacy baseline</t>
  </si>
  <si>
    <t xml:space="preserve">IT Change Advisory Board (CAB) Chair</t>
  </si>
  <si>
    <t xml:space="preserve">OT Change Control Board Chair / AMI Platform Manager</t>
  </si>
  <si>
    <t xml:space="preserve">AMI vendor; OT system integrators; firmware suppliers</t>
  </si>
  <si>
    <t xml:space="preserve">The organization shall manage changes to enterprise IT, OT and AMI assets through a formal change management process that evaluates safety, reliability and security impact before implementation. Changes to OT and AMI assets, including firmware, controller logic, head-end configuration and network security controls, shall be tested, approved and documented.</t>
  </si>
  <si>
    <t xml:space="preserve">The organization develops, implements and governs processes and documentation to facilitate the implementation of a change management program, as well as associated standards, controls and procedures, across enterprise IT, Operational Technology (OT) and Advanced Metering Infrastructure (AMI) environments.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</si>
  <si>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configuration change control activities are coordinated and overseen by organization-defined configuration change control element;
b. Ensuring configuration change decisions associated with the system are documented;
c. Ensuring approved configuration-controlled changes to the system are implemented;
d. Ensuring change management operations are conducted according to documented policies, standards, procedures and/or other organizational directives;
e. Ensuring adequate resources (e.g., people, processes, technologies, data and/or facilities) are provided to support change management operations;
f. Ensuring responsibility and authority for the performance of change management-related activities are assigned to designated personnel;
g. Ensuring activities associated with configuration-controlled changes to the system are monitored;
h. Ensuring activities associated with configuration-controlled changes to the system are reviewed;
i. Requiring OT Engineering and System Operations approval for changes that affect OT or AMI assets, zones or conduits;
j. Testing OT and AMI changes in a representative non-production environment and defining rollback procedures before deployment; and
k.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</si>
  <si>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VisibleOps; ITIL 4.
In-scope requirement alignment: IEC 62443-2-1: CM 1.4 | NIST SP 800-82 R3 (Moderate OT overlay): CM-03 | NERC CIP: CIP-003-8 1.1.7 | CISA CPG: 2.Q | DOE C2M2: ASSET-4a, ASSET-4c, ASSET-4g | NIST CSF 2.0: ID.RA-07 | NIST SP 800-53B Moderate: CM-03 | CSA IoT SCF: CCM-02, CCM-08, DAT-04, IAM-22 | NIST Privacy Framework: PR.PO-P2 | NIST SP 800-53B Privacy: CM-03.
Validation: Annual conformity validation; evidence artifacts E-CHG-02; PPTDF applicability: Process.</t>
  </si>
  <si>
    <t xml:space="preserve">CM 1.4</t>
  </si>
  <si>
    <t xml:space="preserve">CM-03</t>
  </si>
  <si>
    <t xml:space="preserve">CIP-003-8 1.1.7</t>
  </si>
  <si>
    <t xml:space="preserve">2.Q</t>
  </si>
  <si>
    <t xml:space="preserve">ASSET-4a, ASSET-4c, ASSET-4g</t>
  </si>
  <si>
    <t xml:space="preserve">CCM-02, CCM-08, DAT-04, IAM-22</t>
  </si>
  <si>
    <t xml:space="preserve">PR.PO-P2</t>
  </si>
  <si>
    <t xml:space="preserve">6.3</t>
  </si>
  <si>
    <t xml:space="preserve">8.19, 8.32</t>
  </si>
  <si>
    <t xml:space="preserve">NIST Tenet 5</t>
  </si>
  <si>
    <t xml:space="preserve">∙ VisibleOps (https://itpi.org) 
∙ ITIL 4 (https://axelos.com)</t>
  </si>
  <si>
    <t xml:space="preserve">CHG-02</t>
  </si>
  <si>
    <t xml:space="preserve">Configuration Change Control</t>
  </si>
  <si>
    <t xml:space="preserve">Mechanisms exist to govern the technical configuration change control processes.</t>
  </si>
  <si>
    <t xml:space="preserve">Does the organization govern the technical configuration change control processes?</t>
  </si>
  <si>
    <t xml:space="preserve">E-CHG-02, E-CHG-05</t>
  </si>
  <si>
    <t xml:space="preserve">IEC 62443-2-1:2024; NIST SP 800-82 R3 - Moderate OT Overlay; NIST Cybersecurity Framework 2.0; NIST SP 800-53B R5 - Moderate baseline; DOE Cybersecurity Capability Maturity Model; CSA IoT Security Controls Framework v2; NIST Privacy Framework 1.0; NIST SP 800-53B R5 - Privacy baseline</t>
  </si>
  <si>
    <t xml:space="preserve">The organization implements and operates mechanisms to govern the technical configuration change control processes.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</si>
  <si>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changes to the system are reviewed;
b. Ensuring changes to the system are approved or disapproved;
c. Ensuring approved configuration-controlled changes to the system are implemented;
d. Ensuring changes to the system are logged;
e. Ensuring changes to the system are tracked;
f. Ensuring the types of changes to the system that are configuration-controlled are defined; and
g. Applying configuration change control to OT and AMI changes, including firmware campaigns, controller logic, head-end configuration and zone or conduit rule changes, with OT Engineering and System Operations approval.</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</si>
  <si>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Control Board (CCB); Configuration Management Database (CMDB); VisibleOps; ITIL 4.
In-scope requirement alignment: IEC 62443-2-1: CM 1.4, DATA 1.3(a), DATA 1.3(b) | NIST SP 800-82 R3 (Moderate OT overlay): CM-03 | DOE C2M2: ASSET-4b, ARCHITECTURE-3l | NIST CSF 2.0: ID.RA-07 | NIST SP 800-53B Moderate: CM-03 | CSA IoT SCF: CCM-02, CCM-08, GVN-05, IAM-22 | NIST Privacy Framework: PR.PO-P2 | NIST SP 800-53B Privacy: CM-03, SA-08(31).
Validation: Annual conformity validation; evidence artifacts E-CHG-02, E-CHG-05; PPTDF applicability: Process.</t>
  </si>
  <si>
    <t xml:space="preserve">CM 1.4, DATA 1.3(a), DATA 1.3(b)</t>
  </si>
  <si>
    <t xml:space="preserve">CM-03, SA-08(31)</t>
  </si>
  <si>
    <t xml:space="preserve">ASSET-4b, ARCHITECTURE-3l</t>
  </si>
  <si>
    <t xml:space="preserve">CCM-02, CCM-08, GVN-05, IAM-22</t>
  </si>
  <si>
    <t xml:space="preserve">SG.CM Configuration Management; SG.SA Smart Grid Information System and Services Acquisition</t>
  </si>
  <si>
    <t xml:space="preserve">∙ Change Control Board (CCB)
∙ Configuration Management Database (CMDB)
∙ VisibleOps (https://itpi.org) 
∙ ITIL 4 (https://axelos.com)</t>
  </si>
  <si>
    <t xml:space="preserve">CHG-02.1</t>
  </si>
  <si>
    <t xml:space="preserve">Prohibition Of Changes</t>
  </si>
  <si>
    <t xml:space="preserve">Mechanisms exist to prohibit unauthorized changes, unless organization-approved change requests are received.</t>
  </si>
  <si>
    <t xml:space="preserve">Does the organization prohibit unauthorized changes, unless organization-approved change requests are received?</t>
  </si>
  <si>
    <t xml:space="preserve">The organization implements and operates mechanisms to prohibit unauthorized changes, unless organization-approved change requests are received.
Within the OT and AMI environment, this objective requires change control for OT and AMI changes, including firmware campaigns, controller logic, head-end configuration and zone or conduit changes, with explicit evaluation of safety and reliability impact.</t>
  </si>
  <si>
    <t xml:space="preserve">IT Operations and OT Operations are jointly responsible for:
a. Ensuring mechanisms used to automate configuration change control are defined;
b. Ensuring organization-defined automated mechanisms are used to prohibit changes to the system until designated approvals are received;
c. Ensuring proposed configuration-controlled changes to the system are approved or disapproved with explicit consideration for security impacts;
d. Ensuring logical access restrictions associated with changes to the system are approved;
e. Ensuring approval authorities to be notified of and request approval for proposed changes to the system are defined;
f. Ensuring the time period after which to highlight changes that have not been approved or disapproved is defined;
g. Ensuring personnel to be notified when approved changes are complete is/are defined;
h. Ensuring organization-defined automated mechanisms are used to document proposed changes to the system;
i. Requiring OT Engineering and System Operations approval for changes that affect OT or AMI assets, zones or conduits;
j. Testing OT and AMI changes in a representative non-production environment and defining rollback procedures before deployment; and
k.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</si>
  <si>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Role Based Access Control (RBAC); Application whitelisting; CimTrak Integrity Suite.
In-scope requirement alignment: NIST CSF 2.0: ID.RA-07 | CSA IoT SCF: GVN-05.
Validation: Annual conformity validation; evidence artifacts E-CHG-02; PPTDF applicability: Process.</t>
  </si>
  <si>
    <t xml:space="preserve">CM-03(01)</t>
  </si>
  <si>
    <t xml:space="preserve">GVN-05</t>
  </si>
  <si>
    <t xml:space="preserve">∙ Role Based Access Control (RBAC)
∙ Application whitelisting
∙ CimTrak Integrity Suite (https://cimcor.com/cimtrak)</t>
  </si>
  <si>
    <t xml:space="preserve">CHG-02.2</t>
  </si>
  <si>
    <t xml:space="preserve">Test, Validate &amp; Document Changes</t>
  </si>
  <si>
    <t xml:space="preserve">Mechanisms exist to appropriately test and document proposed changes in a non-production environment before changes are implemented in a production environment.</t>
  </si>
  <si>
    <t xml:space="preserve">Does the organization appropriately test and document proposed changes in a non-production environment before changes are implemented in a production environment?</t>
  </si>
  <si>
    <t xml:space="preserve">E-CHG-03, E-CHG-05</t>
  </si>
  <si>
    <t xml:space="preserve">IEC 62443-2-1:2024; IEC 62443-3-3:2013; NERC CIP; NIST Cybersecurity Framework 2.0; NIST SP 800-53B R5 - Moderate baseline; DOE Cybersecurity Capability Maturity Model; CSA IoT Security Controls Framework v2; NIST SP 800-53B R5 - Privacy baseline</t>
  </si>
  <si>
    <t xml:space="preserve">The organization implements and operates mechanisms to appropriately test and document proposed changes in a non-production environment before changes are implemented in a production environment.
Within the OT and AMI environment, this objective requires change control for OT and AMI changes, including firmware campaigns, controller logic, head-end configuration and zone or conduit changes, with explicit evaluation of safety and reliability impact.</t>
  </si>
  <si>
    <t xml:space="preserve">OT Engineering and application development teams are responsible for:
a. Ensuring changes to the system are tested before finalizing the implementation of the changes;
b. Ensuring changes to the system are validated before finalizing the implementation of the changes;
c. Ensuring changes to the system are documented before finalizing the implementation of the changes;
d. Ensuring approved configuration-controlled changes to the system are documented;
e. Ensuring the frequency at which changes are to be reviewed is defined;
f. Ensuring the circumstances under which changes are to be reviewed are defined;
g. Ensuring changes to the system are reviewed organization-defined frequency or when organization-defined circumstances to determine whether unauthorized changes have occurred;
h. Ensuring systems or system components that implement the security design principle of secure system modification are defined;
i. Requiring OT Engineering and System Operations approval for changes that affect OT or AMI assets, zones or conduits;
j. Testing OT and AMI changes in a representative non-production environment and defining rollback procedures before deployment; and
k.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</si>
  <si>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Control Board (CCB); Configuration Management Database (CMDB); VisibleOps.
In-scope requirement alignment: IEC 62443-2-1: COMP 3.4 | IEC 62443-3-3: SR 3.3 | NERC CIP: CIP-010-4 1.4.2, CIP-010-4 1.5.1, CIP-010-4 1.5.2 | DOE C2M2: ASSET-4b, ASSET-4c, ASSET-4d, ASSET-4f, ASSET-4h, ASSET-4i, THREAT-1h | NIST CSF 2.0: ID.RA-07 | NIST SP 800-53B Moderate: CM-03(02) | CSA IoT SCF: CCM-08 | NIST SP 800-53B Privacy: CM-03(02), SA-08(31).
Validation: Annual conformity validation; evidence artifacts E-CHG-03, E-CHG-05; PPTDF applicability: Process.</t>
  </si>
  <si>
    <t xml:space="preserve">COMP 3.4</t>
  </si>
  <si>
    <t xml:space="preserve">SR 3.3</t>
  </si>
  <si>
    <t xml:space="preserve">CM-03(02), CM-03(07), SA-08(31)</t>
  </si>
  <si>
    <t xml:space="preserve">CIP-010-4 1.4.2, CIP-010-4 1.5.1, CIP-010-4 1.5.2</t>
  </si>
  <si>
    <t xml:space="preserve">ASSET-4b, ASSET-4c, ASSET-4d, ASSET-4f, ASSET-4h, ASSET-4i, THREAT-1h</t>
  </si>
  <si>
    <t xml:space="preserve">CM-03(02)</t>
  </si>
  <si>
    <t xml:space="preserve">CCM-08</t>
  </si>
  <si>
    <t xml:space="preserve">CM-03(02), SA-08(31)</t>
  </si>
  <si>
    <t xml:space="preserve">∙ Change Control Board (CCB)
∙ Configuration Management Database (CMDB)
∙ VisibleOps (https://itpi.org)</t>
  </si>
  <si>
    <t xml:space="preserve">CHG-02.3</t>
  </si>
  <si>
    <t xml:space="preserve">Security, Compliance &amp; Resilience Representative for Asset Lifecycle Changes</t>
  </si>
  <si>
    <t xml:space="preserve">Mechanisms exist to include a cybersecurity and/or data protection representative in the configuration change control review process.</t>
  </si>
  <si>
    <t xml:space="preserve">Does the organization include a cybersecurity and/or data protection representative in the configuration change control review process?</t>
  </si>
  <si>
    <t xml:space="preserve">E-CHG-04</t>
  </si>
  <si>
    <t xml:space="preserve">NIST SP 800-82 R3 - Moderate OT Overlay; NIST SP 800-53B R5 - Moderate baseline; DOE Cybersecurity Capability Maturity Model; CSA IoT Security Controls Framework v2</t>
  </si>
  <si>
    <t xml:space="preserve">The organization implements and operates mechanisms to include a cybersecurity and/or data protection representative in the configuration change control review process.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</si>
  <si>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Information Risk Manager, in coordination with OT Engineering, is responsible for:
a. Ensuring the configuration change control element of which the cybersecurity / data privacy representatives are to be members is defined;
b. Ensuring security representatives required to be members of the change control element are defined;
c. Ensuring privacy representatives required to be members of the change control element are defined;
d. Ensuring organization-defined security representatives are required to be members of the organization-defined configuration change control element;
e. Ensuring organization-defined privacy representatives are required to be members of the organization-defined configuration change control element;
f. Requiring OT Engineering and System Operations approval for changes that affect OT or AMI assets, zones or conduits;
g. Testing OT and AMI changes in a representative non-production environment and defining rollback procedures before deployment; and
h.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</si>
  <si>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Control Board (CCB); VisibleOps.
In-scope requirement alignment: NIST SP 800-82 R3 (Moderate OT overlay): CM-03(04) | DOE C2M2: ASSET-4c, THREAT-1h | NIST SP 800-53B Moderate: CM-03(04) | CSA IoT SCF: CCM-08.
Validation: Annual conformity validation; evidence artifacts E-CHG-04; PPTDF applicability: Process.</t>
  </si>
  <si>
    <t xml:space="preserve">CM-03(04)</t>
  </si>
  <si>
    <t xml:space="preserve">ASSET-4c, THREAT-1h</t>
  </si>
  <si>
    <t xml:space="preserve">∙ Change Control Board (CCB)
∙ VisibleOps (https://itpi.org)</t>
  </si>
  <si>
    <t xml:space="preserve">CHG-02.4</t>
  </si>
  <si>
    <t xml:space="preserve">Automated Security Response</t>
  </si>
  <si>
    <t xml:space="preserve">Automated mechanisms exist to implement remediation actions upon the detection of unauthorized baseline configurations change(s).</t>
  </si>
  <si>
    <t xml:space="preserve">Does the organization use automated mechanisms to implement remediation actions upon the detection of unauthorized baseline configurations change(s)?</t>
  </si>
  <si>
    <t xml:space="preserve">The organization implements and operates automated mechanisms to implement remediation actions upon the detection of unauthorized baseline configurations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</si>
  <si>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security responses to be automatically implemented are defined;
b. Ensuring organization-defined security responses are automatically implemented if baseline configurations are changed in an unauthorized manner;
c. Ensuring automated mechanisms place misconfigured or unauthorized system components in a quarantine or remediation network;
d. Ensuring automated mechanisms to detect misconfigured or unauthorized system components are identified;
e. Ensuring automated mechanisms are employed to detect misconfigured or unauthorized system components;
f. Ensuring misconfigured or unauthorized system components are detected;
g. Ensuring after detection, system components are removed and/or placed in a quarantine or remediation network to facilitate patching, re-configuration or other mitigations;
h. Requiring OT Engineering and System Operations approval for changes that affect OT or AMI assets, zones or conduits;
i. Testing OT and AMI changes in a representative non-production environment and defining rollback procedures before deployment; and
j.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</si>
  <si>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CimTrak Integrity Suite.
In-scope requirement alignment: CSA IoT SCF: GVN-05.
Validation: Quarterly conformity validation; evidence artifacts to be defined; PPTDF applicability: Technology.</t>
  </si>
  <si>
    <t xml:space="preserve">CM-03(05)</t>
  </si>
  <si>
    <t xml:space="preserve">∙ CimTrak Integrity Suite (https://cimcor.com/cimtrak)</t>
  </si>
  <si>
    <t xml:space="preserve">CHG-03</t>
  </si>
  <si>
    <t xml:space="preserve">Security Impact Analysis for Changes</t>
  </si>
  <si>
    <t xml:space="preserve">Mechanisms exist to analyze proposed changes for potential security impacts, prior to the implementation of the change.</t>
  </si>
  <si>
    <t xml:space="preserve">Does the organization analyze proposed changes for potential security impacts, prior to the implementation of the change?</t>
  </si>
  <si>
    <t xml:space="preserve">NIST SP 800-82 R3 - Moderate OT Overlay; NIST Cybersecurity Framework 2.0; DOE Cybersecurity Capability Maturity Model; NIST SP 800-161 R1 - C-SCRM Baseline; NIST SP 800-53B R5 - Privacy baseline</t>
  </si>
  <si>
    <t xml:space="preserve">The organization implements and operates mechanisms to analyze proposed changes for potential security impacts, prior to the implementation of the change.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</si>
  <si>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Information Risk Manager, in coordination with OT Engineering, is responsible for:
a. Ensuring proposed configuration-controlled changes to the system are reviewed with explicit consideration for security impacts;
b. Ensuring changes to the system are analyzed to determine potential security impacts prior to change implementation;
c. Ensuring changes to the system are analyzed to determine potential privacy impacts prior to change implementation;
d. Requiring OT Engineering and System Operations approval for changes that affect OT or AMI assets, zones or conduits;
e. Testing OT and AMI changes in a representative non-production environment and defining rollback procedures before deployment; and
f.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</si>
  <si>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Control Board (CCB); VisibleOps.
In-scope requirement alignment: NIST SP 800-82 R3 (Moderate OT overlay): CM-04 | DOE C2M2: ASSET-4c, ASSET-4d | NIST CSF 2.0: ID.RA-07 | NIST SP 800-161 R1 C-SCRM: CM-4 | NIST SP 800-53B Privacy: CM-04.
Validation: Annual conformity validation; evidence artifacts E-CHG-04; PPTDF applicability: Process.</t>
  </si>
  <si>
    <t xml:space="preserve">CM-04</t>
  </si>
  <si>
    <t xml:space="preserve">ASSET-4c, ASSET-4d</t>
  </si>
  <si>
    <t xml:space="preserve">CM-4</t>
  </si>
  <si>
    <t xml:space="preserve">CHG-04</t>
  </si>
  <si>
    <t xml:space="preserve">Access Restriction For Change</t>
  </si>
  <si>
    <t xml:space="preserve">Mechanisms exist to enforce configuration restrictions in an effort to restrict the ability of users to conduct unauthorized changes.</t>
  </si>
  <si>
    <t xml:space="preserve">Does the organization enforce configuration restrictions in an effort to restrict the ability of users to conduct unauthorized changes?</t>
  </si>
  <si>
    <t xml:space="preserve">E-HRS-13, E-IAM-02</t>
  </si>
  <si>
    <t xml:space="preserve">The organization implements and operates mechanisms to enforce configuration restrictions in an effort to restrict the ability of users to conduct unauthorized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</si>
  <si>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IT Operations and OT Operations are jointly responsible for:
a. Ensuring logical access restrictions associated with changes to the system are defined and documented;
b. Ensuring logical access restrictions associated with changes to the system are enforced;
c. Ensuring logical access restrictions associated with changes to the system are approved;
d. Ensuring physical access restrictions associated with changes to the system are defined and documented;
e. Ensuring physical access restrictions associated with changes to the system are approved;
f. Ensuring physical access restrictions associated with changes to the system are enforced;
g. Requiring OT Engineering and System Operations approval for changes that affect OT or AMI assets, zones or conduits;
h. Testing OT and AMI changes in a representative non-production environment and defining rollback procedures before deployment; and
i.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</si>
  <si>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Role Based Access Control (RBAC).
In-scope requirement alignment: NIST SP 800-82 R3 (Moderate OT overlay): CM-05 | DOE C2M2: ASSET-4e | NIST CSF 2.0: ID.RA-07 | NIST SP 800-161 R1 C-SCRM: CM-5 | NIST SP 800-53B Privacy: CM-05.
Validation: Annual conformity validation; evidence artifacts E-HRS-13, E-IAM-02; PPTDF applicability: Process.</t>
  </si>
  <si>
    <t xml:space="preserve">CM-05</t>
  </si>
  <si>
    <t xml:space="preserve">ASSET-4e</t>
  </si>
  <si>
    <t xml:space="preserve">CM-5</t>
  </si>
  <si>
    <t xml:space="preserve">∙ Role Based Access Control (RBAC)</t>
  </si>
  <si>
    <t xml:space="preserve">CHG-04.2</t>
  </si>
  <si>
    <t xml:space="preserve">Signed Components</t>
  </si>
  <si>
    <t xml:space="preserve">Mechanisms exist to prevent the installation of software and firmware components without verification that the component has been digitally signed using an organization-approved certificate authority.</t>
  </si>
  <si>
    <t xml:space="preserve">Does the organization prevent the installation of software and firmware components without verification that the component has been digitally signed using an organization-approved certificate authority?</t>
  </si>
  <si>
    <t xml:space="preserve">The organization implements and operates mechanisms to prevent the installation of software and firmware components without verification that the component has been digitally signed using an organization-approved certificate authority.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</si>
  <si>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software or firmware components requiring verification of a digitally signed certificate before installation are defined;
b. Ensuring the installation of software or firmware components is prevented unless it is verified that the software has been digitally signed using a certificate recognized and approved by the organization;
c. Ensuring software or firmware components to be authenticated by cryptographic mechanisms prior to installation are defined;
d. Ensuring cryptographic mechanisms are implemented to authenticate software or firmware components prior to installation;
e. Requiring OT Engineering and System Operations approval for changes that affect OT or AMI assets, zones or conduits;
f. Testing OT and AMI changes in a representative non-production environment and defining rollback procedures before deployment; and
g.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</si>
  <si>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Enterprise change management platform (ServiceNow, Jira); Formal CAB; Automated CI/CD change controls.
In-scope requirement alignment: IEC 62443-4-2: CR 3.4(1), EDR 2.4(1), HDR 3.10(1), NDR 3.10(1).
Validation: Annual conformity validation; evidence artifacts to be defined; PPTDF applicability: Technology.</t>
  </si>
  <si>
    <t xml:space="preserve">CR 3.4(1), EDR 2.4(1), HDR 3.10(1), NDR 3.10(1)</t>
  </si>
  <si>
    <t xml:space="preserve">CM-14, SI-07(15)</t>
  </si>
  <si>
    <t xml:space="preserve">SG.CM Configuration Management; SG.SI Smart Grid Information System and Information Integrity</t>
  </si>
  <si>
    <t xml:space="preserve">∙ Enterprise change management platform (ServiceNow, Jira)
∙ Formal CAB
∙ Automated CI/CD change controls</t>
  </si>
  <si>
    <t xml:space="preserve">CHG-04.3</t>
  </si>
  <si>
    <t xml:space="preserve">Dual Authorization for Change</t>
  </si>
  <si>
    <t xml:space="preserve">Mechanisms exist to enforce a two-person rule for implementing changes to critical Technology Assets, Applications and/or Services (TAAS).</t>
  </si>
  <si>
    <t xml:space="preserve">Does the organization enforce a two-person rule for implementing changes to critical Technology Assets, Applications and/or Services (TAAS)?</t>
  </si>
  <si>
    <t xml:space="preserve">IEC 62443-2-1:2024; NIST SP 800-82 R3 - Moderate OT Overlay; NIST SP 800-53B R5 - Moderate baseline; NIST SP 800-53B R5 - Privacy baseline</t>
  </si>
  <si>
    <t xml:space="preserve">The organization implements and operates mechanisms to enforce a two-person rule for implementing changes to critical Technology Assets, Applications and/or Services (TAAS).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</si>
  <si>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critical or sensitive system and organizational operations for which dual authorization is to be enforced are identified;
b. Ensuring dual authorization is employed to execute critical or sensitive system and organizational operations;
c. Requiring OT Engineering and System Operations approval for changes that affect OT or AMI assets, zones or conduits;
d. Testing OT and AMI changes in a representative non-production environment and defining rollback procedures before deployment; and
e.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</si>
  <si>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Logical Access Control (LAC); Physical Access Control (PAC); Role Based Access Control (RBAC); Separation of Duties (SoD).
In-scope requirement alignment: IEC 62443-2-1: USER 2.3 | NIST SP 800-82 R3 (Moderate OT overlay): AC-05 | NIST SP 800-53B Moderate: AC-05 | NIST SP 800-53B Privacy: AC-05.
Validation: Annual conformity validation; evidence artifacts to be defined; PPTDF applicability: Process.</t>
  </si>
  <si>
    <t xml:space="preserve">USER 2.3</t>
  </si>
  <si>
    <t xml:space="preserve">AC-05, CM-05(04)</t>
  </si>
  <si>
    <t xml:space="preserve">AC-05</t>
  </si>
  <si>
    <t xml:space="preserve">SG.AC Access Control; SG.CM Configuration Management</t>
  </si>
  <si>
    <t xml:space="preserve">∙ Logical Access Control (LAC)
∙ Physical Access Control (PAC)
∙ Role Based Access Control (RBAC)
∙ Separation of Duties (SoD)</t>
  </si>
  <si>
    <t xml:space="preserve">CHG-04.4</t>
  </si>
  <si>
    <t xml:space="preserve">Permissions To Implement Changes</t>
  </si>
  <si>
    <t xml:space="preserve">Mechanisms exist to limit operational privileges for implementing changes.</t>
  </si>
  <si>
    <t xml:space="preserve">Does the organization limit operational privileges for implementing changes?</t>
  </si>
  <si>
    <t xml:space="preserve">The organization implements and operates mechanisms to limit operational privileges for implementing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</si>
  <si>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IT Operations and OT Operations teams (asset custodians) are responsible for:
a. Ensuring privileges to change system components within a production or operational environment are limited;
b. Ensuring logical access restrictions associated with changes to the system are enforced;
c. Ensuring the frequency at which to review privileges is defined;
d. Ensuring the frequency at which to reevaluate privileges is defined;
e. Ensuring privileges to change system-related information within a production or operational environment are limited;
f. Ensuring privileges are reviewed per an organization-defined frequency;
g. Ensuring privileges are reevaluated per an organization-defined frequency;
h. Requiring OT Engineering and System Operations approval for changes that affect OT or AMI assets, zones or conduits;
i. Testing OT and AMI changes in a representative non-production environment and defining rollback procedures before deployment; and
j.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</si>
  <si>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Role Based Access Control (RBAC); Separation of Duties (SoD); Privileged Account Management (PAM); CimTrak Integrity Suite.
In-scope requirement alignment: DOE C2M2: ASSET-4e.
Validation: Annual conformity validation; evidence artifacts to be defined; PPTDF applicability: Technology.</t>
  </si>
  <si>
    <t xml:space="preserve">CM-05(05)</t>
  </si>
  <si>
    <t xml:space="preserve">∙ Role Based Access Control (RBAC)
∙ Separation of Duties (SoD)
∙ Privileged Account Management (PAM)
∙ CimTrak Integrity Suite (https://cimcor.com/cimtrak)</t>
  </si>
  <si>
    <t xml:space="preserve">CHG-05</t>
  </si>
  <si>
    <t xml:space="preserve">Stakeholder Notification of Changes</t>
  </si>
  <si>
    <t xml:space="preserve">Mechanisms exist to ensure stakeholders are made aware of and understand the impact of proposed changes.</t>
  </si>
  <si>
    <t xml:space="preserve">Does the organization ensure stakeholders are made aware of and understand the impact of proposed changes?</t>
  </si>
  <si>
    <t xml:space="preserve">E-CHG-06</t>
  </si>
  <si>
    <t xml:space="preserve">The organization implements and operates mechanisms to ensure stakeholders are made aware of and understand the impact of proposed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</si>
  <si>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as part of the organization's change management processes, stakeholders are alerted to spread awareness of the potential impact(s) from proposed changes;
b. Ensuring changes to the system or system component location where sensitive / regulated data is processed are documented;
c. Ensuring changes to the system or system component location where sensitive / regulated data is stored are documented;
d. Requiring OT Engineering and System Operations approval for changes that affect OT or AMI assets, zones or conduits;
e. Testing OT and AMI changes in a representative non-production environment and defining rollback procedures before deployment; and
f.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</si>
  <si>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management procedures; Change Control Board (CCB); VisibleOps; ITIL 4.
In-scope requirement alignment: NIST SP 800-82 R3 (Moderate OT overlay): CM-09 | NIST SP 800-53B Moderate: CM-09 | NIST SP 800-53B Privacy: CM-09.
Validation: Annual conformity validation; evidence artifacts E-CHG-06; PPTDF applicability: Process.</t>
  </si>
  <si>
    <t xml:space="preserve">CM-09</t>
  </si>
  <si>
    <t xml:space="preserve">∙ Change management procedures
∙ Change Control Board (CCB)
∙ VisibleOps (https://itpi.org) 
∙ ITIL 4 (https://axelos.com)</t>
  </si>
  <si>
    <t xml:space="preserve">CHG-06</t>
  </si>
  <si>
    <t xml:space="preserve">Control Functionality Verification</t>
  </si>
  <si>
    <t xml:space="preserve">Mechanisms exist to verify the functionality of security, compliance and resilience controls following implemented changes to ensure applicable controls operate as designed.</t>
  </si>
  <si>
    <t xml:space="preserve">Does the organization verify the functionality of security, compliance and resilience controls following implemented changes to ensure applicable controls operate as designed?</t>
  </si>
  <si>
    <t xml:space="preserve">IEC 62443-3-3:2013; IEC 62443-4-2:2019; NIST SP 800-82 R3 - Moderate OT Overlay; NIST SP 800-53B R5 - Moderate baseline; DOE Cybersecurity Capability Maturity Model; NIST SP 800-53B R5 - Privacy baseline</t>
  </si>
  <si>
    <t xml:space="preserve">The organization implements and operates mechanisms to verify the functionality of security, compliance and resilience controls following implemented changes to ensure applicable controls operate as designed.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</si>
  <si>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security functions to be verified for correct operation are defined;
b. Ensuring organization-defined activities are initiated when anomalies are discovered;
c. Ensuring the security requirements for the system continue to be satisfied after the system changes have been implemented;
d. Ensuring privacy functions to be verified for correct operation are defined;
e. Ensuring system transitional states requiring the verification of cybersecurity / data privacy functions are defined;
f. Ensuring the frequency at which to verify the correct operation of cybersecurity / data privacy functions is defined;
g. Ensuring alternative action(s) to be performed when anomalies are discovered are defined;
h. Ensuring cybersecurity / data privacy functions are verified to be operating correctly;
i. Requiring OT Engineering and System Operations approval for changes that affect OT or AMI assets, zones or conduits;
j. Testing OT and AMI changes in a representative non-production environment and defining rollback procedures before deployment; and
k.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</si>
  <si>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Information Assurance Program (IAP); Control Validation Testing (CVT) / Security Test &amp; Evaluation (STE).
In-scope requirement alignment: IEC 62443-3-3: SR 3.3 | IEC 62443-4-2: CR 3.3, CR 3.3(1) | NIST SP 800-82 R3 (Moderate OT overlay): CM-03(02) | DOE C2M2: ASSET-4e | NIST SP 800-53B Moderate: CM-03(02) | NIST SP 800-53B Privacy: CM-03(02), SA-08(31).
Validation: Annual conformity validation; evidence artifacts to be defined; PPTDF applicability: Process.</t>
  </si>
  <si>
    <t xml:space="preserve">CR 3.3, CR 3.3(1)</t>
  </si>
  <si>
    <t xml:space="preserve">CM-03(02), SA-08(31), SI-06</t>
  </si>
  <si>
    <t xml:space="preserve">SG.CM Configuration Management; SG.SA Smart Grid Information System and Services Acquisition; SG.SI Smart Grid Information System and Information Integrity</t>
  </si>
  <si>
    <t xml:space="preserve">∙ Information Assurance Program (IAP)
∙ Control Validation Testing (CVT) / Security Test &amp; Evaluation (STE)</t>
  </si>
  <si>
    <t xml:space="preserve">CHG-07</t>
  </si>
  <si>
    <t xml:space="preserve">Emergency Changes</t>
  </si>
  <si>
    <t xml:space="preserve">Mechanisms exist to govern change management procedures for "emergency" changes.</t>
  </si>
  <si>
    <t xml:space="preserve">Does the organization govern change management procedures for "emergency" changes?</t>
  </si>
  <si>
    <t xml:space="preserve">The organization implements and operates mechanisms to govern change management procedures for "emergency"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</si>
  <si>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criteria to "emergency" changes are defined;
b. Ensuring change management procedures govern "emergency" changes;
c. Requiring OT Engineering and System Operations approval for changes that affect OT or AMI assets, zones or conduits;
d. Testing OT and AMI changes in a representative non-production environment and defining rollback procedures before deployment; and
e.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</si>
  <si>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Enterprise ITSM emergency change workflow; 24/7 emergency CAB availability; Automated emergency change tracking and audit trail; Integration with incident response processes.
In-scope requirement alignment: DOE C2M2: ASSET-4f.
Validation: Annual conformity validation; evidence artifacts to be defined; PPTDF applicability: Process.</t>
  </si>
  <si>
    <t xml:space="preserve">ASSET-4f</t>
  </si>
  <si>
    <t xml:space="preserve">∙ Enterprise ITSM emergency change workflow
∙ 24/7 emergency CAB availability
∙ Automated emergency change tracking and audit trail
∙ Integration with incident response processes</t>
  </si>
  <si>
    <t xml:space="preserve">CHG-08</t>
  </si>
  <si>
    <t xml:space="preserve">Dual Approval For High-Impact Environments</t>
  </si>
  <si>
    <t xml:space="preserve">Embedded Technology</t>
  </si>
  <si>
    <t xml:space="preserve">Mechanisms exist to require dual approval for any changes that might result in a serious incident that could adversely impact:
(1) Business processes; and/or
(2) Technology Assets, Applications, Services and/or Data (TAASD).</t>
  </si>
  <si>
    <t xml:space="preserve">Does the organization require dual approval for any changes that might result in a serious incident that could adversely impact:
(1) Business processes; and/or
(2) Technology Assets, Applications, Services and/or Data (TAASD)?</t>
  </si>
  <si>
    <t xml:space="preserve">The organization implements and operates mechanisms to require dual approval for any changes that might result in a serious incident that could adversely impact: (1) Business processes; and/or (2) Technology Assets, Applications, Services and/or Data (TAASD).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</si>
  <si>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Business processes that require dual approval for any changes that might result in a serious, but adverse impact are identified;
b. Ensuring Technology Assets, Applications, Services and/or Data (TAASD) that require dual approval for any changes that might result in a serious, but adverse impact are identified;
c. Ensuring Processes and/or technologies are implemented for instances that require dual approval for any changes that might result in a serious incident that could adversely impact operations;
d. Requiring OT Engineering and System Operations approval for changes that affect OT or AMI assets, zones or conduits;
e. Testing OT and AMI changes in a representative non-production environment and defining rollback procedures before deployment; and
f.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</si>
  <si>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Enterprise IoT/OT security platform (e.g., Claroty, Armis, Dragos); Zero-trust IoT architecture.
In-scope requirement alignment: IEC 62443-4-2: CR 2.1(4).
Validation: Annual conformity validation; evidence artifacts to be defined; PPTDF applicability: Process.</t>
  </si>
  <si>
    <t xml:space="preserve">CR 2.1(4)</t>
  </si>
  <si>
    <t xml:space="preserve">∙ Enterprise IoT/OT security platform (e.g., Claroty, Armis, Dragos)
∙ Zero-trust IoT architecture</t>
  </si>
  <si>
    <t xml:space="preserve">CLD-01</t>
  </si>
  <si>
    <t xml:space="preserve">Cloud Services</t>
  </si>
  <si>
    <t xml:space="preserve">Cloud Security</t>
  </si>
  <si>
    <t xml:space="preserve">CLD</t>
  </si>
  <si>
    <t xml:space="preserve">Mechanisms exist to facilitate the implementation of cloud management controls to ensure cloud instances are secure and in-line with industry practices.</t>
  </si>
  <si>
    <t xml:space="preserve">Does the organization facilitate the implementation of cloud management controls to ensure cloud instances are secure and in-line with industry practices?</t>
  </si>
  <si>
    <t xml:space="preserve">E-AST-06</t>
  </si>
  <si>
    <t xml:space="preserve">Director, Cloud &amp; Infrastructure Services</t>
  </si>
  <si>
    <t xml:space="preserve">AMI Platform Manager (hosted HES / MDM services)</t>
  </si>
  <si>
    <t xml:space="preserve">Cloud service provider; hosted HES / MDM provider</t>
  </si>
  <si>
    <t xml:space="preserve">The organization shall govern the use of cloud and hosted services that support OT and AMI operations, including hosted head-end, meter data management and analytics platforms, so that availability, data protection and segregation requirements are met and that cloud connectivity does not create unmanaged paths into OT networks.</t>
  </si>
  <si>
    <t xml:space="preserve">The organization develops, implements and governs processes and documentation to facilitate the implementation of cloud management controls to ensure cloud instances are secure and in-line with industry practices, as well as associated standards, controls and procedures, across enterprise IT, Operational Technology (OT) and Advanced Metering Infrastructure (AMI) environments.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</si>
  <si>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the organization facilitates the implementation of cloud management controls to ensure cloud instances are securely configured and maintained;
b. Ensuring cloud management operations are conducted according to documented policies, standards, procedures and/or other organizational directives;
c. Ensuring adequate resources (e.g., people, processes, technologies, data and/or facilities) are provided to support cloud management operations;
d. Ensuring responsibility and authority for the performance of cloud management-related activities are assigned to designated personnel;
e. Ensuring secure baseline configurations exist for cloud-based systems, applications and services to protect the confidentiality, integrity and availability of data being stored, processed and/or transmitted;
f. Ensuring personnel performing cloud management-related activities have the skills and knowledge needed to perform their assigned duties;
g. Documenting the shared responsibility model for hosted AMI and OT support services; and
h.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</si>
  <si>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SCF Security, Compliance &amp; Resilience Management System (SCRMS); Data Protection Impact Assessment (DPIA); Secure Baseline Configurations (SBC).
In-scope requirement alignment: CSA IoT SCF: CLS-01, CLS-05.
Validation: Annual conformity validation; evidence artifacts E-AST-06; PPTDF applicability: Process.</t>
  </si>
  <si>
    <t xml:space="preserve">CLS-01, CLS-05</t>
  </si>
  <si>
    <t xml:space="preserve">5.23</t>
  </si>
  <si>
    <t xml:space="preserve">∙ SCF Security, Compliance &amp; Resilience Management System (SCRMS)
∙ Data Protection Impact Assessment (DPIA)
∙ Secure Baseline Configurations (SBC)</t>
  </si>
  <si>
    <t xml:space="preserve">CLD-02</t>
  </si>
  <si>
    <t xml:space="preserve">Cloud Security Architecture</t>
  </si>
  <si>
    <t xml:space="preserve">Mechanisms exist to ensure the cloud security architecture supports the organization's technology strategy to securely design, configure and maintain cloud employments.</t>
  </si>
  <si>
    <t xml:space="preserve">Does the organization ensure the cloud security architecture supports its technology strategy to securely design, configure and maintain cloud employments?</t>
  </si>
  <si>
    <t xml:space="preserve">E-TDA-09</t>
  </si>
  <si>
    <t xml:space="preserve">The organization implements and operates mechanisms to ensure the cloud security architecture supports the organization's technology strategy to securely design, configure and maintain cloud employments.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</si>
  <si>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a cloud security architecture is defined to address cloud employments that support the organization's mission;
b. Ensuring the cloud security architecture supports the organization's technology strategy to securely design, configure and maintain cloud employments;
c. Documenting the shared responsibility model for hosted AMI and OT support services; and
d.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</si>
  <si>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Steering committee; Architectural review board; System Security &amp; Privacy Plan (SSPP); Security architecture roadmaps.
In-scope requirement alignment: CSA IoT SCF: CLS-01, CLS-05.
Validation: Annual conformity validation; evidence artifacts E-TDA-09; PPTDF applicability: Process.</t>
  </si>
  <si>
    <t xml:space="preserve">∙ Steering committee
∙ Architectural review board
∙ System Security &amp; Privacy Plan (SSPP)
∙ Security architecture roadmaps</t>
  </si>
  <si>
    <t xml:space="preserve">CLD-03</t>
  </si>
  <si>
    <t xml:space="preserve">Cloud Infrastructure Security Subnet</t>
  </si>
  <si>
    <t xml:space="preserve">Mechanisms exist to host security-specific technologies in a dedicated subnet.</t>
  </si>
  <si>
    <t xml:space="preserve">Does the organization host security-specific technologies in a dedicated subnet?</t>
  </si>
  <si>
    <t xml:space="preserve">The organization implements and operates mechanisms to host security-specific technologies in a dedicated subnet.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</si>
  <si>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cloud security management subnets are logically isolated;
b. Ensuring cloud security management subnet system components and functions to be isolated are defined;
c. Ensuring organization-defined criteria are used to isolate cloud security management subnets;
d. Documenting the shared responsibility model for hosted AMI and OT support services; and
e.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</si>
  <si>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Enterprise CNAPP (e.g., Wiz, Prisma Cloud, CrowdStrike Falcon); DevSecOps cloud integration.
In-scope requirement alignment: NIST SP 800-82 R3 (Moderate OT overlay): SC-07(29) | NIST SP 800-53B Privacy: SC-07(29).
Validation: Annual conformity validation; evidence artifacts to be defined; PPTDF applicability: Technology.</t>
  </si>
  <si>
    <t xml:space="preserve">SC-07(29)</t>
  </si>
  <si>
    <t xml:space="preserve">∙ Enterprise CNAPP (e.g., Wiz, Prisma Cloud, CrowdStrike Falcon)
∙ DevSecOps cloud integration</t>
  </si>
  <si>
    <t xml:space="preserve">CLD-04</t>
  </si>
  <si>
    <t xml:space="preserve">Application Programming Interface (API) Security</t>
  </si>
  <si>
    <t xml:space="preserve">Mechanisms exist to ensure support for secure interoperability between components with Application Programming Interfaces (APIs).</t>
  </si>
  <si>
    <t xml:space="preserve">Does the organization ensure support for secure interoperability between components with Application Programming Interfaces (APIs)?</t>
  </si>
  <si>
    <t xml:space="preserve">The organization implements and operates mechanisms to ensure support for secure interoperability between components with Application Programming Interfaces (APIs).
Within the OT and AMI environment, this objective governs hosted AMI head-end, meter data management and analytics services and the connectivity between those services and on-premise OT networks.</t>
  </si>
  <si>
    <t xml:space="preserve">OT Engineering and application development teams are responsible for:
a. Ensuring information/data exchange supports secure data portability;
b. Ensuring information processing interoperability is supported;
c. Documenting the shared responsibility model for hosted AMI and OT support services; and
d.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</si>
  <si>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Enterprise CNAPP (e.g., Wiz, Prisma Cloud, CrowdStrike Falcon); DevSecOps cloud integration.
In-scope requirement alignment: CSA IoT SCF: CLS-07, CLS-12, CLS-13.
Validation: Annual conformity validation; evidence artifacts to be defined; PPTDF applicability: Technology.</t>
  </si>
  <si>
    <t xml:space="preserve">CLS-07, CLS-12, CLS-13</t>
  </si>
  <si>
    <t xml:space="preserve">5.23, 8.26</t>
  </si>
  <si>
    <t xml:space="preserve">CLD-09</t>
  </si>
  <si>
    <t xml:space="preserve">Geolocation Requirements for Processing, Storage and Service Locations</t>
  </si>
  <si>
    <t xml:space="preserve">Mechanisms exist to control the location of cloud processing/storage based on business requirements that includes statutory, regulatory and contractual obligations.</t>
  </si>
  <si>
    <t xml:space="preserve">Does the organization control the location of cloud processing/storage based on business requirements that includes statutory, regulatory and contractual obligations?</t>
  </si>
  <si>
    <t xml:space="preserve">E-AST-06, E-AST-23, E-DCH-15</t>
  </si>
  <si>
    <t xml:space="preserve">The organization implements and operates mechanisms to control the location of cloud processing/storage based on business requirements that includes statutory, regulatory and contractual obligations.
Within the OT and AMI environment, this objective governs hosted AMI head-end, meter data management and analytics services and the connectivity between those services and on-premise OT networks.</t>
  </si>
  <si>
    <t xml:space="preserve">Legal and the Privacy Officer are responsible for:
a. Ensuring locations where information processing and data storage is/are to be restricted are defined;
b. Ensuring requirements or conditions for restricting the location of information processing, information storage or information services are defined;
c. Ensuring based on requirements, information processing, information storage or information services is/are restricted to locations;
d. Ensuring the geographic location of information processing and data storage is restricted to facilities located within the legal jurisdictional boundary of the United States;
e. Documenting the shared responsibility model for hosted AMI and OT support services; and
f.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</si>
  <si>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Data Protection Impact Assessment (DPIA); Cybersecurity Supply Chain Risk Management (C-SCRM) program.
In-scope requirement alignment: NIST SP 800-53B Privacy: SA-09(05), SA-09(08).
Validation: Semi-Annual conformity validation; evidence artifacts E-AST-06, E-AST-23, E-DCH-15; PPTDF applicability: Process.</t>
  </si>
  <si>
    <t xml:space="preserve">SA-09(05), SA-09(08)</t>
  </si>
  <si>
    <t xml:space="preserve">∙ Data Protection Impact Assessment (DPIA)
∙ Cybersecurity Supply Chain Risk Management (C-SCRM) program</t>
  </si>
  <si>
    <t xml:space="preserve">CLD-11</t>
  </si>
  <si>
    <t xml:space="preserve">Cloud Access Security Broker (CASB)</t>
  </si>
  <si>
    <t xml:space="preserve">Mechanisms exist to utilize a Cloud Access Security Broker (CASB), or similar technology, to provide boundary protection and monitoring functions that both provide access to the cloud and protect the organization from misuse of cloud resources.</t>
  </si>
  <si>
    <t xml:space="preserve">Does the organization utilize a Cloud Access Security Broker (CASB), or similar technology, to provide boundary protection and monitoring functions that both provide access to the cloud and protect the organization from misuse of cloud resources?</t>
  </si>
  <si>
    <t xml:space="preserve">The organization implements and operates mechanisms to utilize a Cloud Access Security Broker (CASB), or similar technology, to provide boundary protection and monitoring functions that both provide access to the cloud and protect the organization from misuse of cloud resources.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</si>
  <si>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a Cloud Access Security Broker (CASB), or similar technology, is utilized to provide boundary protection and monitoring functions that both provide access to the cloud and protect the organization from the cloud;
b. Documenting the shared responsibility model for hosted AMI and OT support services; and
c.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</si>
  <si>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Cloud Access Security Broker (CASB).
In-scope requirement alignment: CSA IoT SCF: CLS-12.
Validation: Annual conformity validation; evidence artifacts to be defined; PPTDF applicability: Technology.</t>
  </si>
  <si>
    <t xml:space="preserve">CLS-12</t>
  </si>
  <si>
    <t xml:space="preserve">∙ Cloud Access Security Broker (CASB)</t>
  </si>
  <si>
    <t xml:space="preserve">CLD-12</t>
  </si>
  <si>
    <t xml:space="preserve">Side Channel Attack Prevention</t>
  </si>
  <si>
    <t xml:space="preserve">Mechanisms exist to prevent "side channel attacks" when using a Content Delivery Network (CDN) by restricting access to the origin server's IP address to the CDN and an authorized management network.</t>
  </si>
  <si>
    <t xml:space="preserve">Does the organization prevent "side channel attacks" when using a Content Delivery Network (CDN) by restricting access to the origin server's IP address to the CDN and an authorized management network?</t>
  </si>
  <si>
    <t xml:space="preserve">The organization implements and operates mechanisms to prevent "side channel attacks" when using a Content Delivery Network (CDN) by restricting access to the origin server's IP address to the CDN and an authorized management network.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</si>
  <si>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Content Delivery Networks (CDNs) are configured to prevent side channel attacks by restricting access from the origin server's IP address to the CDN and authorized management networks;
b. Documenting the shared responsibility model for hosted AMI and OT support services; and
c.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</si>
  <si>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Secure Baseline Configurations (SBC).
In-scope requirement alignment: CSA IoT SCF: CLS-02, CLS-12.
Validation: Annual conformity validation; evidence artifacts to be defined; PPTDF applicability: Technology.</t>
  </si>
  <si>
    <t xml:space="preserve">CLS-02, CLS-12</t>
  </si>
  <si>
    <t xml:space="preserve">∙ Secure Baseline Configurations (SBC)</t>
  </si>
  <si>
    <t xml:space="preserve">CPL-01</t>
  </si>
  <si>
    <t xml:space="preserve">Statutory, Regulatory &amp; Contractual Compliance</t>
  </si>
  <si>
    <t xml:space="preserve">Compliance</t>
  </si>
  <si>
    <t xml:space="preserve">CPL</t>
  </si>
  <si>
    <t xml:space="preserve">Mechanisms exist to facilitate the identification and implementation of relevant statutory, regulatory and contractual controls.</t>
  </si>
  <si>
    <t xml:space="preserve">Does the organization facilitate the identification and implementation of relevant statutory, regulatory and contractual controls?</t>
  </si>
  <si>
    <t xml:space="preserve">E-CPL-01, E-GOV-10</t>
  </si>
  <si>
    <t xml:space="preserve">NIST SP 800-82 R3 - Moderate OT Overlay; NERC CIP; NIST Cybersecurity Framework 2.0; DOE Cybersecurity Capability Maturity Model; CSA IoT Security Controls Framework v2; NIST SP 800-161 R1 - C-SCRM Baseline; NIST Privacy Framework 1.0; NIST SP 800-53B R5 - Privacy baseline; ANSI/ISA-62443-3-2:2020</t>
  </si>
  <si>
    <t xml:space="preserve">Compliance Manager</t>
  </si>
  <si>
    <t xml:space="preserve">Director, Compliance &amp; Internal Controls</t>
  </si>
  <si>
    <t xml:space="preserve">NERC CIP / Regulatory Compliance Lead</t>
  </si>
  <si>
    <t xml:space="preserve">External auditors; regulators (NERC/Regional Entity, state utility commission)</t>
  </si>
  <si>
    <t xml:space="preserve">The organization shall identify, interpret and maintain conformity with the statutory, regulatory and contractual obligations that apply to its enterprise IT, OT and AMI environments, including NERC CIP where applicable, state utility commission requirements, customer data privacy obligations and contractual security requirements, and shall be able to demonstrate conformity through evidence.</t>
  </si>
  <si>
    <t xml:space="preserve">The organization implements and operates mechanisms to facilitate the identification and implementation of relevant statutory, regulatory and contractual controls.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</si>
  <si>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the organization analyzes its business practices to determine applicable statutory, regulatory and/or contractual obligations;
b. Ensuring compliance management operations are conducted according to documented policies, standards, procedures and/or other organizational directives;
c. Ensuring adequate resources (e.g., people, processes, technologies, data and/or facilities) are provided to support compliance management operations;
d. Ensuring responsibility and authority for the performance of compliance management-related activities are assigned to designated personnel;
e. Ensuring personnel performing compliance management-related activities have the skills and knowledge needed to perform their assigned duties;
f. Maintaining a compliance obligations register that identifies OT and AMI regulatory, contractual and customer-privacy requirements and the controls that satisfy them; and
g.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</si>
  <si>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SCF Security, Compliance &amp; Resilience Management System (SCRMS); GRC solution (e.g., SCFConnect, Cyturus, SureCloud, SimpleRisk, Ignyte, ZenGRC, Galvanize, MetricStream, Archer, etc.); Steering committee.
In-scope requirement alignment: NIST SP 800-82 R3 (Moderate OT overlay): PL-01, PM-08 | NERC CIP: CIP-003-8 1.1.9, CIP-003-8 1.2.6 | DOE C2M2: PROGRAM-1g | NIST CSF 2.0: GV.OC, GV.OC-03, GV.SC-05, PR | NIST SP 800-161 R1 C-SCRM: PL-1 | CSA IoT SCF: CLS-04, GVN-02, GVN-04, LGL-01, LGL-03, LGL-04, LGL-05, LGL-06, LGL-07, LGL-08, OPA-05 | NIST Privacy Framework: GV.PO-P5 | NIST SP 800-53B Privacy: PL-01, PM-08 | ISA/IEC 62443-3-2: ZCR 6.9.
Validation: Semi-Annual conformity validation; evidence artifacts E-CPL-01, E-GOV-10; PPTDF applicability: Process.</t>
  </si>
  <si>
    <t xml:space="preserve">ZCR 6.9</t>
  </si>
  <si>
    <t xml:space="preserve">PL-01, PM-08</t>
  </si>
  <si>
    <t xml:space="preserve">CIP-003-8 1.1.9, CIP-003-8 1.2.6</t>
  </si>
  <si>
    <t xml:space="preserve">PROGRAM-1g</t>
  </si>
  <si>
    <t xml:space="preserve">GV.OC, GV.OC-03, GV.SC-05, PR</t>
  </si>
  <si>
    <t xml:space="preserve">PL-1</t>
  </si>
  <si>
    <t xml:space="preserve">CLS-04, GVN-02, GVN-04, LGL-01, LGL-03, LGL-04, LGL-05, LGL-06, LGL-07, LGL-08, OPA-05</t>
  </si>
  <si>
    <t xml:space="preserve">GV.PO-P5</t>
  </si>
  <si>
    <t xml:space="preserve">4.1, 9.1, 9.2.1, 9.2.2</t>
  </si>
  <si>
    <t xml:space="preserve">5.31, 8.34</t>
  </si>
  <si>
    <t xml:space="preserve">∙ SCF Security, Compliance &amp; Resilience Management System (SCRMS)
∙  GRC solution (e.g., SCFConnect, Cyturus, SureCloud, SimpleRisk, Ignyte, ZenGRC, Galvanize, MetricStream, Archer, etc.)
∙ Steering committee</t>
  </si>
  <si>
    <t xml:space="preserve">CPL-01.1</t>
  </si>
  <si>
    <t xml:space="preserve">Non-Compliance Oversight</t>
  </si>
  <si>
    <t xml:space="preserve">Mechanisms exist to document and review instances of non-compliance with statutory, regulatory and/or contractual obligations to develop appropriate risk mitigation actions.</t>
  </si>
  <si>
    <t xml:space="preserve">Does the organization document and review instances of non-compliance with statutory, regulatory and/or contractual obligations to develop appropriate risk mitigation actions?</t>
  </si>
  <si>
    <t xml:space="preserve">E-CPL-05</t>
  </si>
  <si>
    <t xml:space="preserve">The organization implements and operates mechanisms to document and review instances of non-compliance with statutory, regulatory and/or contractual obligations to develop appropriate risk mitigation actions.
Within the OT and AMI environment, this objective includes OT and AMI regulatory obligations and the ability to evidence conformity for regulators, auditors and customers.</t>
  </si>
  <si>
    <t xml:space="preserve">The Information Risk Manager, in coordination with OT Engineering, is responsible for:
a. Ensuring instances of non-compliance with statutory, regulatory and/or contractual obligations are documented, including the reason(s) for non-compliance;
b. Ensuring instances of non-compliance with statutory, regulatory and/or contractual obligations are formally-reviewed;
c. Ensuring instances of non-compliance with statutory, regulatory and/or contractual obligations are centrally-governed to maintain appropriate situational awareness;
d. Ensuring instances of non-compliance with statutory, regulatory and/or contractual obligations are assigned to individuals or teams for remediation;
e. Ensuring remediation plans for instances of non-compliance with statutory, regulatory and/or contractual obligations are documented;
f. Maintaining a compliance obligations register that identifies OT and AMI regulatory, contractual and customer-privacy requirements and the controls that satisfy them; and
g.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</si>
  <si>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GRC solution (e.g., SCFConnect, Cyturus, SureCloud, SimpleRisk, Ignyte, ZenGRC, Galvanize, MetricStream, Archer, etc.).
In-scope requirement alignment: DOE C2M2: RISK-2l, ARCHITECTURE-1i | CSA IoT SCF: GVN-04.
Validation: Semi-Annual conformity validation; evidence artifacts E-CPL-05; PPTDF applicability: Process.</t>
  </si>
  <si>
    <t xml:space="preserve">RISK-2l, ARCHITECTURE-1i</t>
  </si>
  <si>
    <t xml:space="preserve">GVN-04</t>
  </si>
  <si>
    <t xml:space="preserve">9.1, 9.1(a), 9.1(b), 9.1(c), 9.1(d), 9.1(e), 9.1(f), 10.2, 10.2(a), 10.2(a)(1), 10.2(a)(2), 10.2(b), 10.2(b)(1), 10.2(b)(2), 10.2(b)(3), 10.2(c), 10.2(d), 10.2(e), 10.2(f), 10.2(g)</t>
  </si>
  <si>
    <t xml:space="preserve">∙  GRC solution (e.g., SCFConnect, Cyturus, SureCloud, SimpleRisk, Ignyte, ZenGRC, Galvanize, MetricStream, Archer, etc.)</t>
  </si>
  <si>
    <t xml:space="preserve">CPL-01.2</t>
  </si>
  <si>
    <t xml:space="preserve">Compliance Scope</t>
  </si>
  <si>
    <t xml:space="preserve">Mechanisms exist to document and validate the scope of security, compliance and resilience controls that are determined to meet statutory, regulatory and/or contractual compliance obligations.</t>
  </si>
  <si>
    <t xml:space="preserve">Does the organization document and validate the scope of security, compliance and resilience controls that are determined to meet statutory, regulatory and/or contractual compliance obligations?</t>
  </si>
  <si>
    <t xml:space="preserve">E-AST-02, E-CPL-02, E-GOV-10</t>
  </si>
  <si>
    <t xml:space="preserve">NIST Cybersecurity Framework 2.0; IEC 62443-4-1:2018; ANSI/ISA-62443-3-2:2020</t>
  </si>
  <si>
    <t xml:space="preserve">The organization implements and operates mechanisms to document and validate the scope of security, compliance and resilience controls that are determined to meet statutory, regulatory and/or contractual compliance obligations.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</si>
  <si>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the organization's applicable cybersecurity / data privacy controls are determined through the analysis of business practices to determine required statutory, regulatory and/or contractual compliance obligations;
b. Ensuring a recurring process exists to validate the scope of cybersecurity / data privacy controls that are determined to meet statutory, regulatory and/or contractual compliance obligations;
c. Maintaining a compliance obligations register that identifies OT and AMI regulatory, contractual and customer-privacy requirements and the controls that satisfy them; and
d.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</si>
  <si>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Unified Scoping Guide.
In-scope requirement alignment: IEC 62443-4-1: SM-5 | NIST CSF 2.0: GV.SC-05 | ISA/IEC 62443-3-2: ZCR 6.9.
Validation: Semi-Annual conformity validation; evidence artifacts E-AST-02, E-CPL-02, E-GOV-10; PPTDF applicability: Process.</t>
  </si>
  <si>
    <t xml:space="preserve">SM-5</t>
  </si>
  <si>
    <t xml:space="preserve">GV.SC-05</t>
  </si>
  <si>
    <t xml:space="preserve">4.3, 4.3(a), 4.3(b), 4.3(c), 9.1</t>
  </si>
  <si>
    <t xml:space="preserve">CPL-01.3</t>
  </si>
  <si>
    <t xml:space="preserve">Ability To Demonstrate Conformity</t>
  </si>
  <si>
    <t xml:space="preserve">Mechanisms exist to ensure the organization is able to demonstrate security, compliance and/or resilience capability conformity with applicable cybersecurity and data protection laws, regulations and/or contractual obligations.</t>
  </si>
  <si>
    <t xml:space="preserve">Does the organization ensure the organization is able to demonstrate security, compliance and/or resilience capability conformity with applicable cybersecurity and data protection laws, regulations and/or contractual obligations?</t>
  </si>
  <si>
    <t xml:space="preserve">The organization implements and operates mechanisms to ensure the organization is able to demonstrate security, compliance and/or resilience capability conformity with applicable cybersecurity and data protection laws, regulations and/or contractual obligations.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</si>
  <si>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a capability exists to demonstrate conformity with applicable cybersecurity and data protection laws, regulations and/or contractual obligations;
b. Ensuring personnel or roles to whom the assignment of being able to demonstrate conformity is assigned;
c. Maintaining a compliance obligations register that identifies OT and AMI regulatory, contractual and customer-privacy requirements and the controls that satisfy them; and
d.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</si>
  <si>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GRC solution (e.g., SCFConnect, Cyturus, SureCloud, SimpleRisk, Ignyte, ZenGRC, Galvanize, MetricStream, Archer, etc.); Dedicated compliance team; Automated compliance monitoring.
In-scope requirement alignment: DOE C2M2: ARCHITECTURE-1i.
Validation: Annual conformity validation; evidence artifacts to be defined; PPTDF applicability: Process.</t>
  </si>
  <si>
    <t xml:space="preserve">ARCHITECTURE-1i</t>
  </si>
  <si>
    <t xml:space="preserve">∙  GRC solution (e.g., SCFConnect, Cyturus, SureCloud, SimpleRisk, Ignyte, ZenGRC, Galvanize, MetricStream, Archer, etc.)
∙ Dedicated compliance team
∙ Automated compliance monitoring</t>
  </si>
  <si>
    <t xml:space="preserve">CPL-01.4</t>
  </si>
  <si>
    <t xml:space="preserve">Conformity Assessment</t>
  </si>
  <si>
    <t xml:space="preserve">Mechanisms exist to conduct assessments to demonstrate security, compliance and/or resilience capability conformity with applicable cybersecurity and data protection laws, regulations and/or contractual obligations.</t>
  </si>
  <si>
    <t xml:space="preserve">Does the organization conduct assessments to demonstrate security, compliance and/or resilience capability conformity with applicable cybersecurity and data protection laws, regulations and/or contractual obligations?</t>
  </si>
  <si>
    <t xml:space="preserve">The organization implements and operates mechanisms to conduct assessments to demonstrate security, compliance and/or resilience capability conformity with applicable cybersecurity and data protection laws, regulations and/or contractual obligations.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</si>
  <si>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assessments are conducted to demonstrate conformity with applicable cybersecurity and data protection laws, regulations and/or contractual obligations;
b. Maintaining a compliance obligations register that identifies OT and AMI regulatory, contractual and customer-privacy requirements and the controls that satisfy them; and
c. Including OT and AMI systems in the scope of compliance assessments and audits.</t>
  </si>
  <si>
    <t xml:space="preserve">CPL-02</t>
  </si>
  <si>
    <t xml:space="preserve">Security, Compliance &amp; Resilience Controls Oversight</t>
  </si>
  <si>
    <t xml:space="preserve">Mechanisms exist to provide a security, compliance and resilience controls oversight function that reports to the organization's executive leadership.</t>
  </si>
  <si>
    <t xml:space="preserve">Does the organization provide a security, compliance and resilience controls oversight function that reports to its executive leadership?</t>
  </si>
  <si>
    <t xml:space="preserve">E-CPL-07, E-CPL-09, E-GOV-04, E-GOV-05, E-GOV-06, E-GOV-13, E-RSK-03</t>
  </si>
  <si>
    <t xml:space="preserve">NIST SP 800-82 R3 - Moderate OT Overlay; NIST Cybersecurity Framework 2.0; NIST SP 800-53B R5 - Moderate baseline; DOE Cybersecurity Capability Maturity Model; CSA IoT Security Controls Framework v2; NIST Privacy Framework 1.0; NIST SP 800-53B R5 - Privacy baseline</t>
  </si>
  <si>
    <t xml:space="preserve">The organization implements and operates mechanisms to provide a security, compliance and resilience controls oversight function that reports to the organization's executive leadership.
Within the OT and AMI environment, this objective includes OT and AMI regulatory obligations and the ability to evidence conformity for regulators, auditors and customers.</t>
  </si>
  <si>
    <t xml:space="preserve">The Chief Information Security Officer (CISO), in coordination with the OT Security Lead, is responsible for:
a. Ensuring a compliance catalog of applicable laws, regulations and contractual obligations are documented;
b. Ensuring a continuous monitoring strategy is developed for cybersecurity / data privacy controls;
c. Ensuring continuous control monitoring is implemented in accordance with the organization's continuous monitoring strategy;
d. Ensuring the frequency of cybersecurity / data privacy control assessments is defined;
e. Ensuring cybersecurity / data privacy controls are assessed with the defined frequency to determine if the controls are effective in their application;
f. Ensuring cybersecurity / data privacy controls are monitored on an ongoing basis to ensure the continued effectiveness of those controls;
g. Ensuring a system-level continuous monitoring strategy is developed;
h. Ensuring ongoing monitoring is included in the continuous monitoring strategy;
i. Maintaining a compliance obligations register that identifies OT and AMI regulatory, contractual and customer-privacy requirements and the controls that satisfy them; and
j.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</si>
  <si>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SCF Security, Compliance &amp; Resilience Management System (SCRMS); GRC solution (e.g., SCFConnect, Cyturus, SureCloud, SimpleRisk, Ignyte, ZenGRC, Galvanize, MetricStream, Archer, etc.); Steering committee.
In-scope requirement alignment: NIST SP 800-82 R3 (Moderate OT overlay): CA-07, PM-14 | DOE C2M2: RISK-4c, ARCHITECTURE-1i, PROGRAM-2h | NIST CSF 2.0: GV.OC-03 | NIST SP 800-53B Moderate: CA-07(01) | CSA IoT SCF: GVN-04, LGL-03 | NIST Privacy Framework: GV.MT-P4, PR.PO-P5 | NIST SP 800-53B Privacy: CA-07, CA-07(01), PM-14.
Validation: Annual conformity validation; evidence artifacts E-CPL-07, E-CPL-09, E-GOV-04, E-GOV-05, E-GOV-06, E-GOV-13, E-RSK-03; PPTDF applicability: Process.</t>
  </si>
  <si>
    <t xml:space="preserve">CA-07, CA-07(01), PM-14</t>
  </si>
  <si>
    <t xml:space="preserve">CA-07, PM-14</t>
  </si>
  <si>
    <t xml:space="preserve">RISK-4c, ARCHITECTURE-1i, PROGRAM-2h</t>
  </si>
  <si>
    <t xml:space="preserve">GV.OC-03</t>
  </si>
  <si>
    <t xml:space="preserve">CA-07(01)</t>
  </si>
  <si>
    <t xml:space="preserve">GVN-04, LGL-03</t>
  </si>
  <si>
    <t xml:space="preserve">GV.MT-P4, PR.PO-P5</t>
  </si>
  <si>
    <t xml:space="preserve">SG.CA Security Assessment and Authorization; SG.PM Security Program Management</t>
  </si>
  <si>
    <t xml:space="preserve">8.1, 10.1</t>
  </si>
  <si>
    <t xml:space="preserve">5.31, 5.36, 6.8, 8.8, 8.34</t>
  </si>
  <si>
    <t xml:space="preserve">CPL-02.1</t>
  </si>
  <si>
    <t xml:space="preserve">Internal Audit Function</t>
  </si>
  <si>
    <t xml:space="preserve">Mechanisms exist to implement an internal audit function that is capable of providing senior organization management with insights into the appropriateness of the organization's technology and information governance processes.</t>
  </si>
  <si>
    <t xml:space="preserve">Does the organization implement an internal audit function that is capable of providing senior organization management with insights into the appropriateness of its technology and information governance processes?</t>
  </si>
  <si>
    <t xml:space="preserve">E-CPL-04, E-CPL-07</t>
  </si>
  <si>
    <t xml:space="preserve">The organization implements and operates mechanisms to implement an internal audit function that is capable of providing senior organization management with insights into the appropriateness of the organization's technology and information governance processes.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</si>
  <si>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an internal audit function exists that is comprised of stakeholders who have the subject matter expertise to serve in an advisory capability on audit-related matters;
b. Ensuring an internal audit function formally defines audit-related priorities for the organization;
c. Ensuring an internal audit function tracks audit findings that require remediation efforts;
d. Ensuring an internal audit function provides the organization's executive leadership with insights into the appropriateness of the organization's technology and information governance processes;
e. Ensuring the frequency at which to assess the security requirements for the system and its environment of operation is defined;
f. Maintaining a compliance obligations register that identifies OT and AMI regulatory, contractual and customer-privacy requirements and the controls that satisfy them; and
g.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</si>
  <si>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Internal audit program.
In-scope requirement alignment: CSA IoT SCF: GVN-04.
Validation: Annual conformity validation; evidence artifacts E-CPL-04, E-CPL-07; PPTDF applicability: Process.</t>
  </si>
  <si>
    <t xml:space="preserve">9.2.1, 9.2.1(a)(1), 9.2.1(a)(2), 9.2.1(b), 9.2.2, 9.2.2(a), 9.2.2(b), 9.2.2(c)</t>
  </si>
  <si>
    <t xml:space="preserve">5.35, 8.34</t>
  </si>
  <si>
    <t xml:space="preserve">∙ Internal audit program</t>
  </si>
  <si>
    <t xml:space="preserve">CPL-03</t>
  </si>
  <si>
    <t xml:space="preserve">Control Conformity Monitoring</t>
  </si>
  <si>
    <t xml:space="preserve">Mechanisms exist to validate that Technology Assets, Applications, Services and/or Data (TAASD) conform to the organization's security, compliance and/or resilience policies, standards and other applicable requirements.</t>
  </si>
  <si>
    <t xml:space="preserve">Does the organization validate that Technology Assets, Applications, Services and/or Data (TAASD) conform to its security, compliance and/or resilience policies, standards and other applicable requirements?</t>
  </si>
  <si>
    <t xml:space="preserve">E-CPL-05, E-CPL-07</t>
  </si>
  <si>
    <t xml:space="preserve">NIST SP 800-82 R3 - Moderate OT Overlay; NIST Cybersecurity Framework 2.0; CSA IoT Security Controls Framework v2; NIST SP 800-161 R1 - C-SCRM Baseline; NIST Privacy Framework 1.0; NIST SP 800-53B R5 - Privacy baseline</t>
  </si>
  <si>
    <t xml:space="preserve">The organization implements and operates mechanisms to validate that Technology Assets, Applications, Services and/or Data (TAASD) conform to the organization's security, compliance and/or resilience policies, standards and other applicable requirements.
Within the OT and AMI environment, this objective includes OT and AMI regulatory obligations and the ability to evidence conformity for regulators, auditors and customers.</t>
  </si>
  <si>
    <t xml:space="preserve">The Information Risk Manager, in coordination with OT Engineering, is responsible for:
a. Ensuring the frequency at which to assess controls in the system and its environment of operation is defined;
b. Ensuring an appropriate assessor or assessment team is selected for the type of assessment to be conducted;
c. Ensuring the security requirements for the system and its environment of operation are assessed per an organization-defined frequency to determine if the requirements have been satisfied;
d. Ensuring individuals or roles to whom control assessment results are to be provided are defined;
e. Ensuring a control assessment plan is developed that describes the scope of the assessment, including controls and control enhancements under assessment;
f. Ensuring a control assessment plan is developed that describes the scope of the assessment, including assessment procedures to be used to determine control effectiveness;
g. Ensuring a control assessment plan is developed that describes the scope of the assessment, including the assessment environment;
h. Ensuring a control assessment plan is developed that describes the scope of the assessment, including the assessment team;
i. Maintaining a compliance obligations register that identifies OT and AMI regulatory, contractual and customer-privacy requirements and the controls that satisfy them; and
j.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</si>
  <si>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Information Assurance Program (IAP); Control Validation Testing (CVT) / Security Test &amp; Evaluation (STE); GRC solution (e.g., SCFConnect, Cyturus, SureCloud, SimpleRisk, Ignyte, ZenGRC, Galvanize, MetricStream, Archer, etc.).
In-scope requirement alignment: NIST SP 800-82 R3 (Moderate OT overlay): CA-02 | NIST CSF 2.0: ID.IM-01, ID.IM-02 | NIST SP 800-161 R1 C-SCRM: CA-2 | CSA IoT SCF: GVN-04 | NIST Privacy Framework: ID.DE-P5, CT.DM-P9 | NIST SP 800-53B Privacy: CA-02.
Validation: Semi-Annual conformity validation; evidence artifacts E-CPL-05, E-CPL-07; PPTDF applicability: Process.</t>
  </si>
  <si>
    <t xml:space="preserve">CA-02</t>
  </si>
  <si>
    <t xml:space="preserve">ID.IM-01, ID.IM-02</t>
  </si>
  <si>
    <t xml:space="preserve">CA-2</t>
  </si>
  <si>
    <t xml:space="preserve">ID.DE-P5, CT.DM-P9</t>
  </si>
  <si>
    <t xml:space="preserve">SG.CA Security Assessment and Authorization</t>
  </si>
  <si>
    <t xml:space="preserve">8.1, 9.1, 9.1(a), 9.1(b), 9.1(c), 9.1(d), 9.1(e), 9.1(f)</t>
  </si>
  <si>
    <t xml:space="preserve">5.35, 5.36, 8.34</t>
  </si>
  <si>
    <t xml:space="preserve">∙ Information Assurance Program (IAP)
∙ Control Validation Testing (CVT) / Security Test &amp; Evaluation (STE)
∙  GRC solution (e.g., SCFConnect, Cyturus, SureCloud, SimpleRisk, Ignyte, ZenGRC, Galvanize, MetricStream, Archer, etc.)</t>
  </si>
  <si>
    <t xml:space="preserve">CPL-03.1</t>
  </si>
  <si>
    <t xml:space="preserve">Independent Assessors</t>
  </si>
  <si>
    <t xml:space="preserve">Mechanisms exist to utilize independent assessors to evaluate security, compliance and resilience at planned intervals or when the Technology Asset, Application and/or Service (TAAS) undergoes significant changes.</t>
  </si>
  <si>
    <t xml:space="preserve">Does the organization utilize independent assessors to evaluate security, compliance and resilience at planned intervals or when the Technology Asset, Application and/or Service (TAAS) undergoes significant changes?</t>
  </si>
  <si>
    <t xml:space="preserve">E-CPL-07</t>
  </si>
  <si>
    <t xml:space="preserve">The organization implements and operates mechanisms to utilize independent assessors to evaluate security, compliance and resilience at planned intervals or when the Technology Asset, Application and/or Service (TAAS) undergoes significant changes.
Within the OT and AMI environment, this objective includes OT and AMI regulatory obligations and the ability to evidence conformity for regulators, auditors and customers.</t>
  </si>
  <si>
    <t xml:space="preserve">The Information Risk Manager, in coordination with OT Engineering, is responsible for:
a. Ensuring independent assessors or assessment teams are employed to monitor in-scope controls on an ongoing basis;
b. Maintaining a compliance obligations register that identifies OT and AMI regulatory, contractual and customer-privacy requirements and the controls that satisfy them; and
c.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</si>
  <si>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Information Assurance Program (IAP); Control Validation Testing (CVT) / Security Test &amp; Evaluation (STE).
In-scope requirement alignment: NIST SP 800-82 R3 (Moderate OT overlay): CA-07(01) | NIST SP 800-53B Moderate: CA-07(01) | NIST SP 800-53B Privacy: CA-07(01).
Validation: Annual conformity validation; evidence artifacts E-CPL-07; PPTDF applicability: Process.</t>
  </si>
  <si>
    <t xml:space="preserve">5.35</t>
  </si>
  <si>
    <t xml:space="preserve">CPL-03.2</t>
  </si>
  <si>
    <t xml:space="preserve">Functional Review Of Security, Compliance &amp; Resilience Controls</t>
  </si>
  <si>
    <t xml:space="preserve">Mechanisms exist to regularly review Technology Assets, Applications and/or Services (TAAS) for adherence to the organization's security, compliance and/or resilience policies and standards.</t>
  </si>
  <si>
    <t xml:space="preserve">Does the organization regularly review Technology Assets, Applications and/or Services (TAAS) for adherence to its security, compliance and/or resilience policies and standards?</t>
  </si>
  <si>
    <t xml:space="preserve">E-CPL-08</t>
  </si>
  <si>
    <t xml:space="preserve">NIST SP 800-82 R3 - Moderate OT Overlay; NERC CIP; NIST Cybersecurity Framework 2.0; DOE Cybersecurity Capability Maturity Model; CSA IoT Security Controls Framework v2; NIST SP 800-161 R1 - C-SCRM Baseline; NIST Privacy Framework 1.0; NIST SP 800-53B R5 - Privacy baseline</t>
  </si>
  <si>
    <t xml:space="preserve">The organization implements and operates mechanisms to regularly review Technology Assets, Applications and/or Services (TAAS) for adherence to the organization's security, compliance and/or resilience policies and standards.
Within the OT and AMI environment, this objective includes OT and AMI regulatory obligations and the ability to evidence conformity for regulators, auditors and customers.</t>
  </si>
  <si>
    <t xml:space="preserve">The Information Risk Manager, in coordination with OT Engineering, is responsible for:
a. Ensuring controls are assessed in the system and its environment of operation per an organization-defined assessment frequency to determine the extent to which the controls are implemented correctly, operating as intended and producing the desired outcome with respect to meeting established security requirements;
b. Ensuring a control assessment report is produced that documents the results of the assessment;
c. Ensuring controls are assessed in the system and its environment of operation per an organization-defined assessment frequency to determine the extent to which the controls are implemented correctly, operating as intended and producing the desired outcome with respect to meeting established privacy requirements;
d. Ensuring a system-level continuous monitoring strategy is implemented;
e. Ensuring the results of the control assessment are provided to individuals or roles;
f. Maintaining a compliance obligations register that identifies OT and AMI regulatory, contractual and customer-privacy requirements and the controls that satisfy them; and
g. Including OT and AMI systems in the scope of compliance assessments and audits.</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</si>
  <si>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Control Validation Testing (CVT) / Security Test &amp; Evaluation (STE); Regular/yearly policy and standards review process.
In-scope requirement alignment: NIST SP 800-82 R3 (Moderate OT overlay): CA-02, RA-03 | NERC CIP: CIP-006-6 R3, CIP-006-6 3.1 | DOE C2M2: RISK-4c, ARCHITECTURE-1i | NIST CSF 2.0: ID.IM-01, ID.IM-02 | NIST SP 800-161 R1 C-SCRM: CA-2, RA-3 | CSA IoT SCF: GVN-04 | NIST Privacy Framework: CT.DM-P9 | NIST SP 800-53B Privacy: CA-02, RA-03.
Validation: Quarterly conformity validation; evidence artifacts E-CPL-08; PPTDF applicability: Process.</t>
  </si>
  <si>
    <t xml:space="preserve">CA-02, RA-03</t>
  </si>
  <si>
    <t xml:space="preserve">CIP-006-6 R3, CIP-006-6 3.1</t>
  </si>
  <si>
    <t xml:space="preserve">RISK-4c, ARCHITECTURE-1i</t>
  </si>
  <si>
    <t xml:space="preserve">CA-2, RA-3</t>
  </si>
  <si>
    <t xml:space="preserve">CT.DM-P9</t>
  </si>
  <si>
    <t xml:space="preserve">SG.CA Security Assessment and Authorization; SG.RA Risk Management and Assessment</t>
  </si>
  <si>
    <t xml:space="preserve">5.35, 5.36, 8.8</t>
  </si>
  <si>
    <t xml:space="preserve">∙ Control Validation Testing (CVT) / Security Test &amp; Evaluation (STE)
∙ Regular/yearly policy and standards review process</t>
  </si>
  <si>
    <t xml:space="preserve">CFG-01</t>
  </si>
  <si>
    <t xml:space="preserve">Configuration Management Program</t>
  </si>
  <si>
    <t xml:space="preserve">Configuration Management</t>
  </si>
  <si>
    <t xml:space="preserve">CFG</t>
  </si>
  <si>
    <t xml:space="preserve">Mechanisms exist to facilitate the implementation of configuration management controls.</t>
  </si>
  <si>
    <t xml:space="preserve">Does the organization facilitate the implementation of configuration management controls?</t>
  </si>
  <si>
    <t xml:space="preserve">E-AST-01, E-AST-27</t>
  </si>
  <si>
    <t xml:space="preserve">NIST SP 800-82 R3 - Moderate OT Overlay; NERC CIP; CISA Cross-Sector Cybersecurity Performance Goals; NIST Cybersecurity Framework 2.0; NIST SP 800-53B R5 - Moderate baseline; CSA IoT Security Controls Framework v2; NIST SP 800-161 R1 - C-SCRM Baseline; NIST Privacy Framework 1.0; NIST SP 800-53B R5 - Privacy baseline</t>
  </si>
  <si>
    <t xml:space="preserve">Manager, Enterprise Configuration Management</t>
  </si>
  <si>
    <t xml:space="preserve">OT Engineering Lead (secure baselines for HES, SCADA, field devices)</t>
  </si>
  <si>
    <t xml:space="preserve">AMI vendor; OT equipment manufacturers; system integrators</t>
  </si>
  <si>
    <t xml:space="preserve">The organization shall establish, enforce and monitor secure baseline configurations for all technology assets, including OT and AMI components such as head-end servers, HMIs, engineering workstations, network devices, RTUs, PLCs, collectors and meters. Baselines shall implement least functionality, be validated with manufacturers and OT engineering, and be maintained under configuration control.</t>
  </si>
  <si>
    <t xml:space="preserve">The organization develops, implements and governs processes and documentation to facilitate the implementation of configuration management controls, as well as associated standards, controls and procedures, across enterprise IT, Operational Technology (OT) and Advanced Metering Infrastructure (AMI) environments.
Within the OT and AMI environment, this objective establishes vendor-validated, least-functionality baselines for OT and AMI components and controls deviations through OT change management.</t>
  </si>
  <si>
    <t xml:space="preserve">The Chief Information Security Officer (CISO), in coordination with the OT Security Lead, is responsible for:
a. Ensuring the scope for the configuration management plan is organization-wide;
b. Ensuring the types of changes to the system that are configuration-controlled are defined;
c. Ensuring a configuration management plan for systems, applications and services is developed and documented;
d. Ensuring a configuration management plan for systems, applications and services is implemented;
e. Ensuring configuration management operations are conducted according to documented policies, standards, procedures and/or other organizational directives;
f. Ensuring adequate resources (e.g., people, processes, technologies, data and/or facilities) are provided to support configuration management operations;
g. Ensuring responsibility and authority for the performance of configuration management-related activities are assigned to designated personnel;
h. Ensuring personnel performing configuration management-related activities have the skills and knowledge needed to perform their assigned duties;
i. Developing and maintaining secure configuration baselines for OT and AMI asset classes (head-end, HMI, engineering workstation, network device, RTU/PLC, collector, meter) that are validated with the manufacturer and OT Engineering;
j. Disabling unused ports, protocols, services, optical/diagnostic interfaces and default accounts on OT and AMI components where technically feasible and safe; and
k.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</si>
  <si>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Configuration Management (CM) program; Change control program.
In-scope requirement alignment: NIST SP 800-82 R3 (Moderate OT overlay): CM-01, CM-09 | NERC CIP: CIP-003-8 1.1.7, CIP-010-3 R1 | CISA CPG: 2.A, 2.O, 2.Q | NIST CSF 2.0: PR.PS, PR.PS-01, PR.PS-05 | NIST SP 800-53B Moderate: CM-09 | NIST SP 800-161 R1 C-SCRM: CM-1 | CSA IoT SCF: CCM-02, CCM-08 | NIST Privacy Framework: PR.PO-P1 | NIST SP 800-53B Privacy: CM-01, CM-09.
Validation: Annual conformity validation; evidence artifacts E-AST-01, E-AST-27; PPTDF applicability: Process.</t>
  </si>
  <si>
    <t xml:space="preserve">CM-01, CM-09</t>
  </si>
  <si>
    <t xml:space="preserve">CIP-003-8 1.1.7, CIP-010-3 R1</t>
  </si>
  <si>
    <t xml:space="preserve">2.A, 2.O, 2.Q</t>
  </si>
  <si>
    <t xml:space="preserve">PR.PS, PR.PS-01, PR.PS-05</t>
  </si>
  <si>
    <t xml:space="preserve">CM-1</t>
  </si>
  <si>
    <t xml:space="preserve">CCM-02, CCM-08</t>
  </si>
  <si>
    <t xml:space="preserve">PR.PO-P1</t>
  </si>
  <si>
    <t xml:space="preserve">8.3, 8.9, 8.12</t>
  </si>
  <si>
    <t xml:space="preserve">∙ Configuration Management (CM) program
∙ Change control program</t>
  </si>
  <si>
    <t xml:space="preserve">CFG-02</t>
  </si>
  <si>
    <t xml:space="preserve">Secure Baseline Configurations</t>
  </si>
  <si>
    <t xml:space="preserve">Mechanisms exist to develop, document and maintain secure baseline configurations for Technology Assets, Applications and/or Services (TAAS) that are consistent with industry-accepted system hardening standards.</t>
  </si>
  <si>
    <t xml:space="preserve">Does the organization develop, document and maintain secure baseline configurations for Technology Assets, Applications and/or Services (TAAS) that are consistent with industry-accepted system hardening standards?</t>
  </si>
  <si>
    <t xml:space="preserve">E-AST-12, E-AST-13, E-AST-14, E-AST-15, E-AST-16, E-AST-17, E-AST-18, E-AST-19, E-AST-20, E-AST-21</t>
  </si>
  <si>
    <t xml:space="preserve">IEC 62443-2-1:2024; IEC 62443-3-3:2013; IEC 62443-4-2:2019; NIST SP 800-82 R3 - Moderate OT Overlay; NERC CIP; CISA Cross-Sector Cybersecurity Performance Goals; NIST Cybersecurity Framework 2.0; DOE Cybersecurity Capability Maturity Model; CSA IoT Security Controls Framework v2; NIST SP 800-161 R1 - C-SCRM Baseline; NIST Privacy Framework 1.0; NIST SP 800-53B R5 - Privacy baseline</t>
  </si>
  <si>
    <t xml:space="preserve">The organization implements and operates mechanisms to develop, document and maintain secure baseline configurations for Technology Assets, Applications and/or Services (TAAS) that are consistent with industry-accepted system hardening standards.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</si>
  <si>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a current baseline configuration for systems, applications and services is developed and documented;
b. Ensuring the baseline configuration includes hardware, software, firmware and documentation;
c. Ensuring security configuration settings for information technology products employed in the system are enforced;
d. Ensuring the baseline configuration is maintained (reviewed / updated) throughout the system development life cycle under configuration control;
e. Ensuring configuration settings that reflect the most restrictive mode consistent with operational requirements are established and documented for components employed within the system using organization-defined common secure configurations;
f. Ensuring thresholds to which attack surfaces are to be reduced are defined;
g. Ensuring the developer of the system, system component or system service is required to reduce attack surfaces to organization-defined thresholds;
h. Ensuring configuration requirements are established for each type of wireless access to the system;
i. Developing secure configuration baselines for each OT and AMI asset class (head-end and MDM servers, HMIs, engineering workstations, historians, network and security devices, RTUs/PLCs, collectors and meters) validated with the manufacturer and OT Engineering; and
j. Maintaining baselines under configuration control and comparing deployed configurations to the baseline at least annually and after changes.</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</si>
  <si>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Defense Information Security Agency (DISA) Secure Technology Implementation Guides (STIGs); Center for Internet Security (CIS) Benchmarks; Original Equipment Manufacturer (OEM) security guides; CimTrak Integrity Suite; Netwrix Auditor.
In-scope requirement alignment: IEC 62443-2-1: CM 1.3, NET 2.1(a), NET 2.1(c), NET 2.3, NET 3.3, COMP 1.1, USER 1.7, USER 1.8 | IEC 62443-3-3: SR 2.2, SR 7.6 | IEC 62443-4-2: CR 2.2, CR 7.6 | NIST SP 800-82 R3 (Moderate OT overlay): CM-02, CM-06, PL-10, SA-08 | NERC CIP: CIP-010-4 1.1, CIP-010-4 1.1.1, CIP-010-4 1.1.2, CIP-010-4 1.1.3, CIP-010-4 1.1.4, CIP-010-4 1.1.5, CIP-010-4 2.1 | CISA CPG: 1.E, 2.A, 2.B, 2.G, 2.H, 2.K, 2.N, 2.O, 2.V | DOE C2M2: ASSET-3a, ASSET-3b, ASSET-3c, SITUATION-1c, SITUATION-1d, ARCHITECTURE-2e, ARCHITECTURE-3b, ARCHITECTURE-3d, ARCHITECTURE-3e, ARCHITECTURE-3f, ARCHITECTURE-3g, ARCHITECTURE-3h, ARCHITECTURE-3l | NIST CSF 2.0: PR.DS-10, PR.PS, PR.PS-05 | NIST SP 800-161 R1 C-SCRM: CM-2, CM-6, PL-10, SA-8 | CSA IoT SCF: CLS-05, IOT-02, IOT-03, IOT-07, SNT-01, SWS-01, SWS-08 | NIST Privacy Framework: CT.DP-P4, PR.PO-P1, PR.PT-P2 | NIST SP 800-53B Privacy: CM-02, CM-06, SA-08, SA-15(05).
Validation: Annual conformity validation; evidence artifacts E-AST-12, E-AST-13, E-AST-14, E-AST-15, E-AST-16, E-AST-17, E-AST-18, E-AST-19, E-AST-20, E-AST-21; PPTDF applicability: Process.</t>
  </si>
  <si>
    <t xml:space="preserve">CM 1.3, NET 2.1(a), NET 2.1(c), NET 2.3, NET 3.3, COMP 1.1, USER 1.7, USER 1.8</t>
  </si>
  <si>
    <t xml:space="preserve">SR 2.2, SR 7.6</t>
  </si>
  <si>
    <t xml:space="preserve">CR 2.2, CR 7.6</t>
  </si>
  <si>
    <t xml:space="preserve">CM-02, CM-06, PL-10, SA-08, SA-15(05)</t>
  </si>
  <si>
    <t xml:space="preserve">CM-02, CM-06, PL-10, SA-08</t>
  </si>
  <si>
    <t xml:space="preserve">CIP-010-4 1.1, CIP-010-4 1.1.1, CIP-010-4 1.1.2, CIP-010-4 1.1.3, CIP-010-4 1.1.4, CIP-010-4 1.1.5, CIP-010-4 2.1</t>
  </si>
  <si>
    <t xml:space="preserve">1.E, 2.A, 2.B, 2.G, 2.H, 2.K, 2.N, 2.O, 2.V</t>
  </si>
  <si>
    <t xml:space="preserve">ASSET-3a, ASSET-3b, ASSET-3c, SITUATION-1c, SITUATION-1d, ARCHITECTURE-2e, ARCHITECTURE-3b, ARCHITECTURE-3d, ARCHITECTURE-3e, ARCHITECTURE-3f, ARCHITECTURE-3g, ARCHITECTURE-3h, ARCHITECTURE-3l</t>
  </si>
  <si>
    <t xml:space="preserve">PR.DS-10, PR.PS, PR.PS-05</t>
  </si>
  <si>
    <t xml:space="preserve">CM-2, CM-6, PL-10, SA-8</t>
  </si>
  <si>
    <t xml:space="preserve">CLS-05, IOT-02, IOT-03, IOT-07, SNT-01, SWS-01, SWS-08</t>
  </si>
  <si>
    <t xml:space="preserve">CT.DP-P4, PR.PO-P1, PR.PT-P2</t>
  </si>
  <si>
    <t xml:space="preserve">CM-02, CM-06, SA-08, SA-15(05)</t>
  </si>
  <si>
    <t xml:space="preserve">SG.CM Configuration Management; SG.PL Planning; SG.SA Smart Grid Information System and Services Acquisition</t>
  </si>
  <si>
    <t xml:space="preserve">8.3, 8.5, 8.9, 8.12, 8.25, 8.26</t>
  </si>
  <si>
    <t xml:space="preserve">∙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t>
  </si>
  <si>
    <t xml:space="preserve">CFG-02.1</t>
  </si>
  <si>
    <t xml:space="preserve">Reviews &amp; Updates</t>
  </si>
  <si>
    <t xml:space="preserve">Mechanisms exist to review and update baseline configurations:
(1) At least annually;
(2) When required due to so; or
(3) As part of system component installations and upgrades.</t>
  </si>
  <si>
    <t xml:space="preserve">Does the organization review and update baseline configurations:
 (1) At least annually;
 (2) When required due to so; or
 (3) As part of system component installations and upgrades?</t>
  </si>
  <si>
    <t xml:space="preserve">E-AST-12</t>
  </si>
  <si>
    <t xml:space="preserve">NIST SP 800-82 R3 - Moderate OT Overlay; NERC CIP; CISA Cross-Sector Cybersecurity Performance Goals; NIST Cybersecurity Framework 2.0; DOE Cybersecurity Capability Maturity Model; NIST SP 800-161 R1 - C-SCRM Baseline; NIST SP 800-53B R5 - Privacy baseline</t>
  </si>
  <si>
    <t xml:space="preserve">The organization implements and operates mechanisms to review and update baseline configurations: (1) At least annually; (2) When required due to so; or (3) As part of system component installations and upgrades.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</si>
  <si>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circumstances requiring baseline configuration review / update are defined;
b. Ensuring the baseline configuration of the system is reviewed / updated when required due to organization-defined circumstances;
c. Ensuring the frequency of baseline configuration review / update is defined;
d. Ensuring the baseline configuration of the system is reviewed when system components are installed or modified;
e. Ensuring the baseline configuration of the system is updated when system components are installed or modified;
f. Ensuring the baseline configuration of the system is reviewed per an organization-defined frequency;
g. Ensuring the baseline configuration of the system is updated per an organization-defined frequency;
h. Developing and maintaining secure configuration baselines for OT and AMI asset classes (head-end, HMI, engineering workstation, network device, RTU/PLC, collector, meter) that are validated with the manufacturer and OT Engineering;
i. Disabling unused ports, protocols, services, optical/diagnostic interfaces and default accounts on OT and AMI components where technically feasible and safe; and
j.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</si>
  <si>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Configuration Management (CM) program; Change control program.
In-scope requirement alignment: NIST SP 800-82 R3 (Moderate OT overlay): CM-02 | NERC CIP: CIP-010-4 1.3, CIP-010-4 2.1 | CISA CPG: 2.K, 2.O | DOE C2M2: ASSET-3d, ASSET-3e | NIST CSF 2.0: PR.PS | NIST SP 800-161 R1 C-SCRM: CM-2 | NIST SP 800-53B Privacy: CM-02.
Validation: Annual conformity validation; evidence artifacts E-AST-12; PPTDF applicability: Process.</t>
  </si>
  <si>
    <t xml:space="preserve">CM-02</t>
  </si>
  <si>
    <t xml:space="preserve">CIP-010-4 1.3, CIP-010-4 2.1</t>
  </si>
  <si>
    <t xml:space="preserve">2.K, 2.O</t>
  </si>
  <si>
    <t xml:space="preserve">ASSET-3d, ASSET-3e</t>
  </si>
  <si>
    <t xml:space="preserve">PR.PS</t>
  </si>
  <si>
    <t xml:space="preserve">CM-2</t>
  </si>
  <si>
    <t xml:space="preserve">CFG-02.2</t>
  </si>
  <si>
    <t xml:space="preserve">Automated Central Management &amp; Verification</t>
  </si>
  <si>
    <t xml:space="preserve">Automated mechanisms exist to govern and report on baseline configurations of Technology Assets, Applications and/or Services (TAAS) through Continuous Diagnostics and Mitigation (CDM), or similar technologies.</t>
  </si>
  <si>
    <t xml:space="preserve">Does the organization use automated mechanisms to govern and report on baseline configurations of Technology Assets, Applications and/or Services (TAAS) through Continuous Diagnostics and Mitigation (CDM), or similar technologies?</t>
  </si>
  <si>
    <t xml:space="preserve">IEC 62443-2-1:2024; IEC 62443-3-3:2013; IEC 62443-4-2:2019; NIST SP 800-82 R3 - Moderate OT Overlay; NIST SP 800-53B R5 - Moderate baseline; DOE Cybersecurity Capability Maturity Model; CSA IoT Security Controls Framework v2</t>
  </si>
  <si>
    <t xml:space="preserve">The organization implements and operates automated mechanisms to govern and report on baseline configurations of Technology Assets, Applications and/or Services (TAAS) through Continuous Diagnostics and Mitigation (CDM), or similar technologies.
Within the OT and AMI environment, this objective establishes vendor-validated, least-functionality baselines for OT and AMI components and controls deviations through OT change management.</t>
  </si>
  <si>
    <t xml:space="preserve">The Managed Security Service Provider (MSSP), under the oversight of the Security Operations function and with OT visibility requirements, is responsible for:
a. Ensuring system components for which to manage, apply and verify configuration settings are defined;
b. Ensuring automated discovery and management tools are employed to maintain an up-to-date, complete, accurate and readily available inventory of system components;
c. Ensuring automated discovery and management tools for the inventory of system components are identified;
d. Ensuring an up-to-date, complete, accurate and readily available inventory of system components exists;
e. Ensuring activities associated with configuration-controlled changes to the system are monitored;
f. Ensuring activities associated with configuration-controlled changes to the system are reviewed;
g. Developing and maintaining secure configuration baselines for OT and AMI asset classes (head-end, HMI, engineering workstation, network device, RTU/PLC, collector, meter) that are validated with the manufacturer and OT Engineering;
h. Disabling unused ports, protocols, services, optical/diagnostic interfaces and default accounts on OT and AMI components where technically feasible and safe; and
i.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</si>
  <si>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CimTrak Integrity Suite; Netwrix Auditor.
In-scope requirement alignment: IEC 62443-2-1: CM 1.3 | IEC 62443-3-3: SR 3.3 RE 1, SR 3.3 RE 2, SR 7.6 RE 1 | IEC 62443-4-2: CR 7.6(1) | NIST SP 800-82 R3 (Moderate OT overlay): CM-02(02) | DOE C2M2: ASSET-3e | NIST SP 800-53B Moderate: CM-02(02) | CSA IoT SCF: CCM-03, SWS-02.
Validation: Quarterly conformity validation; evidence artifacts to be defined; PPTDF applicability: Technology.</t>
  </si>
  <si>
    <t xml:space="preserve">CM 1.3</t>
  </si>
  <si>
    <t xml:space="preserve">SR 3.3 RE 1, SR 3.3 RE 2, SR 7.6 RE 1</t>
  </si>
  <si>
    <t xml:space="preserve">CR 7.6(1)</t>
  </si>
  <si>
    <t xml:space="preserve">CM-02(02), CM-06(01)</t>
  </si>
  <si>
    <t xml:space="preserve">CM-02(02)</t>
  </si>
  <si>
    <t xml:space="preserve">ASSET-3e</t>
  </si>
  <si>
    <t xml:space="preserve">CCM-03, SWS-02</t>
  </si>
  <si>
    <t xml:space="preserve">∙ CimTrak Integrity Suite (https://cimcor.com/cimtrak)
∙ Netwrix Auditor (https://netrix.com)</t>
  </si>
  <si>
    <t xml:space="preserve">CFG-02.3</t>
  </si>
  <si>
    <t xml:space="preserve">Retention Of Previous Configurations</t>
  </si>
  <si>
    <t xml:space="preserve">Mechanisms exist to retain previous versions of baseline configuration to support roll back.</t>
  </si>
  <si>
    <t xml:space="preserve">Does the organization retain previous versions of baseline configuration to support roll back?</t>
  </si>
  <si>
    <t xml:space="preserve">The organization implements and operates mechanisms to retain previous versions of baseline configuration to support roll back.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</si>
  <si>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number of previous baseline configuration versions to be retained is defined;
b. Ensuring organization-defined number of previous baseline configuration version(s) of the system is/are retained to support rollback;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</si>
  <si>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Enterprise configuration management platform (e.g., Ansible, Puppet); CMDB; Drift detection and remediation.
In-scope requirement alignment: NIST SP 800-82 R3 (Moderate OT overlay): CM-02(03) | NIST SP 800-53B Moderate: CM-02(03).
Validation: Annual conformity validation; evidence artifacts to be defined; PPTDF applicability: Process.</t>
  </si>
  <si>
    <t xml:space="preserve">CM-02(03)</t>
  </si>
  <si>
    <t xml:space="preserve">∙ Enterprise configuration management platform (e.g., Ansible, Puppet)
∙ CMDB
∙ Drift detection and remediation</t>
  </si>
  <si>
    <t xml:space="preserve">CFG-02.5</t>
  </si>
  <si>
    <t xml:space="preserve">Configure Technology Assets, Applications and/or Services (TAAS) for High-Risk Areas</t>
  </si>
  <si>
    <t xml:space="preserve">Mechanisms exist to configure Technology Assets, Applications and/or Services (TAAS) utilized in high-risk areas with more restrictive baseline configurations.</t>
  </si>
  <si>
    <t xml:space="preserve">Does the organization configure Technology Assets, Applications and/or Services (TAAS) utilized in high-risk areas with more restrictive baseline configurations?</t>
  </si>
  <si>
    <t xml:space="preserve">E-AST-12, E-AST-13, E-AST-14, E-AST-15, E-AST-16, E-AST-17, E-AST-18, E-AST-19, E-AST-20, E-AST-21, E-AST-33</t>
  </si>
  <si>
    <t xml:space="preserve">NIST SP 800-82 R3 - Moderate OT Overlay; CISA Cross-Sector Cybersecurity Performance Goals; NIST Cybersecurity Framework 2.0; NIST SP 800-53B R5 - Moderate baseline; DOE Cybersecurity Capability Maturity Model; CSA IoT Security Controls Framework v2</t>
  </si>
  <si>
    <t xml:space="preserve">The organization implements and operates mechanisms to configure Technology Assets, Applications and/or Services (TAAS) utilized in high-risk areas with more restrictive baseline configurations.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</si>
  <si>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security requirements to be applied to the system or system components when individuals return from travel are defined;
b. Ensuring organization-defined systems or system components with organization-defined configurations are issued to individuals traveling to locations that the organization deems to be of significant risk;
c. Ensuring configurations for systems or system components to be issued to individuals traveling to high-risk locations are defined;
d. Ensuring organization-defined controls are applied to the systems or system components when the individuals return from travel;
e. Developing and maintaining secure configuration baselines for OT and AMI asset classes (head-end, HMI, engineering workstation, network device, RTU/PLC, collector, meter) that are validated with the manufacturer and OT Engineering;
f. Disabling unused ports, protocols, services, optical/diagnostic interfaces and default accounts on OT and AMI components where technically feasible and safe; and
g.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</si>
  <si>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Defense Information Security Agency (DISA) Secure Technology Implementation Guides (STIGs); Center for Internet Security (CIS) Benchmarks; Original Equipment Manufacturer (OEM) security guides; CimTrak Integrity Suite; Netwrix Auditor.
In-scope requirement alignment: NIST SP 800-82 R3 (Moderate OT overlay): CM-02(07) | CISA CPG: 2.W, 2.X | DOE C2M2: SITUATION-1f, ARCHITECTURE-3k | NIST CSF 2.0: PR.PS | NIST SP 800-53B Moderate: CM-02(07) | CSA IoT SCF: CLS-05, IOT-02, SAP-09, SWS-03.
Validation: Annual conformity validation; evidence artifacts E-AST-12, E-AST-13, E-AST-14, E-AST-15, E-AST-16, E-AST-17, E-AST-18, E-AST-19, E-AST-20, E-AST-21, E-AST-33; PPTDF applicability: Technology.</t>
  </si>
  <si>
    <t xml:space="preserve">CM-02(07), CM-07(06), CM-07(07), CM-07(09)</t>
  </si>
  <si>
    <t xml:space="preserve">CM-02(07)</t>
  </si>
  <si>
    <t xml:space="preserve">2.W, 2.X</t>
  </si>
  <si>
    <t xml:space="preserve">SITUATION-1f, ARCHITECTURE-3k</t>
  </si>
  <si>
    <t xml:space="preserve">CLS-05, IOT-02, SAP-09, SWS-03</t>
  </si>
  <si>
    <t xml:space="preserve">8.12</t>
  </si>
  <si>
    <t xml:space="preserve">CFG-02.7</t>
  </si>
  <si>
    <t xml:space="preserve">Approved Configuration Deviations</t>
  </si>
  <si>
    <t xml:space="preserve">Mechanisms exist to document, assess risk and approve or deny deviations to standardized configurations.</t>
  </si>
  <si>
    <t xml:space="preserve">Does the organization document, assess risk and approve or deny deviations to standardized configurations?</t>
  </si>
  <si>
    <t xml:space="preserve">E-AST-33</t>
  </si>
  <si>
    <t xml:space="preserve">NIST SP 800-82 R3 - Moderate OT Overlay; NERC CIP; CISA Cross-Sector Cybersecurity Performance Goals; NIST SP 800-161 R1 - C-SCRM Baseline; NIST SP 800-53B R5 - Privacy baseline</t>
  </si>
  <si>
    <t xml:space="preserve">The organization implements and operates mechanisms to document, assess risk and approve or deny deviations to standardized configurations.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</si>
  <si>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configuration settings that reflect the most restrictive mode consistent with operational requirements are established and documented for components employed within the system using common secure configurations;
b. Ensuring changes to the configuration settings are controlled in accordance with organizational policies and procedures;
c. Ensuring any deviations from established configuration settings are identified and documented;
d. Ensuring any deviations from established configuration settings are approved;
e. Ensuring common secure configurations to establish and document configuration settings for components employed within the system are defined;
f. Ensuring system components for which approval of deviations is needed are defined;
g. Ensuring operational requirements necessitating approval of deviations are defined;
h. Ensuring changes to the configuration settings are monitored in accordance with organizational policies and procedures;
i. Developing and maintaining secure configuration baselines for OT and AMI asset classes (head-end, HMI, engineering workstation, network device, RTU/PLC, collector, meter) that are validated with the manufacturer and OT Engineering;
j. Disabling unused ports, protocols, services, optical/diagnostic interfaces and default accounts on OT and AMI components where technically feasible and safe; and
k.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</si>
  <si>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CimTrak Integrity Suite; Netwrix Auditor.
In-scope requirement alignment: NIST SP 800-82 R3 (Moderate OT overlay): CM-06 | NERC CIP: CIP-010-4 1.2, CIP-010-4 1.4, CIP-010-4 1.4.3, CIP-010-4 1.5, CIP-010-4 1.6 | CISA CPG: 2.O | NIST SP 800-161 R1 C-SCRM: CM-6 | NIST SP 800-53B Privacy: CM-06.
Validation: Annual conformity validation; evidence artifacts E-AST-33; PPTDF applicability: Process.</t>
  </si>
  <si>
    <t xml:space="preserve">CM-06</t>
  </si>
  <si>
    <t xml:space="preserve">CIP-010-4 1.2, CIP-010-4 1.4, CIP-010-4 1.4.3, CIP-010-4 1.5, CIP-010-4 1.6</t>
  </si>
  <si>
    <t xml:space="preserve">2.O</t>
  </si>
  <si>
    <t xml:space="preserve">CM-6</t>
  </si>
  <si>
    <t xml:space="preserve">CFG-02.9</t>
  </si>
  <si>
    <t xml:space="preserve">Baseline Tailoring</t>
  </si>
  <si>
    <t xml:space="preserve">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</si>
  <si>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 xml:space="preserve">Does the organization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</si>
  <si>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 xml:space="preserve">E-AST-33, E-GOV-20</t>
  </si>
  <si>
    <t xml:space="preserve">NIST SP 800-82 R3 - Moderate OT Overlay; NERC CIP; DOE Cybersecurity Capability Maturity Model</t>
  </si>
  <si>
    <t xml:space="preserve">The organization implements and operates mechanisms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</si>
  <si>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selected control baseline is tailored by applying specified tailoring actions;
b. Ensuring additional information for audit records is provided, as needed;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</si>
  <si>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Defense Information Security Agency (DISA) Secure Technology Implementation Guides (STIGs); Center for Internet Security (CIS) Benchmarks; Original Equipment Manufacturer (OEM) security guides; CimTrak Integrity Suite; Netwrix Auditor.
In-scope requirement alignment: NIST SP 800-82 R3 (Moderate OT overlay): PL-11 | NERC CIP: CIP-010-4 1.4.1, CIP-010-4 1.6.1, CIP-010-4 1.6.2 | DOE C2M2: ASSET-3d, SITUATION-1f, ARCHITECTURE-3h.
Validation: Annual conformity validation; evidence artifacts E-AST-33, E-GOV-20; PPTDF applicability: Technology.</t>
  </si>
  <si>
    <t xml:space="preserve">PL-11</t>
  </si>
  <si>
    <t xml:space="preserve">CIP-010-4 1.4.1, CIP-010-4 1.6.1, CIP-010-4 1.6.2</t>
  </si>
  <si>
    <t xml:space="preserve">ASSET-3d, SITUATION-1f, ARCHITECTURE-3h</t>
  </si>
  <si>
    <t xml:space="preserve">SG.PL Planning</t>
  </si>
  <si>
    <t xml:space="preserve">CFG-03</t>
  </si>
  <si>
    <t xml:space="preserve">Least Functionality</t>
  </si>
  <si>
    <t xml:space="preserve">Mechanisms exist to configure systems to provide only essential capabilities by specifically prohibiting or restricting the use of ports, protocols, and/or services.</t>
  </si>
  <si>
    <t xml:space="preserve">Does the organization configure systems to provide only essential capabilities by specifically prohibiting or restricting the use of ports, protocols, and/or services?</t>
  </si>
  <si>
    <t xml:space="preserve">IEC 62443-3-3:2013; IEC 62443-4-2:2019; NIST SP 800-82 R3 - Moderate OT Overlay; NERC CIP; CISA Cross-Sector Cybersecurity Performance Goals; NIST Cybersecurity Framework 2.0; DOE Cybersecurity Capability Maturity Model; NIST SP 800-161 R1 - C-SCRM Baseline; NIST Privacy Framework 1.0</t>
  </si>
  <si>
    <t xml:space="preserve">The organization implements and operates mechanisms to configure systems to provide only essential capabilities by specifically prohibiting or restricting the use of ports, protocols, and/or services.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</si>
  <si>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configuration settings for the system that reflect the most restrictive mode consistent with operational requirements are defined (e.g., principle of least functionality);
b. Ensuring systems are configured to provide only the defined essential capabilities, where unnecessary or nonsecure functions, ports, protocols, connections, and services are disabled or removed;
c. Ensuring functions to be prohibited or restricted are defined;
d. Ensuring ports to be prohibited or restricted are defined;
e. Ensuring protocols to be prohibited or restricted are defined;
f. Ensuring software to be prohibited or restricted is defined;
g. Ensuring services to be prohibited or restricted are defined;
h. Ensuring the use of organization-defined functions is prohibited or restricted;
i. Disabling unnecessary ports, protocols, services, applications and physical interfaces (including optical and diagnostic ports) on OT and AMI components where technically feasible and safe; and
j. Documenting required ports, protocols and services for each OT and AMI asset class with business justification.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</si>
  <si>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Defense Information Security Agency (DISA) Secure Technology Implementation Guides (STIGs); Center for Internet Security (CIS) Benchmarks; Original Equipment Manufacturer (OEM) security guides.
In-scope requirement alignment: IEC 62443-3-3: SR 7.7 | IEC 62443-4-2: CR 2.2, CR 7.7 | NIST SP 800-82 R3 (Moderate OT overlay): CM-07 | NERC CIP: CIP-007-6 1.1 | CISA CPG: 2.W | DOE C2M2: ARCHITECTURE-3d | NIST CSF 2.0: PR.PS-05 | NIST SP 800-161 R1 C-SCRM: CM-7 | NIST Privacy Framework: PR.PT-P2.
Validation: Annual conformity validation; evidence artifacts E-AST-12, E-AST-13, E-AST-14, E-AST-15, E-AST-16, E-AST-17, E-AST-18, E-AST-19, E-AST-20, E-AST-21; PPTDF applicability: Technology.</t>
  </si>
  <si>
    <t xml:space="preserve">SR 7.7</t>
  </si>
  <si>
    <t xml:space="preserve">CR 2.2, CR 7.7</t>
  </si>
  <si>
    <t xml:space="preserve">CM-07</t>
  </si>
  <si>
    <t xml:space="preserve">CIP-007-6 1.1</t>
  </si>
  <si>
    <t xml:space="preserve">2.W</t>
  </si>
  <si>
    <t xml:space="preserve">ARCHITECTURE-3d</t>
  </si>
  <si>
    <t xml:space="preserve">PR.PS-05</t>
  </si>
  <si>
    <t xml:space="preserve">CM-7</t>
  </si>
  <si>
    <t xml:space="preserve">PR.PT-P2</t>
  </si>
  <si>
    <t xml:space="preserve">∙ Secure Baseline Configurations (SBC)
∙ Defense Information Security Agency (DISA) Secure Technology Implementation Guides (STIGs)
∙ Center for Internet Security (CIS) Benchmarks
∙ Original Equipment Manufacturer (OEM) security guides</t>
  </si>
  <si>
    <t xml:space="preserve">CFG-03.1</t>
  </si>
  <si>
    <t xml:space="preserve">Periodic Review</t>
  </si>
  <si>
    <t xml:space="preserve">Mechanisms exist to periodically review system configurations to identify and disable unnecessary and/or non-secure functions, ports, protocols and services.</t>
  </si>
  <si>
    <t xml:space="preserve">Does the organization periodically review system configurations to identify and disable unnecessary and/or non-secure functions, ports, protocols and services?</t>
  </si>
  <si>
    <t xml:space="preserve">The organization implements and operates mechanisms to periodically review system configurations to identify and disable unnecessary and/or non-secure functions, ports, protocols and services.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</si>
  <si>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frequency at which to review the system to identify unnecessary or nonsecure functions, ports, protocols, connections, or services is defined;
b. Ensuring organization-defined functions, ports, protocols, software and services deemed to be unnecessary and/or non-secure are disabled or removed;
c. Ensuring essential programs are defined;
d. Ensuring essential functions are defined;
e. Ensuring essential ports are defined;
f. Ensuring essential protocols are defined;
g. Ensuring essential services are defined;
h. Ensuring the use of nonessential programs is defined;
i. Developing and maintaining secure configuration baselines for OT and AMI asset classes (head-end, HMI, engineering workstation, network device, RTU/PLC, collector, meter) that are validated with the manufacturer and OT Engineering;
j. Disabling unused ports, protocols, services, optical/diagnostic interfaces and default accounts on OT and AMI components where technically feasible and safe; and
k.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</si>
  <si>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Configuration Management (CM) program; Change control program.
In-scope requirement alignment: NIST SP 800-82 R3 (Moderate OT overlay): CM-07(01) | NIST SP 800-53B Moderate: CM-07(01).
Validation: Annual conformity validation; evidence artifacts to be defined; PPTDF applicability: Process.</t>
  </si>
  <si>
    <t xml:space="preserve">CM-07(01)</t>
  </si>
  <si>
    <t xml:space="preserve">8.8, 8.27</t>
  </si>
  <si>
    <t xml:space="preserve">CFG-03.2</t>
  </si>
  <si>
    <t xml:space="preserve">Prevent Unauthorized Software Execution</t>
  </si>
  <si>
    <t xml:space="preserve">Mechanisms exist to configure systems to prevent the execution of unauthorized software programs.</t>
  </si>
  <si>
    <t xml:space="preserve">Does the organization configure systems to prevent the execution of unauthorized software programs?</t>
  </si>
  <si>
    <t xml:space="preserve">E-AST-20, E-AST-21</t>
  </si>
  <si>
    <t xml:space="preserve">NIST Cybersecurity Framework 2.0; NIST SP 800-53B R5 - Moderate baseline; NIST SP 800-53B R5 - Privacy baseline</t>
  </si>
  <si>
    <t xml:space="preserve">The organization implements and operates mechanisms to configure systems to prevent the execution of unauthorized software programs.
Within the OT and AMI environment, this objective establishes vendor-validated, least-functionality baselines for OT and AMI components and controls deviations through OT change management.</t>
  </si>
  <si>
    <t xml:space="preserve">The Managed Security Service Provider (MSSP), under the oversight of the Security Operations function and with OT visibility requirements, is responsible for:
a. Ensuring policies, rules of behavior, and/or access agreements regarding unauthorized software program usage and restrictions are defined;
b. Ensuring program execution is prevented in accordance with organization-defined criteria (e.g., policies, rules of behavior, and/or access agreements);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</si>
  <si>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whitelisting / blacklisting applications; Microsoft Windows Defender Application Control (WDAC); CimTrak Integrity Suite.
In-scope requirement alignment: NIST CSF 2.0: PR.PS-05 | NIST SP 800-53B Moderate: CM-07(02) | NIST SP 800-53B Privacy: CM-07(02).
Validation: Annual conformity validation; evidence artifacts E-AST-20, E-AST-21; PPTDF applicability: Technology.</t>
  </si>
  <si>
    <t xml:space="preserve">CM-07(02)</t>
  </si>
  <si>
    <t xml:space="preserve">∙ whitelisting / blacklisting applications
∙ Microsoft Windows Defender Application Control (WDAC)
∙ CimTrak Integrity Suite (https://cimcor.com/cimtrak)</t>
  </si>
  <si>
    <t xml:space="preserve">CFG-03.3</t>
  </si>
  <si>
    <t xml:space="preserve">Explicitly Allow / Deny Applications</t>
  </si>
  <si>
    <t xml:space="preserve">Mechanisms exist to explicitly allow (allowlist / whitelist) and/or block (denylist / blacklist) applications that are authorized to execute on systems.</t>
  </si>
  <si>
    <t xml:space="preserve">Does the organization explicitly allow (allowlist / whitelist) and/or block (denylist / blacklist) applications that are authorized to execute on systems?</t>
  </si>
  <si>
    <t xml:space="preserve">E-AST-31</t>
  </si>
  <si>
    <t xml:space="preserve">NIST SP 800-82 R3 - Moderate OT Overlay; NIST SP 800-53B R5 - Moderate baseline; DOE Cybersecurity Capability Maturity Model; CSA IoT Security Controls Framework v2; NIST SP 800-53B R5 - Privacy baseline</t>
  </si>
  <si>
    <t xml:space="preserve">The organization implements and operates mechanisms to explicitly allow (allowlist / whitelist) and/or block (denylist / blacklist) applications that are authorized to execute on systems.
Within the OT and AMI environment, this objective establishes vendor-validated, least-functionality baselines for OT and AMI components and controls deviations through OT change management.</t>
  </si>
  <si>
    <t xml:space="preserve">The Managed Security Service Provider (MSSP), under the oversight of the Security Operations function and with OT visibility requirements, is responsible for:
a. Ensuring the software allowed to execute under whitelisting or denied use under blacklisting is specified;
b. Ensuring whitelisting to allow the execution of authorized software or blacklisting to prevent the use of unauthorized software is implemented as specified;
c. Ensuring a policy and/or process specifying whether whitelisting or blacklisting is to be implemented is specified;
d. Ensuring registration requirements for functions, ports, protocols and services are defined;
e. Ensuring an allow-all, deny-by-exception policy is employed to prohibit the execution of unauthorized software programs on the system;
f. Ensuring the list of unauthorized software programs is reviewed / updated organization-defined frequency;
g. Ensuring software programs authorized to execute on the system are identified;
h. Ensuring the frequency at which to review and update the list of authorized software programs is defined;
i. Developing and maintaining secure configuration baselines for OT and AMI asset classes (head-end, HMI, engineering workstation, network device, RTU/PLC, collector, meter) that are validated with the manufacturer and OT Engineering;
j. Disabling unused ports, protocols, services, optical/diagnostic interfaces and default accounts on OT and AMI components where technically feasible and safe; and
k.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</si>
  <si>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whitelisting / blacklisting applications; Microsoft Windows Defender Application Control (WDAC); CimTrak Integrity Suite.
In-scope requirement alignment: NIST SP 800-82 R3 (Moderate OT overlay): CM-07(05) | DOE C2M2: ARCHITECTURE-3m | NIST SP 800-53B Moderate: CM-07(05) | CSA IoT SCF: CLS-02 | NIST SP 800-53B Privacy: SC-18(04).
Validation: Annual conformity validation; evidence artifacts E-AST-31; PPTDF applicability: Technology.</t>
  </si>
  <si>
    <t xml:space="preserve">CM-07(04), CM-07(05), SC-18(04)</t>
  </si>
  <si>
    <t xml:space="preserve">CM-07(05)</t>
  </si>
  <si>
    <t xml:space="preserve">ARCHITECTURE-3m</t>
  </si>
  <si>
    <t xml:space="preserve">CLS-02</t>
  </si>
  <si>
    <t xml:space="preserve">SC-18(04)</t>
  </si>
  <si>
    <t xml:space="preserve">SG.CM Configuration Management; SG.SC Smart Grid Information System and Communication Protection</t>
  </si>
  <si>
    <t xml:space="preserve">CFG-03.4</t>
  </si>
  <si>
    <t xml:space="preserve">Split Tunneling</t>
  </si>
  <si>
    <t xml:space="preserve">Mechanisms exist to prevent split tunneling for remote devices unless the split tunnel is securely provisioned using organization-defined safeguards.</t>
  </si>
  <si>
    <t xml:space="preserve">Does the organization prevent split tunneling for remote devices unless the split tunnel is securely provisioned using organization-defined safeguards?</t>
  </si>
  <si>
    <t xml:space="preserve">The organization implements and operates mechanisms to prevent split tunneling for remote devices unless the split tunnel is securely provisioned using organization-defined safeguards.
Within the OT and AMI environment, this objective establishes vendor-validated, least-functionality baselines for OT and AMI components and controls deviations through OT change management.</t>
  </si>
  <si>
    <t xml:space="preserve">IT Operations and OT Operations teams (asset custodians) are responsible for:
a. Ensuring remote devices are prevented from simultaneously establishing non-remote connections with the system and communicating via some other connection to resources in external networks (e.g., split tunneling);
b. Ensuring safeguards to securely provision split tunneling are defined;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</si>
  <si>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In-scope requirement alignment: NIST SP 800-82 R3 (Moderate OT overlay): SC-07(07) | NIST SP 800-53B Moderate: SC-07(07).
Validation: Annual conformity validation; evidence artifacts to be defined; PPTDF applicability: Technology.</t>
  </si>
  <si>
    <t xml:space="preserve">SC-07(07)</t>
  </si>
  <si>
    <t xml:space="preserve">CFG-04</t>
  </si>
  <si>
    <t xml:space="preserve">Software Usage Restrictions</t>
  </si>
  <si>
    <t xml:space="preserve">Mechanisms exist to enforce software usage restrictions to comply with applicable contract agreements and copyright laws.</t>
  </si>
  <si>
    <t xml:space="preserve">Does the organization enforce software usage restrictions to comply with applicable contract agreements and copyright laws?</t>
  </si>
  <si>
    <t xml:space="preserve">The organization implements and operates mechanisms to enforce software usage restrictions to comply with applicable contract agreements and copyright laws.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</si>
  <si>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software and associated documentation are used in accordance with contract agreements and copyright laws;
b. Ensuring the use of software and associated documentation protected by quantity licenses is tracked to control copying and distribution;
c. Ensuring the use of peer-to-peer file sharing technology is controlled and documented to ensure that peer-to-peer file sharing is not used for the unauthorized distribution, display, performance or reproduction of copyrighted work;
d. Developing and maintaining secure configuration baselines for OT and AMI asset classes (head-end, HMI, engineering workstation, network device, RTU/PLC, collector, meter) that are validated with the manufacturer and OT Engineering;
e. Disabling unused ports, protocols, services, optical/diagnostic interfaces and default accounts on OT and AMI components where technically feasible and safe; and
f.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</si>
  <si>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In-scope requirement alignment: NIST SP 800-82 R3 (Moderate OT overlay): CM-10 | NIST SP 800-161 R1 C-SCRM: CM-10.
Validation: Annual conformity validation; evidence artifacts to be defined; PPTDF applicability: Technology.</t>
  </si>
  <si>
    <t xml:space="preserve">CM-10</t>
  </si>
  <si>
    <t xml:space="preserve">CFG-05</t>
  </si>
  <si>
    <t xml:space="preserve">User-Installed Software</t>
  </si>
  <si>
    <t xml:space="preserve">Mechanisms exist to restrict the ability of non-privileged users to install unauthorized software.</t>
  </si>
  <si>
    <t xml:space="preserve">Does the organization restrict the ability of non-privileged users to install unauthorized software?</t>
  </si>
  <si>
    <t xml:space="preserve">E-AST-01, E-AST-21, E-IAM-02</t>
  </si>
  <si>
    <t xml:space="preserve">NIST SP 800-82 R3 - Moderate OT Overlay; CISA Cross-Sector Cybersecurity Performance Goals; NIST Cybersecurity Framework 2.0; NIST SP 800-161 R1 - C-SCRM Baseline; NIST SP 800-53B R5 - Privacy baseline</t>
  </si>
  <si>
    <t xml:space="preserve">The organization implements and operates mechanisms to restrict the ability of non-privileged users to install unauthorized software.
Within the OT and AMI environment, this objective establishes vendor-validated, least-functionality baselines for OT and AMI components and controls deviations through OT change management.</t>
  </si>
  <si>
    <t xml:space="preserve">IT Operations and OT Operations teams (asset custodians) are responsible for:
a. Ensuring methods used to enforce software installation policies are defined;
b. Ensuring software installation policies are enforced through organization-defined methods;
c. Ensuring policies governing the installation of software by users are defined;
d. Ensuring installation of software by users is monitored;
e. Ensuring configuration settings prevent the ability of non-privileged users to install unauthorized software;
f. Developing and maintaining secure configuration baselines for OT and AMI asset classes (head-end, HMI, engineering workstation, network device, RTU/PLC, collector, meter) that are validated with the manufacturer and OT Engineering;
g. Disabling unused ports, protocols, services, optical/diagnostic interfaces and default accounts on OT and AMI components where technically feasible and safe; and
h.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</si>
  <si>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Privileged Account Management (PAM); whitelisting / blacklisting applications; Microsoft Windows Defender Application Control (WDAC).
In-scope requirement alignment: NIST SP 800-82 R3 (Moderate OT overlay): CM-11 | CISA CPG: 2.Q | NIST CSF 2.0: PR.PS-05 | NIST SP 800-161 R1 C-SCRM: CM-11 | NIST SP 800-53B Privacy: CM-11, CM-11(02).
Validation: Annual conformity validation; evidence artifacts E-AST-01, E-AST-21, E-IAM-02; PPTDF applicability: Technology.</t>
  </si>
  <si>
    <t xml:space="preserve">CM-11, CM-11(02)</t>
  </si>
  <si>
    <t xml:space="preserve">CM-11</t>
  </si>
  <si>
    <t xml:space="preserve">∙ Secure Baseline Configurations (SBC)
∙ Privileged Account Management (PAM)
∙ whitelisting / blacklisting applications
∙ Microsoft Windows Defender Application Control (WDAC)</t>
  </si>
  <si>
    <t xml:space="preserve">CFG-05.1</t>
  </si>
  <si>
    <t xml:space="preserve">Unauthorized Installation Alerts</t>
  </si>
  <si>
    <t xml:space="preserve">Mechanisms exist to configure systems to generate an alert when the unauthorized installation of software is detected.</t>
  </si>
  <si>
    <t xml:space="preserve">Does the organization configure systems to generate an alert when the unauthorized installation of software is detected?</t>
  </si>
  <si>
    <t xml:space="preserve">The organization implements and operates mechanisms to configure systems to generate an alert when the unauthorized installation of software is detected.
Within the OT and AMI environment, this objective establishes vendor-validated, least-functionality baselines for OT and AMI components and controls deviations through OT change management.</t>
  </si>
  <si>
    <t xml:space="preserve">The Managed Security Service Provider (MSSP), under the oversight of the Security Operations function and with OT visibility requirements, is responsible for:
a. Ensuring compliance with software installation policies is enforced using organization-defined automated mechanisms;
b. Ensuring the frequency at which automated mechanisms are used to detect the presence of unauthorized hardware, software and/or firmware within the system is defined;
c. Ensuring automated mechanisms used to monitor compliance are defined;
d. Developing and maintaining secure configuration baselines for OT and AMI asset classes (head-end, HMI, engineering workstation, network device, RTU/PLC, collector, meter) that are validated with the manufacturer and OT Engineering;
e. Disabling unused ports, protocols, services, optical/diagnostic interfaces and default accounts on OT and AMI components where technically feasible and safe; and
f.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</si>
  <si>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Microsoft Windows Defender Application Control (WDAC); CimTrak Integrity Suite.
In-scope requirement alignment: NIST SP 800-82 R3 (Moderate OT overlay): CM-08(03) | NIST SP 800-53B Moderate: CM-08(03) | NIST SP 800-53B Privacy: CM-08(03), CM-11(03).
Validation: Annual conformity validation; evidence artifacts to be defined; PPTDF applicability: Technology.</t>
  </si>
  <si>
    <t xml:space="preserve">CM-08(03), CM-11(03)</t>
  </si>
  <si>
    <t xml:space="preserve">∙ Microsoft Windows Defender Application Control (WDAC)
∙ CimTrak Integrity Suite (https://cimcor.com/cimtrak)</t>
  </si>
  <si>
    <t xml:space="preserve">CFG-05.2</t>
  </si>
  <si>
    <t xml:space="preserve">Restrict Roles Permitted To Install Software</t>
  </si>
  <si>
    <t xml:space="preserve">Mechanisms exist to configure systems to prevent the installation of software, unless the action is performed by a privileged user or service.</t>
  </si>
  <si>
    <t xml:space="preserve">Does the organization configure systems to prevent the installation of software, unless the action is performed by a privileged user or service?</t>
  </si>
  <si>
    <t xml:space="preserve">CISA Cross-Sector Cybersecurity Performance Goals; NIST SP 800-53B R5 - Privacy baseline</t>
  </si>
  <si>
    <t xml:space="preserve">The organization implements and operates mechanisms to configure systems to prevent the installation of software, unless the action is performed by a privileged user or service.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</si>
  <si>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user installation of software is allowed only with explicit privileged status;
b. Developing and maintaining secure configuration baselines for OT and AMI asset classes (head-end, HMI, engineering workstation, network device, RTU/PLC, collector, meter) that are validated with the manufacturer and OT Engineering;
c. Disabling unused ports, protocols, services, optical/diagnostic interfaces and default accounts on OT and AMI components where technically feasible and safe; and
d.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</si>
  <si>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Role Based Access Control (RBAC); Privileged Account Management (PAM).
In-scope requirement alignment: CISA CPG: 2.Q | NIST SP 800-53B Privacy: CM-11(02).
Validation: Annual conformity validation; evidence artifacts to be defined; PPTDF applicability: Technology.</t>
  </si>
  <si>
    <t xml:space="preserve">CM-11(02)</t>
  </si>
  <si>
    <t xml:space="preserve">∙ Role Based Access Control (RBAC)
∙ Privileged Account Management (PAM)</t>
  </si>
  <si>
    <t xml:space="preserve">CFG-06</t>
  </si>
  <si>
    <t xml:space="preserve">Configuration Enforcement</t>
  </si>
  <si>
    <t xml:space="preserve">Automated mechanisms exist to monitor, enforce and report on configurations for endpoint devices.</t>
  </si>
  <si>
    <t xml:space="preserve">Does the organization use automated mechanisms to monitor, enforce and report on configurations for endpoint devices?</t>
  </si>
  <si>
    <t xml:space="preserve">CSA IoT Security Controls Framework v2; NIST SP 800-53B R5 - Privacy baseline</t>
  </si>
  <si>
    <t xml:space="preserve">The organization implements and operates automated mechanisms to monitor, enforce and report on configurations for endpoint devices.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</si>
  <si>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circumstances under which changes are to be prevented or restricted are defined;
b. Ensuring changes to the configuration of the system are prevented or restricted under organization-defined circumstances;
c. Ensuring automated mechanisms used to enforce configuration enforcement are defined;
d. Ensuring automated mechanisms used to monitor configuration enforcement are defined;
e. Ensuring compliance with software installation policies is enforced using automated mechanisms;
f. Ensuring compliance with software installation policies is monitored using automated mechanisms;
g. Developing and maintaining secure configuration baselines for OT and AMI asset classes (head-end, HMI, engineering workstation, network device, RTU/PLC, collector, meter) that are validated with the manufacturer and OT Engineering;
h. Disabling unused ports, protocols, services, optical/diagnostic interfaces and default accounts on OT and AMI components where technically feasible and safe; and
i.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</si>
  <si>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Microsoft Windows Defender Application Control (WDAC); CimTrak Integrity Suite.
In-scope requirement alignment: CSA IoT SCF: CCM-03 | NIST SP 800-53B Privacy: CM-11(03).
Validation: Quarterly conformity validation; evidence artifacts to be defined; PPTDF applicability: Technology.</t>
  </si>
  <si>
    <t xml:space="preserve">CM-03(08), CM-11(03)</t>
  </si>
  <si>
    <t xml:space="preserve">CCM-03</t>
  </si>
  <si>
    <t xml:space="preserve">CM-11(03)</t>
  </si>
  <si>
    <t xml:space="preserve">CFG-06.1</t>
  </si>
  <si>
    <t xml:space="preserve">Integrity Assurance &amp; Enforcement (IAE)</t>
  </si>
  <si>
    <t xml:space="preserve">Automated mechanisms exist to identify unauthorized deviations from an approved baseline and implement automated resiliency actions to remediate the unauthorized change.</t>
  </si>
  <si>
    <t xml:space="preserve">Does the organization use automated mechanisms to identify unauthorized deviations from an approved baseline and implement automated resiliency actions to remediate the unauthorized change?</t>
  </si>
  <si>
    <t xml:space="preserve">IEC 62443-4-2:2019; NIST SP 800-53B R5 - Privacy baseline</t>
  </si>
  <si>
    <t xml:space="preserve">The organization implements and operates automated mechanisms to identify unauthorized deviations from an approved baseline and implement automated resiliency actions to remediate the unauthorized change.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</si>
  <si>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unauthorized deviations from an approved baseline are identified and automated resiliency actions are implemented to remediate the unauthorized change;
b. Developing and maintaining secure configuration baselines for OT and AMI asset classes (head-end, HMI, engineering workstation, network device, RTU/PLC, collector, meter) that are validated with the manufacturer and OT Engineering;
c. Disabling unused ports, protocols, services, optical/diagnostic interfaces and default accounts on OT and AMI components where technically feasible and safe; and
d.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</si>
  <si>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CimTrak Integrity Suite.
In-scope requirement alignment: IEC 62443-4-2: HDR 3.11(1), NDR 3.11(1) | NIST SP 800-53B Privacy: CM-11(03).
Validation: Quarterly conformity validation; evidence artifacts to be defined; PPTDF applicability: Technology.</t>
  </si>
  <si>
    <t xml:space="preserve">HDR 3.11(1), NDR 3.11(1)</t>
  </si>
  <si>
    <t xml:space="preserve">CFG-07</t>
  </si>
  <si>
    <t xml:space="preserve">Zero-Touch Provisioning (ZTP)</t>
  </si>
  <si>
    <t xml:space="preserve">Mechanisms exist to implement Zero-Touch Provisioning (ZTP), or similar technology, to automatically and securely configure devices upon being added to a network.</t>
  </si>
  <si>
    <t xml:space="preserve">Does the organization implement Zero-Touch Provisioning (ZTP), or similar technology, to automatically and securely configure devices upon being added to a network?</t>
  </si>
  <si>
    <t xml:space="preserve">The organization implements and operates mechanisms to implement Zero-Touch Provisioning (ZTP), or similar technology, to automatically and securely configure devices upon being added to a network.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</si>
  <si>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automated mechanisms used to perform Zero-Touch Provisioning (ZTP) are defined;
b. Ensuring an automated mechanism performs Zero-Touch Provisioning (ZTP) to deploy secure baseline configurations upon devices being added to a network;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</si>
  <si>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In-scope requirement alignment: IEC 62443-4-2: HDR 3.13(b) | CSA IoT SCF: IAM-07.
Validation: Annual conformity validation; evidence artifacts to be defined; PPTDF applicability: Technology.</t>
  </si>
  <si>
    <t xml:space="preserve">HDR 3.13(b)</t>
  </si>
  <si>
    <t xml:space="preserve">IAM-07</t>
  </si>
  <si>
    <t xml:space="preserve">MON-01</t>
  </si>
  <si>
    <t xml:space="preserve">Continuous Monitoring</t>
  </si>
  <si>
    <t xml:space="preserve">MON</t>
  </si>
  <si>
    <t xml:space="preserve">Mechanisms exist to facilitate the implementation of enterprise-wide monitoring controls.</t>
  </si>
  <si>
    <t xml:space="preserve">Does the organization facilitate the implementation of enterprise-wide monitoring controls?</t>
  </si>
  <si>
    <t xml:space="preserve">E-MON-01, E-MON-06, E-MON-07</t>
  </si>
  <si>
    <t xml:space="preserve">IEC 62443-3-3:2013; IEC 62443-4-2:2019; NIST SP 800-82 R3 - Moderate OT Overlay; CISA Cross-Sector Cybersecurity Performance Goals; NIST Cybersecurity Framework 2.0; DOE Cybersecurity Capability Maturity Model; CSA IoT Security Controls Framework v2; NIST SP 800-161 R1 - C-SCRM Baseline; NIST Privacy Framework 1.0; NIST SP 800-53B R5 - Privacy baseline</t>
  </si>
  <si>
    <t xml:space="preserve">Security Operations Center (SOC) Manager</t>
  </si>
  <si>
    <t xml:space="preserve">OT Security Monitoring Lead / AMI Network Operations Center</t>
  </si>
  <si>
    <t xml:space="preserve">MSSP / SOC provider; OT monitoring platform vendor; AMI vendor</t>
  </si>
  <si>
    <t xml:space="preserve">The organization shall generate, centrally collect, protect and retain security event logs from enterprise IT, OT and AMI systems with synchronized time stamps, so that events can be correlated, investigated and used as evidence without impairing operations.</t>
  </si>
  <si>
    <t xml:space="preserve">The organization develops, implements and governs processes and documentation to facilitate the implementation of enterprise-wide monitoring controls, as well as associated standards, controls and procedures, across enterprise IT, Operational Technology (OT) and Advanced Metering Infrastructure (AMI) environments.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</si>
  <si>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are jointly responsible for:
a. Ensuring the continuous monitoring program is organization-wide;
b. Ensuring monitoring objectives to detect attacks and indicators of potential attacks on the system are defined;
c. Ensuring techniques and methods used to identify unauthorized use of the system are defined;
d. Ensuring event monitoring operations are conducted according to documented policies, standards, procedures and/or other organizational directives;
e. Ensuring adequate resources (e.g., people, processes, technologies, data and/or facilities) are provided to support event monitoring operations;
f. Ensuring responsibility and authority for the performance of event monitoring-related activities are assigned to designated personnel;
g. Ensuring the system is monitored to detect attacks;
h. Ensuring the system is monitored to detect indicators of potential attacks;
i. Including OT and AMI head-end, network, remote-access and field-device telemetry (e.g., tamper, interface access, firmware events) in continuous monitoring; and
j. Deploying passive, protocol-aware monitoring at OT and AMI zone boundaries and key conduits.</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</si>
  <si>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 platform (e.g., Splunk Enterprise Security, IBM QRadar, Microsoft Sentinel); 24/7 Security Operations Center (SOC); Security Orchestration, Automation &amp; Response (SOAR); Threat intelligence integration; Managed Detection &amp; Response (MDR) or in-house SOC.
In-scope requirement alignment: IEC 62443-3-3: SR 6.2 | IEC 62443-4-2: CR 6.2 | NIST SP 800-82 R3 (Moderate OT overlay): AU-01, PM-31, SI-04 | CISA CPG: 1.D, 2.T | DOE C2M2: SITUATION-1a, SITUATION-2c, SITUATION-3g | NIST CSF 2.0: PR.PS-04, DE.CM-01, DE.CM-03, DE.CM-06, DE.CM-09, DE.AE | NIST SP 800-161 R1 C-SCRM: AU-1, SI-4 | CSA IoT SCF: MON-01, MON-03, MON-05, MON-07, SNT-03 | NIST Privacy Framework: CT.DM-P8 | NIST SP 800-53B Privacy: AU-01, PM-31, SI-04.
Validation: Annual conformity validation; evidence artifacts E-MON-01, E-MON-06, E-MON-07; PPTDF applicability: Technology.</t>
  </si>
  <si>
    <t xml:space="preserve">SR 6.2</t>
  </si>
  <si>
    <t xml:space="preserve">CR 6.2</t>
  </si>
  <si>
    <t xml:space="preserve">AU-01, PM-31, SI-04</t>
  </si>
  <si>
    <t xml:space="preserve">1.D, 2.T</t>
  </si>
  <si>
    <t xml:space="preserve">SITUATION-1a, SITUATION-2c, SITUATION-3g</t>
  </si>
  <si>
    <t xml:space="preserve">PR.PS-04, DE.CM-01, DE.CM-03, DE.CM-06, DE.CM-09, DE.AE</t>
  </si>
  <si>
    <t xml:space="preserve">AU-1, SI-4</t>
  </si>
  <si>
    <t xml:space="preserve">MON-01, MON-03, MON-05, MON-07, SNT-03</t>
  </si>
  <si>
    <t xml:space="preserve">CT.DM-P8</t>
  </si>
  <si>
    <t xml:space="preserve">SG.AU Audit and Accountability; SG.PM Security Program Management; SG.SI Smart Grid Information System and Information Integrity</t>
  </si>
  <si>
    <t xml:space="preserve">8.15, 8.16</t>
  </si>
  <si>
    <t xml:space="preserve">NIST Tenet 5, NIST Tenet 6, NIST Tenet 7</t>
  </si>
  <si>
    <t xml:space="preserve">∙ Enterprise SIEM platform (e.g., Splunk Enterprise Security, IBM QRadar, Microsoft Sentinel)
∙ 24/7 Security Operations Center (SOC)
∙ Security Orchestration, Automation &amp; Response (SOAR)
∙ Threat intelligence integration
∙ Managed Detection &amp; Response (MDR) or in-house SOC</t>
  </si>
  <si>
    <t xml:space="preserve">MON-01.1</t>
  </si>
  <si>
    <t xml:space="preserve">Intrusion Detection &amp; Prevention Systems (IDS &amp; IPS)</t>
  </si>
  <si>
    <t xml:space="preserve">Mechanisms exist to implement Intrusion Detection / Prevention Systems (IDS / IPS) technologies on critical systems, key network segments and network choke points.</t>
  </si>
  <si>
    <t xml:space="preserve">Does the organization implement Intrusion Detection / Prevention Systems (IDS / IPS) technologies on critical systems, key network segments and network choke points?</t>
  </si>
  <si>
    <t xml:space="preserve">NIST Cybersecurity Framework 2.0; CSA IoT Security Controls Framework v2; NIST SP 800-53B R5 - Privacy baseline</t>
  </si>
  <si>
    <t xml:space="preserve">The organization implements and operates mechanisms to implement Intrusion Detection / Prevention Systems (IDS / IPS) technologies on critical systems, key network segments and network choke points.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</si>
  <si>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are jointly responsible for:
a. Ensuring visibility into network traffic at external system interfaces is provided to optimize the effectiveness of monitoring devices;
b. Ensuring visibility into network traffic at key internal system interfaces is provided to optimize the effectiveness of monitoring devices;
c. Ensuring individual intrusion detection tools are connected to a system-wide intrusion detection system;
d. Ensuring individual intrusion detection tools are configured into a system-wide intrusion detection system;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</si>
  <si>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IDS/IPS integrated with SIEM; Extended Detection and Response (XDR) (e.g., CrowdStrike Falcon, Palo Alto Cortex XDR); Network Detection and Response (NDR) (e.g., Darktrace, ExtraHop, Vectra AI); AI-driven anomaly detection.
In-scope requirement alignment: NIST CSF 2.0: DE.CM-01 | CSA IoT SCF: OPA-04 | NIST SP 800-53B Privacy: SI-04(25).
Validation: Annual conformity validation; evidence artifacts E-MON-01, E-MON-06, E-MON-07; PPTDF applicability: Technology.</t>
  </si>
  <si>
    <t xml:space="preserve">SI-04(01), SI-04(25)</t>
  </si>
  <si>
    <t xml:space="preserve">DE.CM-01</t>
  </si>
  <si>
    <t xml:space="preserve">OPA-04</t>
  </si>
  <si>
    <t xml:space="preserve">SI-04(25)</t>
  </si>
  <si>
    <t xml:space="preserve">8.16</t>
  </si>
  <si>
    <t xml:space="preserve">∙ Enterprise IDS/IPS integrated with SIEM
∙ Extended Detection and Response (XDR) (e.g., CrowdStrike Falcon, Palo Alto Cortex XDR)
∙ Network Detection and Response (NDR) (e.g., Darktrace, ExtraHop, Vectra AI)
∙ AI-driven anomaly detection</t>
  </si>
  <si>
    <t xml:space="preserve">MON-01.2</t>
  </si>
  <si>
    <t xml:space="preserve">Automated Tools for Real-Time Analysis</t>
  </si>
  <si>
    <t xml:space="preserve">Mechanisms exist to utilize a Security Incident Event Manager (SIEM), or similar automated tool, to support near real-time analysis and incident escalation.</t>
  </si>
  <si>
    <t xml:space="preserve">Does the organization utilize a Security Incident Event Manager (SIEM), or similar automated tool, to support near real-time analysis and incident escalation?</t>
  </si>
  <si>
    <t xml:space="preserve">E-MON-01, E-MON-05</t>
  </si>
  <si>
    <t xml:space="preserve">The organization implements and operates mechanisms to utilize a Security Incident Event Manager (SIEM), or similar automated tool, to support near real-time analysis and incident escalation.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</si>
  <si>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automated tools and mechanisms are employed to support a near real-time analysis of events;
b. Collecting security event logs from AMI head-end systems, OT servers, HMIs, network security devices, remote-access gateways and, where supported, field devices into a centralized monitoring capability;
c. Deploying passive, OT-protocol-aware network monitoring at zone boundaries and key conduits to detect unauthorized devices, communications and commands; and
d.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</si>
  <si>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 with AI/ML-driven analytics (e.g., Splunk ES, IBM QRadar with AI); SOAR platform for automated response (e.g., Splunk SOAR, Palo Alto XSOAR); XDR / MDR platform; UEBA integrated with SIEM; Threat hunting capability.
In-scope requirement alignment: NIST SP 800-82 R3 (Moderate OT overlay): SI-04(02) | DOE C2M2: RESPONSE-1d | NIST SP 800-53B Moderate: SI-04(02) | CSA IoT SCF: MON-03, OPA-04 | NIST SP 800-53B Privacy: SC-48.
Validation: Annual conformity validation; evidence artifacts E-MON-01, E-MON-05; PPTDF applicability: Technology.</t>
  </si>
  <si>
    <t xml:space="preserve">SC-48, SI-04(02)</t>
  </si>
  <si>
    <t xml:space="preserve">SI-04(02)</t>
  </si>
  <si>
    <t xml:space="preserve">RESPONSE-1d</t>
  </si>
  <si>
    <t xml:space="preserve">MON-03, OPA-04</t>
  </si>
  <si>
    <t xml:space="preserve">SC-48</t>
  </si>
  <si>
    <t xml:space="preserve">SG.SC Smart Grid Information System and Communication Protection; SG.SI Smart Grid Information System and Information Integrity</t>
  </si>
  <si>
    <t xml:space="preserve">NIST Tenet 5, NIST Tenet 7</t>
  </si>
  <si>
    <t xml:space="preserve">∙ Enterprise SIEM with AI/ML-driven analytics (e.g., Splunk ES, IBM QRadar with AI)
∙ SOAR platform for automated response (e.g., Splunk SOAR, Palo Alto XSOAR)
∙ XDR / MDR platform
∙ UEBA integrated with SIEM
∙ Threat hunting capability</t>
  </si>
  <si>
    <t xml:space="preserve">MON-01.3</t>
  </si>
  <si>
    <t xml:space="preserve">Inbound &amp; Outbound Communications Traffic</t>
  </si>
  <si>
    <t xml:space="preserve">Mechanisms exist to continuously monitor inbound and outbound communications traffic for unusual or unauthorized activities or conditions.</t>
  </si>
  <si>
    <t xml:space="preserve">Does the organization continuously monitor inbound and outbound communications traffic for unusual or unauthorized activities or conditions?</t>
  </si>
  <si>
    <t xml:space="preserve">IEC 62443-2-1:2024; NIST SP 800-82 R3 - Moderate OT Overlay; CISA Cross-Sector Cybersecurity Performance Goals; NIST Cybersecurity Framework 2.0; NIST SP 800-53B R5 - Moderate baseline; DOE Cybersecurity Capability Maturity Model; CSA IoT Security Controls Framework v2</t>
  </si>
  <si>
    <t xml:space="preserve">The organization implements and operates mechanisms to continuously monitor inbound and outbound communications traffic for unusual or unauthorized activities or conditions.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</si>
  <si>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criteria for unusual or unauthorized activities or conditions for inbound communications traffic are defined;
b. Ensuring criteria for unusual or unauthorized activities or conditions for outbound communications traffic are defined;
c. Ensuring unusual or unauthorized activities or conditions that are to be monitored in outbound communications traffic are defined;
d. Ensuring inbound communications traffic is monitored to detect unusual or unauthorized activities or conditions;
e. Ensuring outbound communications traffic is monitored to detect unusual or unauthorized activities or conditions;
f. Ensuring anomalous or suspicious behavior is defined;
g. Ensuring systems, applications and services are monitored to detect attacks and indicators of potential attacks;
h. Ensuring communications at external managed interfaces to the system are monitored;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</si>
  <si>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Intrusion Detection / Prevention Systems (IDS / IPS); Extended Detection and Response (XDR).
In-scope requirement alignment: IEC 62443-2-1: ORG 2.2(b) | NIST SP 800-82 R3 (Moderate OT overlay): SI-04(04) | CISA CPG: 2.T | DOE C2M2: SITUATION-2b | NIST CSF 2.0: DE.CM-01 | NIST SP 800-53B Moderate: SI-04(04) | CSA IoT SCF: CLS-07, OPA-04, OPA-08.
Validation: Semi-Annual conformity validation; evidence artifacts E-MON-01, E-MON-06, E-MON-07; PPTDF applicability: Technology.</t>
  </si>
  <si>
    <t xml:space="preserve">ORG 2.2(b)</t>
  </si>
  <si>
    <t xml:space="preserve">SI-04(04)</t>
  </si>
  <si>
    <t xml:space="preserve">2.T</t>
  </si>
  <si>
    <t xml:space="preserve">SITUATION-2b</t>
  </si>
  <si>
    <t xml:space="preserve">CLS-07, OPA-04, OPA-08</t>
  </si>
  <si>
    <t xml:space="preserve">∙ Intrusion Detection / Prevention Systems (IDS / IPS)
∙ Extended Detection and Response (XDR)</t>
  </si>
  <si>
    <t xml:space="preserve">MON-01.4</t>
  </si>
  <si>
    <t xml:space="preserve">System Generated Alerts</t>
  </si>
  <si>
    <t xml:space="preserve">Mechanisms exist to generate, monitor, correlate and respond to alerts from physical, cybersecurity, data protection and supply chain activities to achieve integrated situational awareness.</t>
  </si>
  <si>
    <t xml:space="preserve">Does the organization generate, monitor, correlate and respond to alerts from physical, cybersecurity, data protection and supply chain activities to achieve integrated situational awareness?</t>
  </si>
  <si>
    <t xml:space="preserve">E-END-03, E-MON-01, E-MON-06, E-MON-07</t>
  </si>
  <si>
    <t xml:space="preserve">IEC 62443-2-1:2024; IEC 62443-3-3:2013; IEC 62443-4-2:2019; NIST SP 800-82 R3 - Moderate OT Overlay; NERC CIP; CISA Cross-Sector Cybersecurity Performance Goals; NIST Cybersecurity Framework 2.0; NIST SP 800-53B R5 - Moderate baseline; DOE Cybersecurity Capability Maturity Model; CSA IoT Security Controls Framework v2</t>
  </si>
  <si>
    <t xml:space="preserve">The organization implements and operates mechanisms to generate, monitor, correlate and respond to alerts from physical, cybersecurity, data protection and supply chain activities to achieve integrated situational awareness.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</si>
  <si>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audit records contain information that establishes what type of event occurred;
b. Ensuring audit records for the selected event types and audit record content are generated;
c. Ensuring personnel or roles to be alerted when indications of compromise or potential compromise occur is/are defined;
d. Ensuring compromise indicators are defined;
e. Ensuring personnel or roles are alerted when system-generated compromise indicators occur;
f. Ensuring audit records for the selected event types and audit record content specified in 03.03.01 and 03.03.02 are generated;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</si>
  <si>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62443-2-1: EVENT 1.4 | IEC 62443-3-3: SR 2.8 | IEC 62443-4-2: CR 2.8 | NIST SP 800-82 R3 (Moderate OT overlay): SI-04(05) | NERC CIP: CIP-007-6 4.1, CIP-007-6 4.2 | CISA CPG: 2.G, 2.T | DOE C2M2: SITUATION-1a, SITUATION-1b, SITUATION-1c, SITUATION-1d, SITUATION-1f, SITUATION-2e | NIST CSF 2.0: PR.PS-04, DE.CM-01 | NIST SP 800-53B Moderate: SI-04(05) | CSA IoT SCF: CLS-08, MON-03.
Validation: Semi-Annual conformity validation; evidence artifacts E-END-03, E-MON-01, E-MON-06, E-MON-07; PPTDF applicability: Technology.</t>
  </si>
  <si>
    <t xml:space="preserve">EVENT 1.4</t>
  </si>
  <si>
    <t xml:space="preserve">SR 2.8</t>
  </si>
  <si>
    <t xml:space="preserve">CR 2.8</t>
  </si>
  <si>
    <t xml:space="preserve">SI-04(05)</t>
  </si>
  <si>
    <t xml:space="preserve">CIP-007-6 4.1, CIP-007-6 4.2</t>
  </si>
  <si>
    <t xml:space="preserve">2.G, 2.T</t>
  </si>
  <si>
    <t xml:space="preserve">SITUATION-1a, SITUATION-1b, SITUATION-1c, SITUATION-1d, SITUATION-1f, SITUATION-2e</t>
  </si>
  <si>
    <t xml:space="preserve">PR.PS-04, DE.CM-01</t>
  </si>
  <si>
    <t xml:space="preserve">CLS-08, MON-03</t>
  </si>
  <si>
    <t xml:space="preserve">8.15</t>
  </si>
  <si>
    <t xml:space="preserve">MON-01.5</t>
  </si>
  <si>
    <t xml:space="preserve">Wireless Network Monitoring</t>
  </si>
  <si>
    <t xml:space="preserve">Mechanisms exist to monitor wireless network segments for:
(1) Rogue wireless devices; and
(2) Anomalous and/or hostile activities.</t>
  </si>
  <si>
    <t xml:space="preserve">Does the organization monitor wireless network segments for:
(1) Rogue wireless devices; and
(2) Anomalous and/or hostile activities?</t>
  </si>
  <si>
    <t xml:space="preserve">IEC 62443-3-3:2013; CSA IoT Security Controls Framework v2</t>
  </si>
  <si>
    <t xml:space="preserve">The organization implements and operates mechanisms to monitor wireless network segments for: (1) Rogue wireless devices; and (2) Anomalous and/or hostile activities.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</si>
  <si>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 wireless intrusion detection system is employed to detect potential compromises or breaches;
b. Ensuring an intrusion detection system is employed to monitor wireless communications traffic as the traffic passes from wireless to wireline networks;
c. Ensuring a wireless intrusion detection system is employed to identify rogue wireless devices;
d. Ensuring a wireless intrusion detection system is employed to detect attack attempts on the system;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</si>
  <si>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Wireless Intrusion Detection / Protection Systems (WIDS / WIPS); Extended Detection and Response (XDR).
In-scope requirement alignment: IEC 62443-3-3: SR 2.2 RE 1 | CSA IoT SCF: MON-08.
Validation: Annual conformity validation; evidence artifacts to be defined; PPTDF applicability: Technology.</t>
  </si>
  <si>
    <t xml:space="preserve">SR 2.2 RE 1</t>
  </si>
  <si>
    <t xml:space="preserve">SI-04(14)</t>
  </si>
  <si>
    <t xml:space="preserve">MON-08</t>
  </si>
  <si>
    <t xml:space="preserve">∙ Wireless Intrusion Detection / Protection Systems (WIDS / WIPS)
∙ Extended Detection and Response (XDR)</t>
  </si>
  <si>
    <t xml:space="preserve">MON-01.7</t>
  </si>
  <si>
    <t xml:space="preserve">File Integrity Monitoring (FIM)</t>
  </si>
  <si>
    <t xml:space="preserve">Mechanisms exist to utilize a File Integrity Monitor (FIM), or similar change-detection technology, on critical Technology Assets, Applications and/or Services (TAAS) to generate alerts for unauthorized modifications.</t>
  </si>
  <si>
    <t xml:space="preserve">Does the organization utilize a File Integrity Monitor (FIM), or similar change-detection technology, on critical Technology Assets, Applications and/or Services (TAAS) to generate alerts for unauthorized modifications?</t>
  </si>
  <si>
    <t xml:space="preserve">E-MON-08</t>
  </si>
  <si>
    <t xml:space="preserve">IEC 62443-2-1:2024; IEC 62443-3-3:2013; IEC 62443-4-2:2019; NIST Cybersecurity Framework 2.0; CSA IoT Security Controls Framework v2; NIST Privacy Framework 1.0; NIST SP 800-53B R5 - Privacy baseline</t>
  </si>
  <si>
    <t xml:space="preserve">The organization implements and operates mechanisms to utilize a File Integrity Monitor (FIM), or similar change-detection technology, on critical Technology Assets, Applications and/or Services (TAAS) to generate alerts for unauthorized modifications.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</si>
  <si>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are jointly responsible for:
a. Ensuring integrity verification tools are employed to detect unauthorized changes to organization-defined software, firmware and/or information;
b. Ensuring organization-defined actions are taken when unauthorized changes to the software, firmware and/or information, are detected;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</si>
  <si>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FIM solution (e.g., Tripwire Enterprise, CimTrak, Qualys FIM); CimTrak Integrity Suite; FIM integrated with SIEM for real-time alerting; CIS Control 10 (Malware Defenses) alignment.
In-scope requirement alignment: IEC 62443-2-1: DATA 1.7 | IEC 62443-3-3: SR 3.4, SR 3.4 RE 1 | IEC 62443-4-2: CR 3.4(2) | NIST CSF 2.0: DE.CM-09 | CSA IoT SCF: SAP-06 | NIST Privacy Framework: PR.DS-P6 | NIST SP 800-53B Privacy: SI-04(24).
Validation: Annual conformity validation; evidence artifacts E-MON-08; PPTDF applicability: Technology.</t>
  </si>
  <si>
    <t xml:space="preserve">DATA 1.7</t>
  </si>
  <si>
    <t xml:space="preserve">SR 3.4, SR 3.4 RE 1</t>
  </si>
  <si>
    <t xml:space="preserve">CR 3.4(2)</t>
  </si>
  <si>
    <t xml:space="preserve">SI-04(24)</t>
  </si>
  <si>
    <t xml:space="preserve">DE.CM-09</t>
  </si>
  <si>
    <t xml:space="preserve">SAP-06</t>
  </si>
  <si>
    <t xml:space="preserve">PR.DS-P6</t>
  </si>
  <si>
    <t xml:space="preserve">∙ Enterprise FIM solution (e.g., Tripwire Enterprise, CimTrak, Qualys FIM)
∙ CimTrak Integrity Suite (https://cimcor.com/cimtrak)
∙ FIM integrated with SIEM for real-time alerting
∙ CIS Control 10 (Malware Defenses) alignment</t>
  </si>
  <si>
    <t xml:space="preserve">MON-01.8</t>
  </si>
  <si>
    <t xml:space="preserve">Security Event Monitoring</t>
  </si>
  <si>
    <t xml:space="preserve">Mechanisms exist to review event logs on an ongoing basis and escalate incidents in accordance with established timelines and procedures.</t>
  </si>
  <si>
    <t xml:space="preserve">Does the organization review event logs on an ongoing basis and escalate incidents in accordance with established timelines and procedures?</t>
  </si>
  <si>
    <t xml:space="preserve">E-MON-01, E-MON-02, E-MON-05</t>
  </si>
  <si>
    <t xml:space="preserve">IEC 62443-2-1:2024; NIST SP 800-82 R3 - Moderate OT Overlay; CISA Cross-Sector Cybersecurity Performance Goals; NIST Cybersecurity Framework 2.0; DOE Cybersecurity Capability Maturity Model; CSA IoT Security Controls Framework v2; NIST SP 800-161 R1 - C-SCRM Baseline; NIST SP 800-53B R5 - Privacy baseline</t>
  </si>
  <si>
    <t xml:space="preserve">The organization implements and operates mechanisms to review event logs on an ongoing basis and escalate incidents in accordance with established timelines and procedures.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</si>
  <si>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frequency at which system audit records are reviewed and analyzed is defined;
b. Ensuring system audit records are reviewed and analyzed per an organization-defined frequency for indications and the potential impact of inappropriate or unusual activity;
c. Ensuring response actions to system security alerts and advisories are identified;
d. Ensuring system security alerts and advisories are monitored;
e. Ensuring actions in response to system security alerts and advisories are taken;
f. Ensuring the frequency of event types selected for logging are reviewed and updated;
g. Ensuring event types being logged are updated based on the review;
h. Ensuring a process for determining when to review logged events is defined;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</si>
  <si>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IEC 62443-2-1: EVENT 1.2, EVENT 1.7 | NIST SP 800-82 R3 (Moderate OT overlay): AU-02 | CISA CPG: 2.T | DOE C2M2: SITUATION-2a, SITUATION-2b, SITUATION-2e, SITUATION-2i | NIST CSF 2.0: DE.CM-01, DE.AE, DE.AE-06 | NIST SP 800-161 R1 C-SCRM: AU-2 | CSA IoT SCF: CLS-08 | NIST SP 800-53B Privacy: AU-02.
Validation: Annual conformity validation; evidence artifacts E-MON-01, E-MON-02, E-MON-05; PPTDF applicability: Process.</t>
  </si>
  <si>
    <t xml:space="preserve">EVENT 1.2, EVENT 1.7</t>
  </si>
  <si>
    <t xml:space="preserve">AU-02</t>
  </si>
  <si>
    <t xml:space="preserve">SITUATION-2a, SITUATION-2b, SITUATION-2e, SITUATION-2i</t>
  </si>
  <si>
    <t xml:space="preserve">DE.CM-01, DE.AE, DE.AE-06</t>
  </si>
  <si>
    <t xml:space="preserve">AU-2</t>
  </si>
  <si>
    <t xml:space="preserve">CLS-08</t>
  </si>
  <si>
    <t xml:space="preserve">SG.AU Audit and Accountability</t>
  </si>
  <si>
    <t xml:space="preserve">∙ Security Incident Event Manager (SIEM)
∙ Managed Security Services Provider (MSSP)</t>
  </si>
  <si>
    <t xml:space="preserve">MON-01.11</t>
  </si>
  <si>
    <t xml:space="preserve">Automated Response to Suspicious Events</t>
  </si>
  <si>
    <t xml:space="preserve">Automated mechanisms exist to implement pre-determined corrective actions in response to detected events that have security incident implications.</t>
  </si>
  <si>
    <t xml:space="preserve">Does the organization use automated mechanisms to implement pre-determined corrective actions in response to detected events that have security incident implications?</t>
  </si>
  <si>
    <t xml:space="preserve">The organization implements and operates automated mechanisms to implement pre-determined corrective actions in response to detected events that have security incident implications.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</si>
  <si>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security violations that automatically disable a system are defined;
b. Ensuring least-disruptive actions to terminate suspicious events are defined;
c. Ensuring a configurable capability is implemented to automatically disable the system if security violations are detected;
d. Ensuring least-disruptive actions are taken upon the detection of suspicious events;
e. Ensuring incident response personnel (identified by name and/or by role) to be notified of detected suspicious events is/are defined;
f. Ensuring incident response personnel are notified of detected suspicious events;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</si>
  <si>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Intrusion Detection / Prevention Systems (IDS / IPS); Extended Detection and Response (XDR).
In-scope requirement alignment: NIST SP 800-53B Privacy: IR-04(05), SI-04(07).
Validation: Quarterly conformity validation; evidence artifacts to be defined; PPTDF applicability: Technology.</t>
  </si>
  <si>
    <t xml:space="preserve">IR-04(05), SI-04(07)</t>
  </si>
  <si>
    <t xml:space="preserve">SG.IR Incident Response; SG.SI Smart Grid Information System and Information Integrity</t>
  </si>
  <si>
    <t xml:space="preserve">MON-01.12</t>
  </si>
  <si>
    <t xml:space="preserve">Automated Alerts</t>
  </si>
  <si>
    <t xml:space="preserve">Mechanisms exist to automatically alert incident response personnel to inappropriate or anomalous activities that have potential security incident implications.</t>
  </si>
  <si>
    <t xml:space="preserve">Does the organization automatically alert incident response personnel to inappropriate or anomalous activities that have potential security incident implications?</t>
  </si>
  <si>
    <t xml:space="preserve">E-MON-06</t>
  </si>
  <si>
    <t xml:space="preserve">CISA Cross-Sector Cybersecurity Performance Goals; NIST Cybersecurity Framework 2.0; CSA IoT Security Controls Framework v2; NIST SP 800-53B R5 - Privacy baseline</t>
  </si>
  <si>
    <t xml:space="preserve">The organization implements and operates mechanisms to automatically alert incident response personnel to inappropriate or anomalous activities that have potential security incident implications.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</si>
  <si>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personnel or roles to be alerted when indications of inappropriate or unusual activity with cybersecurity / data privacy implications occur is/are defined;
b. Ensuring automated mechanisms used to alert personnel or roles are defined;
c. Ensuring activities that trigger alerts to personnel or are defined;
d. Ensuring personnel or roles is/are alerted using automated mechanisms when activities that trigger alerts indicate inappropriate or unusual activities with cybersecurity / data privacy implications;
e. Ensuring findings are reported to organizational personnel or roles;
f. Collecting security event logs from AMI head-end systems, OT servers, HMIs, network security devices, remote-access gateways and, where supported, field devices into a centralized monitoring capability;
g. Deploying passive, OT-protocol-aware network monitoring at zone boundaries and key conduits to detect unauthorized devices, communications and commands; and
h.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</si>
  <si>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CISA CPG: 2.T | NIST CSF 2.0: DE.AE, DE.AE-06 | CSA IoT SCF: MON-03 | NIST SP 800-53B Privacy: SI-04(12).
Validation: Annual conformity validation; evidence artifacts E-MON-06; PPTDF applicability: Technology.</t>
  </si>
  <si>
    <t xml:space="preserve">SI-04(12)</t>
  </si>
  <si>
    <t xml:space="preserve">DE.AE, DE.AE-06</t>
  </si>
  <si>
    <t xml:space="preserve">MON-03</t>
  </si>
  <si>
    <t xml:space="preserve">MON-01.13</t>
  </si>
  <si>
    <t xml:space="preserve">Alert Threshold Tuning</t>
  </si>
  <si>
    <t xml:space="preserve">Mechanisms exist to "tune" event monitoring technologies through analyzing communications traffic/event patterns and developing profiles representing common traffic patterns and/or events.</t>
  </si>
  <si>
    <t xml:space="preserve">Does the organization "tune" event monitoring technologies through analyzing communications traffic/event patterns and developing profiles representing common traffic patterns and/or events?</t>
  </si>
  <si>
    <t xml:space="preserve">The organization implements and operates mechanisms to "tune" event monitoring technologies through analyzing communications traffic/event patterns and developing profiles representing common traffic patterns and/or events.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</si>
  <si>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communications traffic for the system is analyzed;
b. Ensuring event patterns for the system are analyzed;
c. Ensuring profiles representing common traffic are developed;
d. Ensuring profiles representing event patterns are developed;
e. Ensuring traffic profiles are used in tuning system-monitoring devices;
f. Ensuring event profiles are used in tuning system-monitoring devices;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</si>
  <si>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DOE C2M2: SITUATION-3g | CSA IoT SCF: OPA-04.
Validation: Annual conformity validation; evidence artifacts to be defined; PPTDF applicability: Technology.</t>
  </si>
  <si>
    <t xml:space="preserve">SI-04(13)</t>
  </si>
  <si>
    <t xml:space="preserve">SITUATION-3g</t>
  </si>
  <si>
    <t xml:space="preserve">MON-01.16</t>
  </si>
  <si>
    <t xml:space="preserve">Analyze and Prioritize Monitoring Requirements</t>
  </si>
  <si>
    <t xml:space="preserve">Mechanisms exist to assess the organization's needs for monitoring and prioritize the monitoring of Technology Assets, Applications and/or Services (TAAS), based on TAAS criticality and the sensitivity of the data it stores, transmits and processes.</t>
  </si>
  <si>
    <t xml:space="preserve">Does the organization assess its needs for monitoring and prioritize the monitoring of Technology Assets, Applications and/or Services (TAAS), based on TAAS criticality and the sensitivity of the data it stores, transmits and processes?</t>
  </si>
  <si>
    <t xml:space="preserve">E-AST-30</t>
  </si>
  <si>
    <t xml:space="preserve">The organization implements and operates mechanisms to assess the organization's needs for monitoring and prioritize the monitoring of Technology Assets, Applications and/or Services (TAAS), based on TAAS criticality and the sensitivity of the data it stores, transmits and processes.
Within the OT and AMI environment, this objective provides protocol-aware visibility of OT and AMI networks, head-end systems, field devices and remote access, with event logs collected and analyzed without impairing operations.</t>
  </si>
  <si>
    <t xml:space="preserve">The Chief Information Security Officer (CISO), in coordination with the OT Security Lead, is responsible for:
a. Ensuring the organization formally identifies its needs for monitoring;
b. Ensuring monitoring needs are prioritized by asset, based on (1) asset criticality and (2) the sensitivity of the data it stores, transmits and processes;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</si>
  <si>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DOE C2M2: SITUATION-1a, SITUATION-1f, SITUATION-2f, SITUATION-2g, SITUATION-3g, RESPONSE-1e | CSA IoT SCF: CLS-07.
Validation: Annual conformity validation; evidence artifacts E-AST-30; PPTDF applicability: Technology.</t>
  </si>
  <si>
    <t xml:space="preserve">SITUATION-1a, SITUATION-1f, SITUATION-2f, SITUATION-2g, SITUATION-3g, RESPONSE-1e</t>
  </si>
  <si>
    <t xml:space="preserve">CLS-07</t>
  </si>
  <si>
    <t xml:space="preserve">∙ Enterprise SIEM/SOAR platform
∙ 24/7 SOC monitoring
∙ Threat hunting
∙ Automated incident response</t>
  </si>
  <si>
    <t xml:space="preserve">MON-02</t>
  </si>
  <si>
    <t xml:space="preserve">Centralized Collection of Security Event Logs</t>
  </si>
  <si>
    <t xml:space="preserve">Mechanisms exist to utilize a Security Incident Event Manager (SIEM), or similar automated tool, to support the centralized collection of security-related event logs.</t>
  </si>
  <si>
    <t xml:space="preserve">Does the organization utilize a Security Incident Event Manager (SIEM), or similar automated tool, to support the centralized collection of security-related event logs?</t>
  </si>
  <si>
    <t xml:space="preserve">IEC 62443-3-3:2013; NIST SP 800-82 R3 - Moderate OT Overlay; CISA Cross-Sector Cybersecurity Performance Goals; NIST Cybersecurity Framework 2.0; DOE Cybersecurity Capability Maturity Model; CSA IoT Security Controls Framework v2; NIST SP 800-161 R1 - C-SCRM Baseline; NIST SP 800-53B R5 - Privacy baseline</t>
  </si>
  <si>
    <t xml:space="preserve">The organization implements and operates mechanisms to utilize a Security Incident Event Manager (SIEM), or similar automated tool, to support the centralized collection of security-related event logs.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</si>
  <si>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frequency at which system audit records are reviewed and analyzed is defined;
b. Ensuring system audit records are reviewed and analyzed per an organization-defined frequency for indications and the potential impact of inappropriate or unusual activity;
c. Ensuring audit records across different repositories are analyzed to gain organization-wide situational awareness;
d. Ensuring automated mechanisms used for integrating audit record review, analysis and reporting processes are defined;
e. Ensuring audit record review, analysis and reporting processes are integrated using organization-defined automated mechanisms;
f. Ensuring the event types selected for logging are reviewed / updated organization-defined frequency;
g. Ensuring the frequency or situation requiring logging for each specified event type is defined;
h. Ensuring the event logging function is coordinated with other organizational entities requiring audit-related information to guide and inform the selection criteria for events to be logged;
i. Forwarding security event logs from AMI head-end systems, OT servers, HMIs, network security devices and remote-access gateways to the centralized logging capability through the OT DMZ; and
j. Capturing AMI head-end audit events, including disconnect/reconnect commands, firmware operations, key management operations and configuration changes.</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</si>
  <si>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 with scalable log ingestion (e.g., Splunk Enterprise, IBM QRadar); Log management and analytics platform; Managed Detection and Response (MDR) or in-house SOC; Log data lake for long-term retention and threat hunting.
In-scope requirement alignment: IEC 62443-3-3: SR 2.8 RE 1 | NIST SP 800-82 R3 (Moderate OT overlay): AU-02, AU-06, SI-04 | CISA CPG: 2.G, 2.T | DOE C2M2: SITUATION-1e | NIST CSF 2.0: DE.AE-03, DE.AE-06 | NIST SP 800-161 R1 C-SCRM: AU-2, AU-6, SI-4 | CSA IoT SCF: MON-07 | NIST SP 800-53B Privacy: AU-02, AU-06, IR-04(04), SI-04.
Validation: Annual conformity validation; evidence artifacts E-MON-01, E-MON-05; PPTDF applicability: Technology.</t>
  </si>
  <si>
    <t xml:space="preserve">SR 2.8 RE 1</t>
  </si>
  <si>
    <t xml:space="preserve">AU-02, AU-06, IR-04(04), SI-04</t>
  </si>
  <si>
    <t xml:space="preserve">AU-02, AU-06, SI-04</t>
  </si>
  <si>
    <t xml:space="preserve">SITUATION-1e</t>
  </si>
  <si>
    <t xml:space="preserve">DE.AE-03, DE.AE-06</t>
  </si>
  <si>
    <t xml:space="preserve">AU-2, AU-6, SI-4</t>
  </si>
  <si>
    <t xml:space="preserve">MON-07</t>
  </si>
  <si>
    <t xml:space="preserve">SG.AU Audit and Accountability; SG.IR Incident Response; SG.SI Smart Grid Information System and Information Integrity</t>
  </si>
  <si>
    <t xml:space="preserve">∙ Enterprise SIEM with scalable log ingestion (e.g., Splunk Enterprise, IBM QRadar)
∙ Log management and analytics platform
∙ Managed Detection and Response (MDR) or in-house SOC
∙ Log data lake for long-term retention and threat hunting</t>
  </si>
  <si>
    <t xml:space="preserve">MON-02.1</t>
  </si>
  <si>
    <t xml:space="preserve">Correlate Monitoring Information</t>
  </si>
  <si>
    <t xml:space="preserve">Automated mechanisms exist to correlate both technical and non-technical information from across the enterprise by a Security Incident Event Manager (SIEM) or similar automated tool, to enhance organization-wide situational awareness.</t>
  </si>
  <si>
    <t xml:space="preserve">Does the organization use automated mechanisms to correlate both technical and non-technical information from across the enterprise by a Security Incident Event Manager (SIEM) or similar automated tool, to enhance organization-wide situational awareness?</t>
  </si>
  <si>
    <t xml:space="preserve">E-MON-05, E-MON-07</t>
  </si>
  <si>
    <t xml:space="preserve">NIST SP 800-82 R3 - Moderate OT Overlay; CISA Cross-Sector Cybersecurity Performance Goals; NIST Cybersecurity Framework 2.0; NIST SP 800-53B R5 - Moderate baseline; DOE Cybersecurity Capability Maturity Model; NIST SP 800-53B R5 - Privacy baseline</t>
  </si>
  <si>
    <t xml:space="preserve">The organization implements and operates automated mechanisms to correlate both technical and non-technical information from across the enterprise by a Security Incident Event Manager (SIEM) or similar automated tool, to enhance organization-wide situational awareness.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</si>
  <si>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authorized use of the system is defined;
b. Ensuring unauthorized use of the system is identified;
c. Ensuring incident information and individual incident responses are correlated to achieve an organization-wide perspective on incident awareness and response;
d. Ensuring audit records across different repositories are correlated to gain organization-wide situational awareness;
e. Ensuring audit record review, analysis and reporting processes for investigation and response to indications of unlawful, unauthorized, suspicious or unusual activity are defined;
f. Ensuring defined audit record review, analysis and reporting processes are correlated;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</si>
  <si>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NIST SP 800-82 R3 (Moderate OT overlay): AU-06(03) | CISA CPG: 2.T | DOE C2M2: SITUATION-1e, SITUATION-3e, RESPONSE-1d | NIST CSF 2.0: DE.AE-03, DE.AE-06 | NIST SP 800-53B Moderate: AU-06(03) | NIST SP 800-53B Privacy: IR-04(04).
Validation: Quarterly conformity validation; evidence artifacts E-MON-05, E-MON-07; PPTDF applicability: Technology.</t>
  </si>
  <si>
    <t xml:space="preserve">AU-06(03), AU-06(09), IR-04(04), SI-04(16)</t>
  </si>
  <si>
    <t xml:space="preserve">AU-06(03)</t>
  </si>
  <si>
    <t xml:space="preserve">SITUATION-1e, SITUATION-3e, RESPONSE-1d</t>
  </si>
  <si>
    <t xml:space="preserve">IR-04(04)</t>
  </si>
  <si>
    <t xml:space="preserve">MON-02.2</t>
  </si>
  <si>
    <t xml:space="preserve">Central Review &amp; Analysis</t>
  </si>
  <si>
    <t xml:space="preserve">Automated mechanisms exist to centrally collect, review and analyze audit records from multiple sources.</t>
  </si>
  <si>
    <t xml:space="preserve">Does the organization use automated mechanisms to centrally collect, review and analyze audit records from multiple sources?</t>
  </si>
  <si>
    <t xml:space="preserve">IEC 62443-3-3:2013; CISA Cross-Sector Cybersecurity Performance Goals; CSA IoT Security Controls Framework v2; NIST Privacy Framework 1.0</t>
  </si>
  <si>
    <t xml:space="preserve">The organization implements and operates automated mechanisms to centrally collect, review and analyze audit records from multiple sources.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</si>
  <si>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capability to centrally review and analyze audit records from multiple components within the system is provided;
b. Ensuring the capability to centrally review and analyze audit records from multiple components within the system is implemented;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</si>
  <si>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IEC 62443-3-3: SR 2.8 RE 1 | CISA CPG: 2.G, 2.T | CSA IoT SCF: MON-07 | NIST Privacy Framework: CT.DM-P8.
Validation: Quarterly conformity validation; evidence artifacts E-MON-01, E-MON-02, E-MON-05; PPTDF applicability: Technology.</t>
  </si>
  <si>
    <t xml:space="preserve">AU-06(04)</t>
  </si>
  <si>
    <t xml:space="preserve">6.8, 8.15, 8.16</t>
  </si>
  <si>
    <t xml:space="preserve">MON-02.3</t>
  </si>
  <si>
    <t xml:space="preserve">Integration of Scanning &amp; Other Monitoring Information</t>
  </si>
  <si>
    <t xml:space="preserve">Automated mechanisms exist to integrate the analysis of audit records with analysis of vulnerability scanners, network performance, system monitoring and other sources to further enhance the ability to identify inappropriate or unusual activity.</t>
  </si>
  <si>
    <t xml:space="preserve">Does the organization use automated mechanisms to integrate the analysis of audit records with analysis of vulnerability scanners, network performance, system monitoring and other sources to further enhance the ability to identify inappropriate or unusual activity?</t>
  </si>
  <si>
    <t xml:space="preserve">The organization implements and operates automated mechanisms to integrate the analysis of audit records with analysis of vulnerability scanners, network performance, system monitoring and other sources to further enhance the ability to identify inappropriate or unusual activity.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</si>
  <si>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data/information collected from other sources to be analyzed is defined;
b. Ensuring information from monitoring physical, cyber and supply chain activities are correlated to achieve integrated, organization-wide situational awareness;
c. Ensuring analysis of audit records is integrated with analysis of organization-specific criteria to further enhance the ability to identify inappropriate or unusual activity;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</si>
  <si>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CISA CPG: 1.D, 2.T | DOE C2M2: RESPONSE-1d.
Validation: Quarterly conformity validation; evidence artifacts to be defined; PPTDF applicability: Technology.</t>
  </si>
  <si>
    <t xml:space="preserve">AU-06(05), SI-04(17)</t>
  </si>
  <si>
    <t xml:space="preserve">SG.AU Audit and Accountability; SG.SI Smart Grid Information System and Information Integrity</t>
  </si>
  <si>
    <t xml:space="preserve">NIST Tenet 4, NIST Tenet 5, NIST Tenet 7</t>
  </si>
  <si>
    <t xml:space="preserve">MON-02.6</t>
  </si>
  <si>
    <t xml:space="preserve">Audit Level Adjustments</t>
  </si>
  <si>
    <t xml:space="preserve">Mechanisms exist to adjust the level of audit review, analysis and reporting based on evolving threat information from law enforcement, industry associations or other credible sources of threat intelligence.</t>
  </si>
  <si>
    <t xml:space="preserve">Does the organization adjust the level of audit review, analysis and reporting based on evolving threat information from law enforcement, industry associations or other credible sources of threat intelligence?</t>
  </si>
  <si>
    <t xml:space="preserve">The organization implements and operates mechanisms to adjust the level of audit review, analysis and reporting based on evolving threat information from law enforcement, industry associations or other credible sources of threat intelligence.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</si>
  <si>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system audit records are reviewed and analyzed per an organization-defined frequency for indications of organization-defined inappropriate or unusual activity and the potential impact of the inappropriate or unusual activity;
b. Ensuring findings are reported to organization-defined personnel or roles;
c. Ensuring the level of audit record review, analysis and reporting within the system is adjusted when there is a change in risk based on law enforcement information, intelligence information or other credible sources of information;
d. Ensuring the frequency at which system audit records are reviewed and analyzed is defined;
e. Ensuring inappropriate or unusual activity is defined;
f. Ensuring personnel or roles to receive findings from reviews and analyses of system records is/are defined;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</si>
  <si>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NIST SP 800-82 R3 (Moderate OT overlay): AU-06 | NIST SP 800-161 R1 C-SCRM: AU-6 | NIST SP 800-53B Privacy: AU-06.
Validation: Annual conformity validation; evidence artifacts to be defined; PPTDF applicability: Technology.</t>
  </si>
  <si>
    <t xml:space="preserve">AU-06</t>
  </si>
  <si>
    <t xml:space="preserve">AU-6</t>
  </si>
  <si>
    <t xml:space="preserve">MON-02.7</t>
  </si>
  <si>
    <t xml:space="preserve">System-Wide / Time-Correlated Audit Trail</t>
  </si>
  <si>
    <t xml:space="preserve">Automated mechanisms exist to compile audit records into an organization-wide audit trail that is time-correlated.</t>
  </si>
  <si>
    <t xml:space="preserve">Does the organization use automated mechanisms to compile audit records into an organization-wide audit trail that is time-correlated?</t>
  </si>
  <si>
    <t xml:space="preserve">The organization implements and operates automated mechanisms to compile audit records into an organization-wide audit trail that is time-correlated.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</si>
  <si>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system components from which audit records are to be compiled into a system-wide (logical or physical) audit trail are defined;
b. Ensuring level of tolerance for the relationship between timestamps of individual records in the audit trail is defined;
c. Ensuring audit records from organization-defined system components are compiled into a system-wide (logical or physical) audit trail that is time-correlated to within organization-defined level of tolerance;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</si>
  <si>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CSA IoT SCF: MON-07.
Validation: Quarterly conformity validation; evidence artifacts to be defined; PPTDF applicability: Technology.</t>
  </si>
  <si>
    <t xml:space="preserve">AU-12(01)</t>
  </si>
  <si>
    <t xml:space="preserve">Content of Event Logs</t>
  </si>
  <si>
    <t xml:space="preserve">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</si>
  <si>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 xml:space="preserve">Does the organization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</si>
  <si>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 xml:space="preserve">E-AST-01, E-CPL-01</t>
  </si>
  <si>
    <t xml:space="preserve">IEC 62443-2-1:2024; IEC 62443-4-2:2019; NIST SP 800-82 R3 - Moderate OT Overlay; NERC CIP; NIST Cybersecurity Framework 2.0; CSA IoT Security Controls Framework v2; NIST SP 800-161 R1 - C-SCRM Baseline</t>
  </si>
  <si>
    <t xml:space="preserve">The organization implements and operates mechanisms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</si>
  <si>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content of audit records needed to support monitoring, analysis, investigation and reporting of unlawful or unauthorized system activity is defined;
b. Ensuring audit records contain information that establishes what type of event occurred;
c. Ensuring audit records contain information that establishes when the event occurred;
d. Ensuring audit records contain information that establishes where the event occurred;
e. Ensuring audit records contain information that establishes the source of the event;
f. Ensuring audit records contain information that establishes the outcome of the event;
g. Ensuring audit records contain information that establishes the identity of the individuals, subjects, objects, or entities associated with the event;
h. Ensuring event logs needed (e.g., event types to be logged) to enable the monitoring, analysis, investigation and reporting of unlawful or unauthorized system activity are specified;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</si>
  <si>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62443-2-1: EVENT 1.5 | IEC 62443-4-2: CR 2.8 | NIST SP 800-82 R3 (Moderate OT overlay): AU-03 | NERC CIP: CIP-007-6 4.1, CIP-007-6 4.1.1, CIP-007-6 4.1.2, CIP-007-6 4.1.3 | NIST CSF 2.0: PR.PS-04 | NIST SP 800-161 R1 C-SCRM: AU-3 | CSA IoT SCF: MON-03, MON-06.
Validation: Annual conformity validation; evidence artifacts E-AST-01, E-CPL-01; PPTDF applicability: Technology.</t>
  </si>
  <si>
    <t xml:space="preserve">EVENT 1.5</t>
  </si>
  <si>
    <t xml:space="preserve">AU-03</t>
  </si>
  <si>
    <t xml:space="preserve">CIP-007-6 4.1, CIP-007-6 4.1.1, CIP-007-6 4.1.2, CIP-007-6 4.1.3</t>
  </si>
  <si>
    <t xml:space="preserve">PR.PS-04</t>
  </si>
  <si>
    <t xml:space="preserve">AU-3</t>
  </si>
  <si>
    <t xml:space="preserve">MON-03, MON-06</t>
  </si>
  <si>
    <t xml:space="preserve">MON-03.1</t>
  </si>
  <si>
    <t xml:space="preserve">Sensitive Event Log Information</t>
  </si>
  <si>
    <t xml:space="preserve">Mechanisms exist to protect sensitive and/or regulated data contained in log files.</t>
  </si>
  <si>
    <t xml:space="preserve">Does the organization protect sensitive and/or regulated data contained in log files?</t>
  </si>
  <si>
    <t xml:space="preserve">The organization implements and operates mechanisms to protect sensitive and/or regulated data contained in log files.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</si>
  <si>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additional information to be included in audit records is defined;
b. Ensuring generated audit records contain the following organization-defined additional information;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</si>
  <si>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Role Based Access Control (RBAC).
In-scope requirement alignment: NIST SP 800-82 R3 (Moderate OT overlay): AU-03(01), AU-06(01) | NIST SP 800-53B Moderate: AU-03(01), AU-06(01).
Validation: Annual conformity validation; evidence artifacts to be defined; PPTDF applicability: Data.</t>
  </si>
  <si>
    <t xml:space="preserve">AU-03(01), AU-06(01)</t>
  </si>
  <si>
    <t xml:space="preserve">∙ Secure Baseline Configurations (SBC)
∙ Role Based Access Control (RBAC)</t>
  </si>
  <si>
    <t xml:space="preserve">MON-03.5</t>
  </si>
  <si>
    <t xml:space="preserve">Limit Personal Data (PD) In Audit Records</t>
  </si>
  <si>
    <t xml:space="preserve">Mechanisms exist to limit Personal Data (PD) contained in audit records to the elements identified in the Data Privacy Risk Assessment (DPRA).</t>
  </si>
  <si>
    <t xml:space="preserve">Does the organization limit Personal Data (PD) contained in audit records to the elements identified in the Data Privacy Risk Assessment (DPRA)?</t>
  </si>
  <si>
    <t xml:space="preserve">The organization implements and operates mechanisms to limit Personal Data (PD) contained in audit records to the elements identified in the Data Privacy Risk Assessment (DPRA).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</si>
  <si>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elements identified in the privacy risk assessment are defined;
b. Ensuring Personal Data (PD) contained in audit records is limited to organization-defined elements identified in the privacy risk assessment;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</si>
  <si>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NIST SP 800-53B Privacy: AU-03(03).
Validation: Annual conformity validation; evidence artifacts to be defined; PPTDF applicability: Technology.</t>
  </si>
  <si>
    <t xml:space="preserve">AU-03(03)</t>
  </si>
  <si>
    <t xml:space="preserve">MON-03.6</t>
  </si>
  <si>
    <t xml:space="preserve">Centralized Management of Event Log Content</t>
  </si>
  <si>
    <t xml:space="preserve">Mechanisms exist to centrally manage and update the criteria to be captured in event logs generated by organization-defined system components.</t>
  </si>
  <si>
    <t xml:space="preserve">Does the organization centrally manage and update the criteria to be captured in event logs generated by organization-defined system components?</t>
  </si>
  <si>
    <t xml:space="preserve">The organization implements and operates mechanisms to centrally manage and update the criteria to be captured in event logs generated by organization-defined system components.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</si>
  <si>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cybersecurity / data privacy controls and related processes to be centrally managed are defined;
b. Ensuring cybersecurity / data privacy controls and related processes are centrally managed;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</si>
  <si>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NIST SP 800-53B Privacy: PL-09.
Validation: Annual conformity validation; evidence artifacts to be defined; PPTDF applicability: Process.</t>
  </si>
  <si>
    <t xml:space="preserve">PL-09</t>
  </si>
  <si>
    <t xml:space="preserve">MON-04</t>
  </si>
  <si>
    <t xml:space="preserve">Event Log Storage Capacity</t>
  </si>
  <si>
    <t xml:space="preserve">Mechanisms exist to allocate and proactively manage sufficient event log storage capacity to reduce the likelihood of such capacity being exceeded.</t>
  </si>
  <si>
    <t xml:space="preserve">Does the organization allocate and proactively manage sufficient event log storage capacity to reduce the likelihood of such capacity being exceeded?</t>
  </si>
  <si>
    <t xml:space="preserve">IEC 62443-3-3:2013; IEC 62443-4-2:2019; NIST SP 800-82 R3 - Moderate OT Overlay</t>
  </si>
  <si>
    <t xml:space="preserve">The organization implements and operates mechanisms to allocate and proactively manage sufficient event log storage capacity to reduce the likelihood of such capacity being exceeded.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</si>
  <si>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event log retention requirements are defined;
b. Ensuring event log storage capacity is allocated to accommodate organization-defined event log retention requirements;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</si>
  <si>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IT Asset Management (ITAM) program; ITIL 4.
In-scope requirement alignment: IEC 62443-3-3: SR 2.9 | IEC 62443-4-2: CR 2.9(a), CR 2.9(b) | NIST SP 800-82 R3 (Moderate OT overlay): AU-04.
Validation: Quarterly conformity validation; evidence artifacts to be defined; PPTDF applicability: Technology.</t>
  </si>
  <si>
    <t xml:space="preserve">SR 2.9</t>
  </si>
  <si>
    <t xml:space="preserve">CR 2.9(a), CR 2.9(b)</t>
  </si>
  <si>
    <t xml:space="preserve">AU-04</t>
  </si>
  <si>
    <t xml:space="preserve">∙ IT Asset Management (ITAM) program
∙ ITIL 4 (https://axelos.com)</t>
  </si>
  <si>
    <t xml:space="preserve">MON-05</t>
  </si>
  <si>
    <t xml:space="preserve">Response To Event Log Processing Failures</t>
  </si>
  <si>
    <t xml:space="preserve">Mechanisms exist to alert appropriate personnel in the event of a log processing failure and take actions to remedy the disruption.</t>
  </si>
  <si>
    <t xml:space="preserve">Does the organization alert appropriate personnel in the event of a log processing failure and take actions to remedy the disruption?</t>
  </si>
  <si>
    <t xml:space="preserve">E-MON-10</t>
  </si>
  <si>
    <t xml:space="preserve">IEC 62443-3-3:2013; NIST SP 800-82 R3 - Moderate OT Overlay; NERC CIP; CISA Cross-Sector Cybersecurity Performance Goals</t>
  </si>
  <si>
    <t xml:space="preserve">The organization implements and operates mechanisms to alert appropriate personnel in the event of a log processing failure and take actions to remedy the disruption.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</si>
  <si>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personnel or roles to be alerted in the event of an event logging process failure are identified;
b. Ensuring types of event logging process failures for which alert will be generated are defined;
c. Ensuring organization-defined additional actions are taken;
d. Ensuring organizational personnel or roles are alerted in the event of an audit logging process failure within an organization-defined time period;
e. Ensuring the time period for organizational personnel or roles receiving audit logging process failure alerts is defined;
f. Ensuring additional actions to be taken in the event of an audit logging process failure are defined;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</si>
  <si>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Incident Response Plan (IRP); Security Incident Event Manager (SIEM); Managed Security Services Provider (MSSP).
In-scope requirement alignment: IEC 62443-3-3: SR 2.10 | NIST SP 800-82 R3 (Moderate OT overlay): AU-05 | NERC CIP: CIP-007-6 4.2.2 | CISA CPG: 2.T.
Validation: Annual conformity validation; evidence artifacts E-MON-10; PPTDF applicability: Process.</t>
  </si>
  <si>
    <t xml:space="preserve">SR 2.10</t>
  </si>
  <si>
    <t xml:space="preserve">AU-05</t>
  </si>
  <si>
    <t xml:space="preserve">CIP-007-6 4.2.2</t>
  </si>
  <si>
    <t xml:space="preserve">∙ Incident Response Plan (IRP)
∙ Security Incident Event Manager (SIEM)
∙ Managed Security Services Provider (MSSP)</t>
  </si>
  <si>
    <t xml:space="preserve">MON-05.1</t>
  </si>
  <si>
    <t xml:space="preserve">Real-Time Alerts of Event Logging Failure</t>
  </si>
  <si>
    <t xml:space="preserve">Mechanisms exist to provide 24x7x365 near real-time alerting capability when an event log processing failure occurs.</t>
  </si>
  <si>
    <t xml:space="preserve">Does the organization provide 24x7x365 near real-time alerting capability when an event log processing failure occurs?</t>
  </si>
  <si>
    <t xml:space="preserve">The organization implements and operates mechanisms to provide 24x7x365 near real-time alerting capability when an event log processing failure occurs.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</si>
  <si>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real-time period requiring alerts when event log failure events occur is defined;
b. Ensuring personnel, roles, and/or locations to be alerted in real time when event log failure events occur is/are defined;
c. Ensuring event logging failure events requiring real-time alerts are defined;
d. Ensuring an alert is provided within organization-defined real-time period to organization-defined personnel, roles, and/or locations when organization-defined event logging failure events requiring real-time alerts occur;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</si>
  <si>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NIST SP 800-53B Privacy: SI-04(12).
Validation: Annual conformity validation; evidence artifacts to be defined; PPTDF applicability: Technology.</t>
  </si>
  <si>
    <t xml:space="preserve">AU-05(02), SI-04(12)</t>
  </si>
  <si>
    <t xml:space="preserve">MON-05.2</t>
  </si>
  <si>
    <t xml:space="preserve">Event Log Storage Capacity Alerting</t>
  </si>
  <si>
    <t xml:space="preserve">Automated mechanisms exist to alert appropriate personnel when the allocated volume reaches an organization-defined percentage of maximum event log storage capacity.</t>
  </si>
  <si>
    <t xml:space="preserve">Does the organization use automated mechanisms to alert appropriate personnel when the allocated volume reaches an organization-defined percentage of maximum event log storage capacity?</t>
  </si>
  <si>
    <t xml:space="preserve">IEC 62443-3-3:2013; IEC 62443-4-2:2019</t>
  </si>
  <si>
    <t xml:space="preserve">The organization implements and operates automated mechanisms to alert appropriate personnel when the allocated volume reaches an organization-defined percentage of maximum event log storage capacity.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</si>
  <si>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personnel, roles, and/or locations to be warned when allocated event log storage volume reaches a percentage of repository maximum event log storage capacity is defined;
b. Ensuring time period for defined personnel, roles, and/or locations to be warned when allocated event log storage volume reaches a percentage of repository maximum event log storage capacity is defined;
c. Ensuring percentage of repository maximum event log storage capacity is defined;
d. Ensuring a warning is provided per an organization-defined time period when allocated event log storage volume reaches organization-defined percentage of repository maximum event log storage capacity;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</si>
  <si>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IEC 62443-3-3: SR 2.9 RE 1 | IEC 62443-4-2: CR 2.9(1).
Validation: Quarterly conformity validation; evidence artifacts to be defined; PPTDF applicability: Technology.</t>
  </si>
  <si>
    <t xml:space="preserve">SR 2.9 RE 1</t>
  </si>
  <si>
    <t xml:space="preserve">CR 2.9(1)</t>
  </si>
  <si>
    <t xml:space="preserve">AU-05(01)</t>
  </si>
  <si>
    <t xml:space="preserve">MON-06</t>
  </si>
  <si>
    <t xml:space="preserve">Monitoring Reporting</t>
  </si>
  <si>
    <t xml:space="preserve">Mechanisms exist to provide an event log report generation capability to aid in detecting and assessing anomalous activities.</t>
  </si>
  <si>
    <t xml:space="preserve">Does the organization provide an event log report generation capability to aid in detecting and assessing anomalous activities?</t>
  </si>
  <si>
    <t xml:space="preserve">NIST SP 800-82 R3 - Moderate OT Overlay; NIST SP 800-53B R5 - Moderate baseline; DOE Cybersecurity Capability Maturity Model; NIST SP 800-161 R1 - C-SCRM Baseline</t>
  </si>
  <si>
    <t xml:space="preserve">The organization implements and operates mechanisms to provide an event log report generation capability to aid in detecting and assessing anomalous activities.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</si>
  <si>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system components that provide an audit record generation capability for the events types are defined;
b. Ensuring audit records include organization-defined audit record content requirements;
c. Ensuring personnel or roles allowed to select the event types that are to be logged by specific components of the system is/are defined;
d. Ensuring an audit record reduction and report generation capability is implemented that supports on-demand audit record review, analysis and reporting requirements and after-the-fact investigations of incidents that does not alter the original content or time ordering of audit records;
e. Ensuring findings are reported to organizational personnel or roles;
f. Ensuring an audit record reduction and report generation capability that supports audit record review is implemented;
g. Ensuring an audit record reduction and report generation capability that supports audit record analysis is implemented;
h. Ensuring an audit record reduction and report generation capability that supports audit record reporting requirements is implemented;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</si>
  <si>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NIST SP 800-82 R3 (Moderate OT overlay): AU-07, AU-07(01), AU-12 | DOE C2M2: SITUATION-3a, SITUATION-3b, SITUATION-3c, SITUATION-3d, SITUATION-3f | NIST SP 800-53B Moderate: AU-07, AU-07(01) | NIST SP 800-161 R1 C-SCRM: AU-12.
Validation: Annual conformity validation; evidence artifacts to be defined; PPTDF applicability: Technology.</t>
  </si>
  <si>
    <t xml:space="preserve">AU-07, AU-07(01), AU-12</t>
  </si>
  <si>
    <t xml:space="preserve">SITUATION-3a, SITUATION-3b, SITUATION-3c, SITUATION-3d, SITUATION-3f</t>
  </si>
  <si>
    <t xml:space="preserve">AU-07, AU-07(01)</t>
  </si>
  <si>
    <t xml:space="preserve">AU-12</t>
  </si>
  <si>
    <t xml:space="preserve">6.8, 8.15</t>
  </si>
  <si>
    <t xml:space="preserve">MON-06.2</t>
  </si>
  <si>
    <t xml:space="preserve">Trend Analysis Reporting</t>
  </si>
  <si>
    <t xml:space="preserve">Mechanisms exist to employ trend analyses to determine if security control implementations, the frequency of continuous monitoring activities, and/or the types of activities used in the continuous monitoring process need to be modified based on empirical data.</t>
  </si>
  <si>
    <t xml:space="preserve">Does the organization employ trend analyses to determine if security control implementations, the frequency of continuous monitoring activities, and/or the types of activities used in the continuous monitoring process need to be modified based on empirical data?</t>
  </si>
  <si>
    <t xml:space="preserve">The organization implements and operates mechanisms to employ trend analyses to determine if security control implementations, the frequency of continuous monitoring activities, and/or the types of activities used in the continuous monitoring process need to be modified based on empirical data.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</si>
  <si>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trend analysis is employed to determine if control implementations used in the continuous monitoring process need to be modified based on empirical data;
b. Ensuring trend analysis is employed to determine if the frequency of continuous monitoring activities used in the continuous monitoring process needs to be modified based on empirical data;
c. Ensuring trend analysis is employed to determine if the types of activities used in the continuous monitoring process need to be modified based on empirical data;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</si>
  <si>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DOE C2M2: SITUATION-3a, SITUATION-3c, SITUATION-3d.
Validation: Annual conformity validation; evidence artifacts to be defined; PPTDF applicability: Technology.</t>
  </si>
  <si>
    <t xml:space="preserve">CA-07(03)</t>
  </si>
  <si>
    <t xml:space="preserve">SITUATION-3a, SITUATION-3c, SITUATION-3d</t>
  </si>
  <si>
    <t xml:space="preserve">Time Stamps</t>
  </si>
  <si>
    <t xml:space="preserve">Mechanisms exist to configure Technology Assets, Applications and/or Services (TAAS) to use an authoritative time source to generate time stamps for event logs.</t>
  </si>
  <si>
    <t xml:space="preserve">Does the organization configure Technology Assets, Applications and/or Services (TAAS) to use an authoritative time source to generate time stamps for event logs?</t>
  </si>
  <si>
    <t xml:space="preserve">IEC 62443-3-3:2013; IEC 62443-4-2:2019; NIST SP 800-82 R3 - Moderate OT Overlay; NIST SP 800-53B R5 - Privacy baseline</t>
  </si>
  <si>
    <t xml:space="preserve">The organization implements and operates mechanisms to configure Technology Assets, Applications and/or Services (TAAS) to use an authoritative time source to generate time stamps for event logs.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</si>
  <si>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timestamps are recorded for audit records that meet organization-defined granularity of time measurement and that use Coordinated Universal Time, have a fixed local time offset from Coordinated Universal Time or include the local time offset as part of the timestamp;
b. Ensuring internal system clocks are used to generate time stamps for audit records;
c. Ensuring granularity of time measurement for audit record time stamps is defined;
d. Ensuring time stamps are recorded for audit records that meet organization-defined granularity of time measurement; and
e. Synchronizing OT and AMI system clocks to an authoritative, protected time source and monitoring for time drift that would impair event correlation or metering integrity.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</si>
  <si>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62443-3-3: SR 2.11 | IEC 62443-4-2: CR 2.11 | NIST SP 800-82 R3 (Moderate OT overlay): AU-08 | NIST SP 800-53B Privacy: AU-08.
Validation: Annual conformity validation; evidence artifacts to be defined; PPTDF applicability: Technology.</t>
  </si>
  <si>
    <t xml:space="preserve">SR 2.11</t>
  </si>
  <si>
    <t xml:space="preserve">CR 2.11</t>
  </si>
  <si>
    <t xml:space="preserve">AU-08</t>
  </si>
  <si>
    <t xml:space="preserve">MON-07.1</t>
  </si>
  <si>
    <t xml:space="preserve">Synchronization With Authoritative Time Source</t>
  </si>
  <si>
    <t xml:space="preserve">Mechanisms exist to synchronize internal system clocks with an authoritative time source.</t>
  </si>
  <si>
    <t xml:space="preserve">Does the organization synchronize internal system clocks with an authoritative time source?</t>
  </si>
  <si>
    <t xml:space="preserve">IEC 62443-4-2:2019; NIST SP 800-82 R3 - Moderate OT Overlay</t>
  </si>
  <si>
    <t xml:space="preserve">The organization implements and operates mechanisms to synchronize internal system clocks with an authoritative time source.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</si>
  <si>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an authoritative source with which to compare and synchronize internal system clocks is specified;
b. Ensuring internal system clocks used to generate time stamps for audit records are compared to and synchronized with the specified authoritative time source;
c. Ensuring time stamps are recorded for audit records that use Coordinated Universal Time (UTC), have a fixed local time offset from UTC, or include the local time offset as part of the time stamp;
d. Ensuring system clocks are synchronized within and between systems and system components;
e. Ensuring the frequency at which to compare the internal system clocks with the authoritative time source is defined;
f. Ensuring the internal system clocks are synchronized with the authoritative time source when the time difference is greater than an organization-defined time period;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</si>
  <si>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62443-4-2: CR 2.11(1) | NIST SP 800-82 R3 (Moderate OT overlay): SC-45.
Validation: Annual conformity validation; evidence artifacts to be defined; PPTDF applicability: Technology.</t>
  </si>
  <si>
    <t xml:space="preserve">CR 2.11(1)</t>
  </si>
  <si>
    <t xml:space="preserve">SC-45, SC-45(01)</t>
  </si>
  <si>
    <t xml:space="preserve">SC-45</t>
  </si>
  <si>
    <t xml:space="preserve">Protection of Event Logs</t>
  </si>
  <si>
    <t xml:space="preserve">Mechanisms exist to protect event logs and audit tools from unauthorized access, modification and deletion.</t>
  </si>
  <si>
    <t xml:space="preserve">Does the organization protect event logs and audit tools from unauthorized access, modification and deletion?</t>
  </si>
  <si>
    <t xml:space="preserve">IEC 62443-2-1:2024; IEC 62443-3-3:2013; IEC 62443-4-2:2019; NIST SP 800-82 R3 - Moderate OT Overlay; CISA Cross-Sector Cybersecurity Performance Goals; CSA IoT Security Controls Framework v2</t>
  </si>
  <si>
    <t xml:space="preserve">The organization implements and operates mechanisms to protect event logs and audit tools from unauthorized access, modification and deletion.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</si>
  <si>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audit records are retained for a time period consistent with the records retention policy;
b. Ensuring the original content of audit records is preserved;
c. Ensuring the original time ordering of audit records is preserved;
d. Ensuring audit information is protected from unauthorized access, modification, and deletion;
e. Ensuring access to management of audit logging functionality is authorized to only a subset of privileged users or roles;
f. Ensuring personnel or roles to be alerted upon detection of unauthorized access, modification or deletion of audit information is/are defined;
g. Ensuring organization-defined personnel or roles are alerted upon detection of unauthorized access, modification or deletion of audit information;
h. Collecting security event logs from AMI head-end systems, OT servers, HMIs, network security devices, remote-access gateways and, where supported, field devices into a centralized monitoring capability;
i. Deploying passive, OT-protocol-aware network monitoring at zone boundaries and key conduits to detect unauthorized devices, communications and commands; and
j.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</si>
  <si>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Role Based Access Control (RBAC).
In-scope requirement alignment: IEC 62443-2-1: EVENT 1.6 | IEC 62443-3-3: SR 3.9, SR 6.1 RE 1 | IEC 62443-4-2: CR 3.9, CR 6.1, CR 6.1(1) | NIST SP 800-82 R3 (Moderate OT overlay): AU-09 | CISA CPG: 2.U | CSA IoT SCF: MON-04, MON-05.
Validation: Annual conformity validation; evidence artifacts to be defined; PPTDF applicability: Data.</t>
  </si>
  <si>
    <t xml:space="preserve">EVENT 1.6</t>
  </si>
  <si>
    <t xml:space="preserve">SR 3.9, SR 6.1 RE 1</t>
  </si>
  <si>
    <t xml:space="preserve">CR 3.9, CR 6.1, CR 6.1(1)</t>
  </si>
  <si>
    <t xml:space="preserve">AU-09</t>
  </si>
  <si>
    <t xml:space="preserve">2.U</t>
  </si>
  <si>
    <t xml:space="preserve">MON-04, MON-05</t>
  </si>
  <si>
    <t xml:space="preserve">MON-08.1</t>
  </si>
  <si>
    <t xml:space="preserve">Event Log Backup on Separate Physical Systems / Components</t>
  </si>
  <si>
    <t xml:space="preserve">Mechanisms exist to back up event logs onto a physically different system or system component than the Security Incident Event Manager (SIEM) or similar automated tool.</t>
  </si>
  <si>
    <t xml:space="preserve">Does the organization back up event logs onto a physically different system or system component than the Security Incident Event Manager (SIEM) or similar automated tool?</t>
  </si>
  <si>
    <t xml:space="preserve">NIST SP 800-82 R3 - Moderate OT Overlay; CISA Cross-Sector Cybersecurity Performance Goals; CSA IoT Security Controls Framework v2</t>
  </si>
  <si>
    <t xml:space="preserve">The organization implements and operates mechanisms to back up event logs onto a physically different system or system component than the Security Incident Event Manager (SIEM) or similar automated tool.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</si>
  <si>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frequency of event logs transferred to a different system, system component or media other than the system or system component conducting the logging is defined;
b. Ensuring event logs are transferred per an organization-defined frequency to a different system, system component or media other than the system or system component conducting the logging;
c. Ensuring audit records are stored per an organization-defined frequency in a repository that is part of a physically different system or system component than the system or component being audited;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</si>
  <si>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NIST SP 800-82 R3 (Moderate OT overlay): AU-04(01) | CISA CPG: 2.U | CSA IoT SCF: MON-05, MON-06.
Validation: Annual conformity validation; evidence artifacts to be defined; PPTDF applicability: Technology.</t>
  </si>
  <si>
    <t xml:space="preserve">AU-04(01), AU-09(02)</t>
  </si>
  <si>
    <t xml:space="preserve">AU-04(01)</t>
  </si>
  <si>
    <t xml:space="preserve">MON-05, MON-06</t>
  </si>
  <si>
    <t xml:space="preserve">MON-08.2</t>
  </si>
  <si>
    <t xml:space="preserve">Access by Subset of Privileged Users</t>
  </si>
  <si>
    <t xml:space="preserve">Mechanisms exist to restrict access to the management of event logs to privileged users with a specific business need.</t>
  </si>
  <si>
    <t xml:space="preserve">Does the organization restrict access to the management of event logs to privileged users with a specific business need?</t>
  </si>
  <si>
    <t xml:space="preserve">IEC 62443-3-3:2013; IEC 62443-4-2:2019; NIST SP 800-82 R3 - Moderate OT Overlay; CISA Cross-Sector Cybersecurity Performance Goals; NIST SP 800-53B R5 - Moderate baseline; CSA IoT Security Controls Framework v2</t>
  </si>
  <si>
    <t xml:space="preserve">The organization implements and operates mechanisms to restrict access to the management of event logs to privileged users with a specific business need.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</si>
  <si>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 subset of privileged users or roles authorized to access management of event logging functionality is defined;
b. Ensuring access to management of audit logging functionality is authorized to only a subset of privileged users or roles;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</si>
  <si>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Role Based Access Control (RBAC).
In-scope requirement alignment: IEC 62443-3-3: SR 6.1 | IEC 62443-4-2: CR 6.1 | NIST SP 800-82 R3 (Moderate OT overlay): AU-09(04) | CISA CPG: 2.U | NIST SP 800-53B Moderate: AU-09(04) | CSA IoT SCF: MON-04, MON-05.
Validation: Annual conformity validation; evidence artifacts to be defined; PPTDF applicability: Technology.</t>
  </si>
  <si>
    <t xml:space="preserve">SR 6.1</t>
  </si>
  <si>
    <t xml:space="preserve">CR 6.1</t>
  </si>
  <si>
    <t xml:space="preserve">AU-09(04)</t>
  </si>
  <si>
    <t xml:space="preserve">MON-08.3</t>
  </si>
  <si>
    <t xml:space="preserve">Cryptographic Protection of Event Log Information</t>
  </si>
  <si>
    <t xml:space="preserve">Cryptographic mechanisms exist to protect the integrity of event logs and audit tools.</t>
  </si>
  <si>
    <t xml:space="preserve">Are cryptographic mechanisms utilized to protect the integrity of event logs and audit tools?</t>
  </si>
  <si>
    <t xml:space="preserve">The organization implements and operates cryptographic mechanisms to protect the integrity of event logs and audit tools.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</si>
  <si>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cryptographic mechanisms to protect the integrity of audit information and audit tools are implemented;
b. Collecting security event logs from AMI head-end systems, OT servers, HMIs, network security devices, remote-access gateways and, where supported, field devices into a centralized monitoring capability;
c. Deploying passive, OT-protocol-aware network monitoring at zone boundaries and key conduits to detect unauthorized devices, communications and commands; and
d.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</si>
  <si>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CSA IoT SCF: MON-05.
Validation: Annual conformity validation; evidence artifacts to be defined; PPTDF applicability: Technology.</t>
  </si>
  <si>
    <t xml:space="preserve">AU-09(03)</t>
  </si>
  <si>
    <t xml:space="preserve">MON-09</t>
  </si>
  <si>
    <t xml:space="preserve">Non-Repudiation</t>
  </si>
  <si>
    <t xml:space="preserve">Mechanisms exist to utilize a non-repudiation capability to protect against an individual falsely denying having performed a particular action.</t>
  </si>
  <si>
    <t xml:space="preserve">Does the organization utilize a non-repudiation capability to protect against an individual falsely denying having performed a particular action?</t>
  </si>
  <si>
    <t xml:space="preserve">The organization implements and operates mechanisms to utilize a non-repudiation capability to protect against an individual falsely denying having performed a particular action.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</si>
  <si>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actions to be covered by non-repudiation are defined;
b. Ensuring irrefutable evidence is provided that an individual (or process acting on behalf of an individual) has performed organization-defined actions;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</si>
  <si>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62443-3-3: SR 2.12, SR 2.12 RE 1 | IEC 62443-4-2: CR 2.12, CR 2.12(1).
Validation: Annual conformity validation; evidence artifacts to be defined; PPTDF applicability: Technology.</t>
  </si>
  <si>
    <t xml:space="preserve">SR 2.12, SR 2.12 RE 1</t>
  </si>
  <si>
    <t xml:space="preserve">CR 2.12, CR 2.12(1)</t>
  </si>
  <si>
    <t xml:space="preserve">AU-10</t>
  </si>
  <si>
    <t xml:space="preserve">MON-10</t>
  </si>
  <si>
    <t xml:space="preserve">Event Log Retention</t>
  </si>
  <si>
    <t xml:space="preserve">Mechanisms exist to retain event logs for a time period consistent with records retention requirements to provide support for after-the-fact investigations of security incidents and to meet statutory, regulatory and contractual retention requirements.</t>
  </si>
  <si>
    <t xml:space="preserve">Does the organization retain event logs for a time period consistent with records retention requirements to provide support for after-the-fact investigations of security incidents and to meet statutory, regulatory and contractual retention requirements?</t>
  </si>
  <si>
    <t xml:space="preserve">E-AST-11</t>
  </si>
  <si>
    <t xml:space="preserve">IEC 62443-2-1:2024; NIST SP 800-82 R3 - Moderate OT Overlay; NERC CIP; CISA Cross-Sector Cybersecurity Performance Goals; NIST SP 800-53B R5 - Privacy baseline</t>
  </si>
  <si>
    <t xml:space="preserve">The organization implements and operates mechanisms to retain event logs for a time period consistent with records retention requirements to provide support for after-the-fact investigations of security incidents and to meet statutory, regulatory and contractual retention requirements.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</si>
  <si>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 time period to retain audit records that is consistent with the records retention policy is defined;
b. Ensuring audit records are retained for a time period consistent with the records retention policy;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</si>
  <si>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log retention program aligned to all applicable regulations; SIEM with tiered retention (hot/warm/cold storage); Immutable log archives (e.g., AWS S3 Object Lock, Azure Blob WORM); Legal hold capability for investigation support.
In-scope requirement alignment: IEC 62443-2-1: EVENT 1.4 | NIST SP 800-82 R3 (Moderate OT overlay): AU-11 | NERC CIP: CIP-006-6 1.9, CIP-006-6 2.3, CIP-007-6 4.3 | CISA CPG: 2.U | NIST SP 800-53B Privacy: AU-11.
Validation: Semi-Annual conformity validation; evidence artifacts E-AST-11; PPTDF applicability: Data.</t>
  </si>
  <si>
    <t xml:space="preserve">AU-11</t>
  </si>
  <si>
    <t xml:space="preserve">CIP-006-6 1.9, CIP-006-6 2.3, CIP-007-6 4.3</t>
  </si>
  <si>
    <t xml:space="preserve">∙ Enterprise log retention program aligned to all applicable regulations
∙ SIEM with tiered retention (hot/warm/cold storage)
∙ Immutable log archives (e.g., AWS S3 Object Lock, Azure Blob WORM)
∙ Legal hold capability for investigation support</t>
  </si>
  <si>
    <t xml:space="preserve">MON-11.1</t>
  </si>
  <si>
    <t xml:space="preserve">Analyze Traffic for Covert Exfiltration</t>
  </si>
  <si>
    <t xml:space="preserve">Automated mechanisms exist to analyze network traffic to detect covert data exfiltration.</t>
  </si>
  <si>
    <t xml:space="preserve">Does the organization use automated mechanisms to analyze network traffic to detect covert data exfiltration?</t>
  </si>
  <si>
    <t xml:space="preserve">The organization implements and operates automated mechanisms to analyze network traffic to detect covert data exfiltration.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</si>
  <si>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anomalous or suspicious behavior is defined;
b. Ensuring organizational systems and system components are monitored on an ongoing basis for anomalous or suspicious behavior;
c. Ensuring outbound communications traffic is analyzed at interfaces external to the system to detect covert exfiltration of information;
d. Ensuring interior points of the network are monitored to detect covert exfiltration of information;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</si>
  <si>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Content filtering.
In-scope requirement alignment: NIST SP 800-53B Privacy: SI-04(18).
Validation: Quarterly conformity validation; evidence artifacts to be defined; PPTDF applicability: Technology.</t>
  </si>
  <si>
    <t xml:space="preserve">SI-04(18)</t>
  </si>
  <si>
    <t xml:space="preserve">∙ Content filtering</t>
  </si>
  <si>
    <t xml:space="preserve">MON-11.2</t>
  </si>
  <si>
    <t xml:space="preserve">Unauthorized Network Services</t>
  </si>
  <si>
    <t xml:space="preserve">Automated mechanisms exist to detect unauthorized network services and alert incident response personnel.</t>
  </si>
  <si>
    <t xml:space="preserve">Does the organization use automated mechanisms to detect unauthorized network services and alert incident response personnel?</t>
  </si>
  <si>
    <t xml:space="preserve">The organization implements and operates automated mechanisms to detect unauthorized network services and alert incident response personnel.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</si>
  <si>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authorization or approval processes for network services are defined;
b. Ensuring personnel or roles to be alerted upon the detection of network services that have not been authorized or approved by authorization or approval processes is/are defined;
c. Ensuring network services that have not been authorized or approved by authorization or approval processes are detected;
d. Ensuring organization-defined actions are initiated when network services that have not been authorized or approved by authorization or approval processes are detected;
e. Ensuring organizational systems and system components are monitored on an ongoing basis for anomalous or suspicious behavior;
f. Collecting security event logs from AMI head-end systems, OT servers, HMIs, network security devices, remote-access gateways and, where supported, field devices into a centralized monitoring capability;
g. Deploying passive, OT-protocol-aware network monitoring at zone boundaries and key conduits to detect unauthorized devices, communications and commands; and
h.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</si>
  <si>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Extended Detection and Response (XDR).
In-scope requirement alignment: IEC 62443-2-1: ORG 2.2(b).
Validation: Quarterly conformity validation; evidence artifacts to be defined; PPTDF applicability: Technology.</t>
  </si>
  <si>
    <t xml:space="preserve">SI-04(22)</t>
  </si>
  <si>
    <t xml:space="preserve">∙ Security Incident Event Manager (SIEM)
∙ Managed Security Services Provider (MSSP)
∙ Extended Detection and Response (XDR)</t>
  </si>
  <si>
    <t xml:space="preserve">MON-11.3</t>
  </si>
  <si>
    <t xml:space="preserve">Monitoring for Indicators of Compromise (IOC)</t>
  </si>
  <si>
    <t xml:space="preserve">Automated mechanisms exist to identify and alert on Indicators of Compromise (IoC).</t>
  </si>
  <si>
    <t xml:space="preserve">Does the organization use automated mechanisms to identify and alert on Indicators of Compromise (IoC)?</t>
  </si>
  <si>
    <t xml:space="preserve">E-IRO-02, E-MON-07</t>
  </si>
  <si>
    <t xml:space="preserve">NIST Cybersecurity Framework 2.0; DOE Cybersecurity Capability Maturity Model; CSA IoT Security Controls Framework v2; NIST SP 800-53B R5 - Privacy baseline</t>
  </si>
  <si>
    <t xml:space="preserve">The organization implements and operates automated mechanisms to identify and alert on Indicators of Compromise (IoC).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</si>
  <si>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anomalous or suspicious behavior is defined;
b. Ensuring Indicators of Compromise (IOC) are defined;
c. Ensuring sources that provide Indicators of Compromise (IOC) are defined;
d. Ensuring Indicators of Compromise (IOC) provided by sources are discovered;
e. Ensuring Indicators of Compromise (IOC) provided by sources are collected;
f. Ensuring unauthorized use of the system is identified through techniques and methods;
g. Ensuring internal monitoring capabilities are invoked or monitoring devices are deployed strategically within the system to collect organization-determined essential information;
h. Ensuring internal monitoring capabilities are invoked or monitoring devices are deployed at ad hoc locations within the system to track specific types of transactions of interest to the organization;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</si>
  <si>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Extended Detection and Response (XDR).
In-scope requirement alignment: DOE C2M2: SITUATION-2d, SITUATION-2h, SITUATION-2i | NIST CSF 2.0: DE.CM | CSA IoT SCF: IAM-08, MON-01, MON-09, MON-11 | NIST SP 800-53B Privacy: SI-04(24).
Validation: Quarterly conformity validation; evidence artifacts E-IRO-02, E-MON-07; PPTDF applicability: Technology.</t>
  </si>
  <si>
    <t xml:space="preserve">SITUATION-2d, SITUATION-2h, SITUATION-2i</t>
  </si>
  <si>
    <t xml:space="preserve">DE.CM</t>
  </si>
  <si>
    <t xml:space="preserve">IAM-08, MON-01, MON-09, MON-11</t>
  </si>
  <si>
    <t xml:space="preserve">5.7</t>
  </si>
  <si>
    <t xml:space="preserve">MON-16</t>
  </si>
  <si>
    <t xml:space="preserve">Anomalous Behavior</t>
  </si>
  <si>
    <t xml:space="preserve">Mechanisms exist to utilize User &amp; Entity Behavior Analytics (UEBA) and/or User Activity Monitoring (UAM) solutions to detect and respond to anomalous behavior that could indicate account compromise or other malicious activities.</t>
  </si>
  <si>
    <t xml:space="preserve">Does the organization utilize User &amp; Entity Behavior Analytics (UEBA) and/or User Activity Monitoring (UAM) solutions to detect and respond to anomalous behavior that could indicate account compromise or other malicious activities?</t>
  </si>
  <si>
    <t xml:space="preserve">IEC 62443-2-1:2024; CISA Cross-Sector Cybersecurity Performance Goals; NIST Cybersecurity Framework 2.0; DOE Cybersecurity Capability Maturity Model; CSA IoT Security Controls Framework v2; NIST SP 800-53B R5 - Privacy baseline</t>
  </si>
  <si>
    <t xml:space="preserve">The organization implements and operates mechanisms to utilize User &amp; Entity Behavior Analytics (UEBA) and/or User Activity Monitoring (UAM) solutions to detect and respond to anomalous behavior that could indicate account compromise or other malicious activities.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</si>
  <si>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environments or resources which may contain or may be related to anomalous or suspected adversarial behavior are defined;
b. Ensuring systems are monitored to detect unauthorized local connections;
c. Ensuring systems are monitored to detect unauthorized network connections;
d. Ensuring systems are monitored to detect unauthorized remote connections;
e. Ensuring outbound communications traffic at the external interfaces to the system is analyzed to discover anomalies;
f. Ensuring outbound communications traffic at interior points is analyzed to discover anomalies;
g. Ensuring anomalous or suspected adversarial behavior in or related to organization-defined environments or resources are analyzed;
h. Ensuring unauthorized use of the system is identified;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</si>
  <si>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Indicators of Compromise (IoC); Indicators of Exposure (IoE); Security Incident Event Manager (SIEM); Extended Detection and Response (XDR); Managed Security Services Provider (MSSP).
In-scope requirement alignment: IEC 62443-2-1: ORG 2.2(d) | CISA CPG: 2.G | DOE C2M2: ACCESS-2i, SITUATION-2d, SITUATION-2h, SITUATION-2i | NIST CSF 2.0: DE.CM, DE.CM-03 | CSA IoT SCF: IAM-08, MON-01, MON-10, SAP-06 | NIST SP 800-53B Privacy: IR-04(13).
Validation: Semi-Annual conformity validation; evidence artifacts E-IRO-02, E-MON-07; PPTDF applicability: Technology.</t>
  </si>
  <si>
    <t xml:space="preserve">ORG 2.2(d)</t>
  </si>
  <si>
    <t xml:space="preserve">AC-02(12), IR-04(13), SI-04(11)</t>
  </si>
  <si>
    <t xml:space="preserve">2.G</t>
  </si>
  <si>
    <t xml:space="preserve">ACCESS-2i, SITUATION-2d, SITUATION-2h, SITUATION-2i</t>
  </si>
  <si>
    <t xml:space="preserve">DE.CM, DE.CM-03</t>
  </si>
  <si>
    <t xml:space="preserve">IAM-08, MON-01, MON-10, SAP-06</t>
  </si>
  <si>
    <t xml:space="preserve">IR-04(13)</t>
  </si>
  <si>
    <t xml:space="preserve">SG.AC Access Control; SG.IR Incident Response; SG.SI Smart Grid Information System and Information Integrity</t>
  </si>
  <si>
    <t xml:space="preserve">NIST Tenet 4</t>
  </si>
  <si>
    <t xml:space="preserve">∙ Indicators of Compromise (IoC)
∙ Indicators of Exposure (IoE)
∙ Security Incident Event Manager (SIEM)
∙ Extended Detection and Response (XDR)
∙ Managed Security Services Provider (MSSP)</t>
  </si>
  <si>
    <t xml:space="preserve">MON-16.1</t>
  </si>
  <si>
    <t xml:space="preserve">Insider Threats</t>
  </si>
  <si>
    <t xml:space="preserve">Mechanisms exist to monitor internal personnel activity for potential security incidents.</t>
  </si>
  <si>
    <t xml:space="preserve">Does the organization monitor internal personnel activity for potential security incidents?</t>
  </si>
  <si>
    <t xml:space="preserve">The organization implements and operates mechanisms to monitor internal personnel activity for potential security incidents.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</si>
  <si>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 legal opinion regarding insider threat monitoring is obtained;
b. Ensuring monitoring activities for insider threats is defined;
c. Ensuring organization-defined mechanisms are employed to monitor internal personnel activity for potential security incidents;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</si>
  <si>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Insider Threat program; Indicators of Compromise (IoC); Indicators of Exposure (IoE); Security Incident Event Manager (SIEM); Extended Detection and Response (XDR); Managed Security Services Provider (MSSP).
In-scope requirement alignment: NIST CSF 2.0: DE.CM-03.
Validation: Annual conformity validation; evidence artifacts E-IRO-02, E-MON-07; PPTDF applicability: Technology.</t>
  </si>
  <si>
    <t xml:space="preserve">DE.CM-03</t>
  </si>
  <si>
    <t xml:space="preserve">∙ Insider Threat program
∙ Indicators of Compromise (IoC)
∙ Indicators of Exposure (IoE)
∙ Security Incident Event Manager (SIEM)
∙ Extended Detection and Response (XDR)
∙ Managed Security Services Provider (MSSP)</t>
  </si>
  <si>
    <t xml:space="preserve">MON-16.2</t>
  </si>
  <si>
    <t xml:space="preserve">Third-Party Threats</t>
  </si>
  <si>
    <t xml:space="preserve">Mechanisms exist to monitor third-party personnel activity for potential security incidents.</t>
  </si>
  <si>
    <t xml:space="preserve">Does the organization monitor third-party personnel activity for potential security incidents?</t>
  </si>
  <si>
    <t xml:space="preserve">The organization implements and operates mechanisms to monitor third-party personnel activity for potential security incidents.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</si>
  <si>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 legal opinion regarding third-party threat monitoring is obtained;
b. Ensuring monitoring activities for third-party threats is defined;
c. Ensuring organization-defined mechanisms are employed to monitor third-party activities for potential security incidents;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</si>
  <si>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Insider Threat program; Indicators of Compromise (IoC); Indicators of Exposure (IoE); Security Incident Event Manager (SIEM); Extended Detection and Response (XDR).
In-scope requirement alignment: NIST CSF 2.0: DE.CM-06.
Validation: Annual conformity validation; evidence artifacts E-IRO-02, E-MON-07; PPTDF applicability: Technology.</t>
  </si>
  <si>
    <t xml:space="preserve">DE.CM-06</t>
  </si>
  <si>
    <t xml:space="preserve">∙ Insider Threat program
∙ Indicators of Compromise (IoC)
∙ Indicators of Exposure (IoE)
∙ Security Incident Event Manager (SIEM)
∙ Extended Detection and Response (XDR)</t>
  </si>
  <si>
    <t xml:space="preserve">MON-16.3</t>
  </si>
  <si>
    <t xml:space="preserve">Unauthorized Activities</t>
  </si>
  <si>
    <t xml:space="preserve">Mechanisms exist to monitor for unauthorized activities, accounts, connections, devices and software.</t>
  </si>
  <si>
    <t xml:space="preserve">Does the organization monitor for unauthorized activities, accounts, connections, devices and software?</t>
  </si>
  <si>
    <t xml:space="preserve">NERC CIP; NIST Cybersecurity Framework 2.0</t>
  </si>
  <si>
    <t xml:space="preserve">The organization implements and operates mechanisms to monitor for unauthorized activities, accounts, connections, devices and software.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</si>
  <si>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unauthorized activities are defined;
b. Ensuring personnel or roles to be notified when unauthorized activities are detected is/are defined;
c. Ensuring methods to detect unauthorized activities are identified;
d. Ensuring monitoring mechanisms are configured to detect unauthorized activities;
e. Ensuring personnel or roles are notified when unauthorized activities are detected;
f. Collecting security event logs from AMI head-end systems, OT servers, HMIs, network security devices, remote-access gateways and, where supported, field devices into a centralized monitoring capability;
g. Deploying passive, OT-protocol-aware network monitoring at zone boundaries and key conduits to detect unauthorized devices, communications and commands; and
h.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</si>
  <si>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Indicators of Compromise (IoC); Indicators of Exposure (IoE); Security Incident Event Manager (SIEM); Extended Detection and Response (XDR); Managed Security Services Provider (MSSP).
In-scope requirement alignment: NERC CIP: CIP-006-6 1.4 | NIST CSF 2.0: DE.CM-03.
Validation: Annual conformity validation; evidence artifacts E-IRO-02, E-MON-07; PPTDF applicability: Technology.</t>
  </si>
  <si>
    <t xml:space="preserve">CIP-006-6 1.4</t>
  </si>
  <si>
    <t xml:space="preserve">MON-16.4</t>
  </si>
  <si>
    <t xml:space="preserve">Account Creation and Modification Logging</t>
  </si>
  <si>
    <t xml:space="preserve">Automated mechanisms exist to generate event logs for permissions changes to privileged accounts and/or groups.</t>
  </si>
  <si>
    <t xml:space="preserve">Does the organization use automated mechanisms to generate event logs for permissions changes to privileged accounts and/or groups?</t>
  </si>
  <si>
    <t xml:space="preserve">The organization implements and operates automated mechanisms to generate event logs for permissions changes to privileged accounts and/or groups.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</si>
  <si>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an automated mechanism generates event logs for permissions changes to privileged accounts and/or groups;
b. Collecting security event logs from AMI head-end systems, OT servers, HMIs, network security devices, remote-access gateways and, where supported, field devices into a centralized monitoring capability;
c. Deploying passive, OT-protocol-aware network monitoring at zone boundaries and key conduits to detect unauthorized devices, communications and commands; and
d.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</si>
  <si>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NIST CSF 2.0: DE.CM-06.
Validation: Quarterly conformity validation; evidence artifacts E-AST-01; PPTDF applicability: Technology.</t>
  </si>
  <si>
    <t xml:space="preserve">MON-17</t>
  </si>
  <si>
    <t xml:space="preserve">Event Log Analysis &amp; Triage</t>
  </si>
  <si>
    <t xml:space="preserve">Mechanisms exist to ensure event log reviews include analysis and triage practices that integrate with the organization's established incident response processes.</t>
  </si>
  <si>
    <t xml:space="preserve">Does the organization ensure event log reviews include analysis and triage practices that integrate with its established incident response processes?</t>
  </si>
  <si>
    <t xml:space="preserve">IEC 62443-2-1:2024; NERC CIP</t>
  </si>
  <si>
    <t xml:space="preserve">The organization implements and operates mechanisms to ensure event log reviews include analysis and triage practices that integrate with the organization's established incident response processes.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</si>
  <si>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analysis and triage capabilities for event log review processes are defined;
b. Ensuring analysis and triage capabilities are integrated into event log review processes that support the organization's governance and incident response functions;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</si>
  <si>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IEC 62443-2-1: EVENT 1.1 | NERC CIP: CIP-007-6 4.4.
Validation: Annual conformity validation; evidence artifacts to be defined; PPTDF applicability: Technology.</t>
  </si>
  <si>
    <t xml:space="preserve">EVENT 1.1</t>
  </si>
  <si>
    <t xml:space="preserve">CIP-007-6 4.4</t>
  </si>
  <si>
    <t xml:space="preserve">MON-19</t>
  </si>
  <si>
    <t xml:space="preserve">Write Once Read Many (WORM) Event Log Generation</t>
  </si>
  <si>
    <t xml:space="preserve">Mechanisms exist to produce event logs on hardware-enforced, write-once media (e.g., Write Once Read Many (WORM) technologies).</t>
  </si>
  <si>
    <t xml:space="preserve">Does the organization produce event logs on hardware-enforced, write-once media (e.g., Write Once Read Many (WORM) technologies)?</t>
  </si>
  <si>
    <t xml:space="preserve">The organization implements and operates mechanisms to produce event logs on hardware-enforced, write-once media (e.g., Write Once Read Many (WORM) technologies).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</si>
  <si>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Technology Assets, Applications and/or Services (TAAS) that require hardware-enforced, write-once media (e.g., Write Once Read Many (WORM) technologies) are identified;
b. Ensuring hardware-enforced, write-once media technologies are identified;
c. Ensuring hardware-enforced, write-once media technologies are implemented, where required;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</si>
  <si>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IEC 62443-3-3: SR 3.9 RE 1 | IEC 62443-4-2: CR 3.9(1).
Validation: Annual conformity validation; evidence artifacts to be defined; PPTDF applicability: Technology.</t>
  </si>
  <si>
    <t xml:space="preserve">SR 3.9 RE 1</t>
  </si>
  <si>
    <t xml:space="preserve">CR 3.9(1)</t>
  </si>
  <si>
    <t xml:space="preserve">CRY-01</t>
  </si>
  <si>
    <t xml:space="preserve">Use of Cryptographic Controls</t>
  </si>
  <si>
    <t xml:space="preserve">Cryptographic Protections</t>
  </si>
  <si>
    <t xml:space="preserve">CRY</t>
  </si>
  <si>
    <t xml:space="preserve">Mechanisms exist to facilitate the implementation of cryptographic protections controls using known public standards and trusted cryptographic technologies.</t>
  </si>
  <si>
    <t xml:space="preserve">Does the organization facilitate the implementation of cryptographic protections controls using known public standards and trusted cryptographic technologies?</t>
  </si>
  <si>
    <t xml:space="preserve">E-CRY-01</t>
  </si>
  <si>
    <t xml:space="preserve">IEC 62443-2-1:2024; IEC 62443-3-3:2013; IEC 62443-4-2:2019; NIST SP 800-82 R3 - Moderate OT Overlay; NERC CIP; CISA Cross-Sector Cybersecurity Performance Goals; NIST Cybersecurity Framework 2.0; NIST SP 800-53B R5 - Moderate baseline; DOE Cybersecurity Capability Maturity Model; CSA IoT Security Controls Framework v2; NIST SP 800-53B R5 - Privacy baseline</t>
  </si>
  <si>
    <t xml:space="preserve">Enterprise Cryptography &amp; PKI Lead</t>
  </si>
  <si>
    <t xml:space="preserve">AMI Security Engineer (meter key and certificate management)</t>
  </si>
  <si>
    <t xml:space="preserve">Meter manufacturer; AMI vendor (key management); PKI / certificate authority provider</t>
  </si>
  <si>
    <t xml:space="preserve">The organization shall protect the confidentiality and integrity of data in transit and at rest through approved cryptographic controls and industry-recognized key management. AMI and OT cryptographic material, including meter keys, certificates and firmware signing keys, shall be generated, distributed, stored, rotated and revoked under documented key management practices that preserve operational availability.</t>
  </si>
  <si>
    <t xml:space="preserve">The organization develops, implements and governs processes and documentation to facilitate the implementation of cryptographic protections controls using known public standards and trusted cryptographic technologies, as well as associated standards, controls and procedures, across enterprise IT, Operational Technology (OT) and Advanced Metering Infrastructure (AMI) environments.
Within the OT and AMI environment, this objective protects AMI and OT communications and stored data, and governs the lifecycle of meter keys, device certificates and firmware signing keys.</t>
  </si>
  <si>
    <t xml:space="preserve">The Chief Information Security Officer (CISO), in coordination with the OT Security Lead, is responsible for:
a. Ensuring cryptographic mechanisms intended to prevent unauthorized disclosure of sensitive / regulated data are identified;
b. Ensuring organization-defined types of cryptography are implemented to protect the confidentiality of sensitive / regulated data;
c. Ensuring cryptographic protections management operations are conducted according to documented policies, standards, procedures and/or other organizational directives;
d. Ensuring adequate resources (e.g., people, processes, technologies, data and/or facilities) are provided to support cryptographic protections management operations;
e. Ensuring responsibility and authority for the performance of cryptographic protections management-related activities are assigned to designated personnel;
f. Ensuring cryptographic uses are identified / defined;
g. Ensuring as necessary for compliance requirements, FIPS-validated cryptography is employed to protect the confidentiality of sensitive / regulated data;
h. Ensuring personnel performing cryptographic protections management-related activities have the skills and knowledge needed to perform their assigned duties;
i. Protecting AMI head-end to collector, collector to meter and backhaul communications with approved cryptography where supported, and documenting compensating controls for legacy protocols that cannot be encrypted; and
j. Protecting the integrity of control and firmware traffic through cryptographic authentication or integrity mechanisms.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</si>
  <si>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IT Asset Management (ITAM) program; Configuration Management (CM) program; Secure Baseline Configurations (SBC).
In-scope requirement alignment: IEC 62443-2-1: DATA 1.5 | IEC 62443-3-3: SR 4.1, SR 4.1 RE 1, SR 4.3 | IEC 62443-4-2: CR 4.3 | NIST SP 800-82 R3 (Moderate OT overlay): SC-08(01), SC-13 | NERC CIP: CIP-006-6 1.10 | CISA CPG: 2.K | DOE C2M2: ARCHITECTURE-5d | NIST CSF 2.0: PR.DS-01, PR.DS-02, PR.DS-10 | NIST SP 800-53B Moderate: SC-08(01) | CSA IoT SCF: CLS-01, COM-07, COM-08, COM-09, IOT-10, SAP-07 | NIST SP 800-53B Privacy: SC-08(01), SC-08(02), SC-13.
Validation: Annual conformity validation; evidence artifacts E-CRY-01; PPTDF applicability: Data.</t>
  </si>
  <si>
    <t xml:space="preserve">DATA 1.5</t>
  </si>
  <si>
    <t xml:space="preserve">SR 4.1, SR 4.1 RE 1, SR 4.3</t>
  </si>
  <si>
    <t xml:space="preserve">CR 4.3</t>
  </si>
  <si>
    <t xml:space="preserve">SC-08(01), SC-08(02), SC-13, SI-07(06)</t>
  </si>
  <si>
    <t xml:space="preserve">SC-08(01), SC-13</t>
  </si>
  <si>
    <t xml:space="preserve">CIP-006-6 1.10</t>
  </si>
  <si>
    <t xml:space="preserve">2.K</t>
  </si>
  <si>
    <t xml:space="preserve">ARCHITECTURE-5d</t>
  </si>
  <si>
    <t xml:space="preserve">PR.DS-01, PR.DS-02, PR.DS-10</t>
  </si>
  <si>
    <t xml:space="preserve">SC-08(01)</t>
  </si>
  <si>
    <t xml:space="preserve">CLS-01, COM-07, COM-08, COM-09, IOT-10, SAP-07</t>
  </si>
  <si>
    <t xml:space="preserve">SC-08(01), SC-08(02), SC-13</t>
  </si>
  <si>
    <t xml:space="preserve">8.24, 8.26</t>
  </si>
  <si>
    <t xml:space="preserve">NIST Tenet 2</t>
  </si>
  <si>
    <t xml:space="preserve">∙ IT Asset Management (ITAM) program
∙ Configuration Management (CM) program
∙ Secure Baseline Configurations (SBC)</t>
  </si>
  <si>
    <t xml:space="preserve">CRY-01.1</t>
  </si>
  <si>
    <t xml:space="preserve">Alternate Physical Protection</t>
  </si>
  <si>
    <t xml:space="preserve">Cryptographic mechanisms exist to prevent unauthorized disclosure of information as an alternative to physical safeguards.</t>
  </si>
  <si>
    <t xml:space="preserve">Are cryptographic mechanisms utilized to prevent unauthorized disclosure of information as an alternative to physical safeguards?</t>
  </si>
  <si>
    <t xml:space="preserve">NIST SP 800-82 R3 - Moderate OT Overlay; NIST Cybersecurity Framework 2.0; NIST SP 800-53B R5 - Moderate baseline; NIST SP 800-53B R5 - Privacy baseline</t>
  </si>
  <si>
    <t xml:space="preserve">The organization implements and operates cryptographic mechanisms to prevent unauthorized disclosure of information as an alternative to physical safeguards.
Within the OT and AMI environment, this objective protects AMI and OT communications and stored data, and governs the lifecycle of meter keys, device certificates and firmware signing keys.</t>
  </si>
  <si>
    <t xml:space="preserve">IT Operations and OT Operations teams (asset custodians) are responsible for:
a. Ensuring either cryptographic mechanisms or alternative physical safeguards are implemented to prevent unauthorized disclosure of sensitive / regulated data during transmission;
b. Ensuring alternative physical safeguards intended to prevent unauthorized disclosure of sensitive / regulated are identified;
c. Managing AMI meter keys, device certificates and firmware signing keys through a documented key management lifecycle (generation, distribution, storage, rotation, revocation and destruction) with separation of duties;
d. Using approved algorithms and validated cryptographic modules for AMI head-end, backhaul and field communications where technically feasible, with documented compensating controls where legacy protocols cannot be encrypted; and
e.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</si>
  <si>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Secure Baseline Configurations (SBC).
In-scope requirement alignment: NIST SP 800-82 R3 (Moderate OT overlay): SC-08(01) | NIST CSF 2.0: PR.DS-01 | NIST SP 800-53B Moderate: SC-08(01) | NIST SP 800-53B Privacy: SC-08(01).
Validation: Annual conformity validation; evidence artifacts E-GOV-18; PPTDF applicability: Technology.</t>
  </si>
  <si>
    <t xml:space="preserve">PR.DS-01</t>
  </si>
  <si>
    <t xml:space="preserve">CRY-01.2</t>
  </si>
  <si>
    <t xml:space="preserve">Export-Controlled Cryptography</t>
  </si>
  <si>
    <t xml:space="preserve">Mechanisms exist to address the exporting of cryptographic technologies in compliance with relevant statutory and regulatory requirements.</t>
  </si>
  <si>
    <t xml:space="preserve">Does the organization address the exporting of cryptographic technologies in compliance with relevant statutory and regulatory requirements?</t>
  </si>
  <si>
    <t xml:space="preserve">The organization implements and operates mechanisms to address the exporting of cryptographic technologies in compliance with relevant statutory and regulatory requirements.
Within the OT and AMI environment, this objective protects AMI and OT communications and stored data, and governs the lifecycle of meter keys, device certificates and firmware signing keys.</t>
  </si>
  <si>
    <t xml:space="preserve">IT Operations and OT Operations teams (asset custodians) are responsible for:
a. Ensuring a legal opinion regarding exporting cryptographic technologies is obtained;
b. Ensuring cryptographic uses are defined;
c. Ensuring types of cryptography for each specified cryptographic use are defined;
d. Managing AMI meter keys, device certificates and firmware signing keys through a documented key management lifecycle (generation, distribution, storage, rotation, revocation and destruction) with separation of duties;
e. Using approved algorithms and validated cryptographic modules for AMI head-end, backhaul and field communications where technically feasible, with documented compensating controls where legacy protocols cannot be encrypted; and
f.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</si>
  <si>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IT Asset Management (ITAM) program.
In-scope requirement alignment: NIST SP 800-82 R3 (Moderate OT overlay): SC-13 | NIST SP 800-53B Privacy: SC-13.
Validation: Semi-Annual conformity validation; evidence artifacts to be defined; PPTDF applicability: Process.</t>
  </si>
  <si>
    <t xml:space="preserve">SC-13</t>
  </si>
  <si>
    <t xml:space="preserve">5.31</t>
  </si>
  <si>
    <t xml:space="preserve">CRY-01.3</t>
  </si>
  <si>
    <t xml:space="preserve">Pre/Post Transmission Handling</t>
  </si>
  <si>
    <t xml:space="preserve">Cryptographic mechanisms exist to ensure the confidentiality and integrity of information during preparation for transmission and during reception.</t>
  </si>
  <si>
    <t xml:space="preserve">Are cryptographic mechanisms utilized to ensure the confidentiality and integrity of information during preparation for transmission and during reception?</t>
  </si>
  <si>
    <t xml:space="preserve">The organization implements and operates cryptographic mechanisms to ensure the confidentiality and integrity of information during preparation for transmission and during reception.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</si>
  <si>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the confidentiality and integrity of information is maintained during preparation for transmission;
b. Ensuring the confidentiality and integrity of information is maintained during reception;
c. Managing AMI meter keys, device certificates and firmware signing keys through a documented key management lifecycle (generation, distribution, storage, rotation, revocation and destruction) with separation of duties;
d. Using approved algorithms and validated cryptographic modules for AMI head-end, backhaul and field communications where technically feasible, with documented compensating controls where legacy protocols cannot be encrypted; and
e.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</si>
  <si>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Enterprise HSM (e.g., Thales, AWS CloudHSM); Enterprise PKI; Automated certificate management (e.g., Venafi).
In-scope requirement alignment: NIST SP 800-53B Privacy: SC-08(02).
Validation: Annual conformity validation; evidence artifacts to be defined; PPTDF applicability: Technology.</t>
  </si>
  <si>
    <t xml:space="preserve">SC-08(02)</t>
  </si>
  <si>
    <t xml:space="preserve">∙ Enterprise HSM (e.g., Thales, AWS CloudHSM)
∙ Enterprise PKI
∙ Automated certificate management (e.g., Venafi)</t>
  </si>
  <si>
    <t xml:space="preserve">CRY-02</t>
  </si>
  <si>
    <t xml:space="preserve">Automated Authentication Through Cryptographic Modules</t>
  </si>
  <si>
    <t xml:space="preserve">Automated mechanisms exist to enable systems to authenticate to a cryptographic module.</t>
  </si>
  <si>
    <t xml:space="preserve">Does the organization use automated mechanisms to enable systems to authenticate to a cryptographic module?</t>
  </si>
  <si>
    <t xml:space="preserve">The organization implements and operates automated mechanisms to enable systems to authenticate to a cryptographic module.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</si>
  <si>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mechanisms for authentication to a cryptographic module are implemented that meet the requirements of applicable laws, executive orders, directives, policies, regulations, standards and guidelines for such authentication;
b. Managing AMI meter keys, device certificates and firmware signing keys through a documented key management lifecycle (generation, distribution, storage, rotation, revocation and destruction) with separation of duties;
c. Using approved algorithms and validated cryptographic modules for AMI head-end, backhaul and field communications where technically feasible, with documented compensating controls where legacy protocols cannot be encrypted; and
d.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</si>
  <si>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Enterprise HSM (e.g., Thales, AWS CloudHSM); Enterprise PKI; Automated certificate management (e.g., Venafi).
In-scope requirement alignment: NIST SP 800-82 R3 (Moderate OT overlay): IA-07 | NIST SP 800-53B Privacy: IA-07.
Validation: Quarterly conformity validation; evidence artifacts to be defined; PPTDF applicability: Technology.</t>
  </si>
  <si>
    <t xml:space="preserve">IA-07</t>
  </si>
  <si>
    <t xml:space="preserve">SG.IA Identification and Authentication</t>
  </si>
  <si>
    <t xml:space="preserve">CRY-03</t>
  </si>
  <si>
    <t xml:space="preserve">Transmission Confidentiality</t>
  </si>
  <si>
    <t xml:space="preserve">Cryptographic mechanisms exist to protect the confidentiality of data being transmitted.</t>
  </si>
  <si>
    <t xml:space="preserve">Are cryptographic mechanisms utilized to protect the confidentiality of data being transmitted?</t>
  </si>
  <si>
    <t xml:space="preserve">IEC 62443-3-3:2013; IEC 62443-4-2:2019; NIST SP 800-82 R3 - Moderate OT Overlay; CISA Cross-Sector Cybersecurity Performance Goals; NIST Cybersecurity Framework 2.0; NIST SP 800-53B R5 - Moderate baseline; DOE Cybersecurity Capability Maturity Model; CSA IoT Security Controls Framework v2; NIST Privacy Framework 1.0; NIST SP 800-53B R5 - Privacy baseline</t>
  </si>
  <si>
    <t xml:space="preserve">The organization implements and operates cryptographic mechanisms to protect the confidentiality of data being transmitted.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</si>
  <si>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the types of cryptography for protecting the confidentiality of data are defined;
b. Ensuring cryptographic mechanisms are implemented to prevent the unauthorized disclosure of data during transmission;
c. Ensuring organization-defined types of cryptography are implemented to protect the confidentiality of sensitive / regulated data;
d. Managing AMI meter keys, device certificates and firmware signing keys through a documented key management lifecycle (generation, distribution, storage, rotation, revocation and destruction) with separation of duties;
e. Using approved algorithms and validated cryptographic modules for AMI head-end, backhaul and field communications where technically feasible, with documented compensating controls where legacy protocols cannot be encrypted; and
f.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</si>
  <si>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NIST Cryptographic Module Validation Program (CMVP); Transport Layer Security (TLS); IPSec encryption; Encrypted Multiprotocol Label Switching (MPLS).
In-scope requirement alignment: IEC 62443-3-3: SR 4.1 RE 2 | IEC 62443-4-2: CR 4.1(b) | NIST SP 800-82 R3 (Moderate OT overlay): SC-08, SC-08(01) | CISA CPG: 2.K | DOE C2M2: ARCHITECTURE-5c, ARCHITECTURE-5d | NIST CSF 2.0: PR.DS-02 | NIST SP 800-53B Moderate: SC-08, SC-08(01) | CSA IoT SCF: COM-07, COM-08, COM-09, IOT-10, SAP-07, SWS-11 | NIST Privacy Framework: PR.DS-P2 | NIST SP 800-53B Privacy: SC-08, SC-08(01).
Validation: Annual conformity validation; evidence artifacts E-CRY-01; PPTDF applicability: Data.</t>
  </si>
  <si>
    <t xml:space="preserve">SR 4.1 RE 2</t>
  </si>
  <si>
    <t xml:space="preserve">CR 4.1(b)</t>
  </si>
  <si>
    <t xml:space="preserve">SC-08, SC-08(01)</t>
  </si>
  <si>
    <t xml:space="preserve">ARCHITECTURE-5c, ARCHITECTURE-5d</t>
  </si>
  <si>
    <t xml:space="preserve">PR.DS-02</t>
  </si>
  <si>
    <t xml:space="preserve">COM-07, COM-08, COM-09, IOT-10, SAP-07, SWS-11</t>
  </si>
  <si>
    <t xml:space="preserve">PR.DS-P2</t>
  </si>
  <si>
    <t xml:space="preserve">5.14, 8.24, 8.26</t>
  </si>
  <si>
    <t xml:space="preserve">∙ NIST Cryptographic Module Validation Program (CMVP) (https://csrc.nist.gov)
∙ Transport Layer Security (TLS)
∙ IPSec encryption
∙ Encrypted Multiprotocol Label Switching (MPLS)</t>
  </si>
  <si>
    <t xml:space="preserve">CRY-04</t>
  </si>
  <si>
    <t xml:space="preserve">Transmission Integrity</t>
  </si>
  <si>
    <t xml:space="preserve">Cryptographic mechanisms exist to protect the integrity of data being transmitted.</t>
  </si>
  <si>
    <t xml:space="preserve">Are cryptographic mechanisms utilized to protect the integrity of data being transmitted?</t>
  </si>
  <si>
    <t xml:space="preserve">IEC 62443-2-1:2024; IEC 62443-3-3:2013; IEC 62443-4-2:2019; NIST SP 800-82 R3 - Moderate OT Overlay; CISA Cross-Sector Cybersecurity Performance Goals; NIST Cybersecurity Framework 2.0; NIST SP 800-53B R5 - Moderate baseline; CSA IoT Security Controls Framework v2; NIST Privacy Framework 1.0; NIST SP 800-53B R5 - Privacy baseline</t>
  </si>
  <si>
    <t xml:space="preserve">The organization implements and operates cryptographic mechanisms to protect the integrity of data being transmitted.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</si>
  <si>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the integrity of transmitted information is/are protected;
b. Ensuring cryptographic uses are defined;
c. Ensuring information requiring cryptographic protection is defined;
d. Ensuring system components or media requiring cryptographic protection is/are defined;
e. Ensuring types of cryptography for each specified cryptographic use are defined;
f. Ensuring the integrity of transmitted cybersecurity / data privacy attributes is verified;
g. Ensuring cryptographic mechanisms are implemented to prevent unauthorized disclosure of information at rest on system components or media;
h. Ensuring cryptographic mechanisms are implemented to prevent unauthorized modification of information at rest on system components or media;
i. Managing AMI meter keys, device certificates and firmware signing keys through a documented key management lifecycle (generation, distribution, storage, rotation, revocation and destruction) with separation of duties;
j. Using approved algorithms and validated cryptographic modules for AMI head-end, backhaul and field communications where technically feasible, with documented compensating controls where legacy protocols cannot be encrypted; and
k.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</si>
  <si>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Enterprise HSM (e.g., Thales, AWS CloudHSM); Enterprise PKI; Automated certificate management (e.g., Venafi).
In-scope requirement alignment: IEC 62443-2-1: DATA 1.7 | IEC 62443-3-3: SR 3.1, SR 3.1 RE 1 | IEC 62443-4-2: CR 3.1, CR 3.1(1) | NIST SP 800-82 R3 (Moderate OT overlay): SC-08, SC-28(01) | CISA CPG: 2.K | NIST CSF 2.0: PR.DS-02 | NIST SP 800-53B Moderate: SC-08, SC-28(01) | CSA IoT SCF: SAP-07 | NIST Privacy Framework: PR.AC-P5 | NIST SP 800-53B Privacy: SC-08, SC-16(01), SC-28(01).
Validation: Annual conformity validation; evidence artifacts E-CRY-01; PPTDF applicability: Data.</t>
  </si>
  <si>
    <t xml:space="preserve">SR 3.1, SR 3.1 RE 1</t>
  </si>
  <si>
    <t xml:space="preserve">CR 3.1, CR 3.1(1)</t>
  </si>
  <si>
    <t xml:space="preserve">SC-08, SC-16(01), SC-28(01)</t>
  </si>
  <si>
    <t xml:space="preserve">SC-08, SC-28(01)</t>
  </si>
  <si>
    <t xml:space="preserve">SAP-07</t>
  </si>
  <si>
    <t xml:space="preserve">PR.AC-P5</t>
  </si>
  <si>
    <t xml:space="preserve">CRY-05</t>
  </si>
  <si>
    <t xml:space="preserve">Encrypting Data At Rest</t>
  </si>
  <si>
    <t xml:space="preserve">Cryptographic mechanisms exist to prevent unauthorized disclosure of data at rest.</t>
  </si>
  <si>
    <t xml:space="preserve">Are cryptographic mechanisms utilized to prevent unauthorized disclosure of data at rest?</t>
  </si>
  <si>
    <t xml:space="preserve">IEC 62443-4-2:2019; NIST SP 800-82 R3 - Moderate OT Overlay; CISA Cross-Sector Cybersecurity Performance Goals; NIST Cybersecurity Framework 2.0; NIST SP 800-53B R5 - Moderate baseline; DOE Cybersecurity Capability Maturity Model; CSA IoT Security Controls Framework v2; NIST Privacy Framework 1.0; NIST SP 800-53B R5 - Privacy baseline</t>
  </si>
  <si>
    <t xml:space="preserve">The organization implements and operates cryptographic mechanisms to prevent unauthorized disclosure of data at rest.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</si>
  <si>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the confidentiality of sensitive / regulated data stored on digital media is protected during transport using cryptographic mechanisms or alternative physical safeguards;
b. Ensuring cryptographic mechanisms are implemented to prevent the unauthorized disclosure of sensitive / regulated data while in storage;
c. Ensuring cryptographic uses are defined;
d. Ensuring information requiring cryptographic protection is defined;
e. Ensuring system components or media requiring cryptographic protection is/are defined;
f. Ensuring the types of cryptography for protecting the confidentiality of sensitive / regulated data are defined;
g. Ensuring organization-defined types of cryptography are implemented to protect the confidentiality of sensitive / regulated data;
h. Managing AMI meter keys, device certificates and firmware signing keys through a documented key management lifecycle (generation, distribution, storage, rotation, revocation and destruction) with separation of duties;
i. Using approved algorithms and validated cryptographic modules for AMI head-end, backhaul and field communications where technically feasible, with documented compensating controls where legacy protocols cannot be encrypted; and
j.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</si>
  <si>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NIST Cryptographic Module Validation Program (CMVP); Microsoft BitLocker.
In-scope requirement alignment: IEC 62443-4-2: CR 4.1(a) | NIST SP 800-82 R3 (Moderate OT overlay): SC-13, SC-28, SC-28(01) | CISA CPG: 2.K | DOE C2M2: ARCHITECTURE-5a, ARCHITECTURE-5b, ARCHITECTURE-5d | NIST CSF 2.0: PR.DS-01 | NIST SP 800-53B Moderate: SC-28, SC-28(01) | CSA IoT SCF: DAT-04 | NIST Privacy Framework: PR.DS-P1 | NIST SP 800-53B Privacy: SC-13, SC-28, SC-28(01).
Validation: Annual conformity validation; evidence artifacts E-CRY-01; PPTDF applicability: Data.</t>
  </si>
  <si>
    <t xml:space="preserve">CR 4.1(a)</t>
  </si>
  <si>
    <t xml:space="preserve">SC-13, SC-28, SC-28(01)</t>
  </si>
  <si>
    <t xml:space="preserve">ARCHITECTURE-5a, ARCHITECTURE-5b, ARCHITECTURE-5d</t>
  </si>
  <si>
    <t xml:space="preserve">SC-28, SC-28(01)</t>
  </si>
  <si>
    <t xml:space="preserve">DAT-04</t>
  </si>
  <si>
    <t xml:space="preserve">PR.DS-P1</t>
  </si>
  <si>
    <t xml:space="preserve">8.24</t>
  </si>
  <si>
    <t xml:space="preserve">∙ NIST Cryptographic Module Validation Program (CMVP) (https://csrc.nist.gov)
∙ Microsoft BitLocker (https://microsoft.com)</t>
  </si>
  <si>
    <t xml:space="preserve">CRY-05.2</t>
  </si>
  <si>
    <t xml:space="preserve">Offline Storage</t>
  </si>
  <si>
    <t xml:space="preserve">Mechanisms exist to remove unused data from online storage and archive it off-line in a secure location until it can be disposed of according to data retention requirements.</t>
  </si>
  <si>
    <t xml:space="preserve">Does the organization remove unused data from online storage and archive it off-line in a secure location until it can be disposed of according to data retention requirements?</t>
  </si>
  <si>
    <t xml:space="preserve">The organization implements and operates mechanisms to remove unused data from online storage and archive it off-line in a secure location until it can be disposed of according to data retention requirements.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</si>
  <si>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persistent organizational storage locations are identified;
b. Ensuring recurring reviews of persistent organizational storage locations are conducted to identify sensitive / regulated data that is no longer needed;
c. Ensuring the frequency with which to conduct reviews of persistent organizational storage locations is defined;
d. Ensuring information to be removed from online storage and stored offline in a secure location is defined;
e. Ensuring information is removed from online storage;
f. Ensuring information is stored offline in a secure location;
g. Managing AMI meter keys, device certificates and firmware signing keys through a documented key management lifecycle (generation, distribution, storage, rotation, revocation and destruction) with separation of duties;
h. Using approved algorithms and validated cryptographic modules for AMI head-end, backhaul and field communications where technically feasible, with documented compensating controls where legacy protocols cannot be encrypted; and
i.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</si>
  <si>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Enterprise HSM (e.g., Thales, AWS CloudHSM); Enterprise PKI; Automated certificate management (e.g., Venafi).
In-scope requirement alignment: NIST SP 800-53B Privacy: SC-28(02).
Validation: Annual conformity validation; evidence artifacts to be defined; PPTDF applicability: Data.</t>
  </si>
  <si>
    <t xml:space="preserve">CRY-07</t>
  </si>
  <si>
    <t xml:space="preserve">Wireless Access Authentication &amp; Encryption</t>
  </si>
  <si>
    <t xml:space="preserve">Mechanisms exist to protect the confidentiality and integrity of wireless networking technologies by implementing authentication and strong encryption.</t>
  </si>
  <si>
    <t xml:space="preserve">Does the organization protect the confidentiality and integrity of wireless networking technologies by implementing authentication and strong encryption?</t>
  </si>
  <si>
    <t xml:space="preserve">IEC 62443-3-3:2013; IEC 62443-4-2:2019; NIST SP 800-82 R3 - Moderate OT Overlay; CSA IoT Security Controls Framework v2; NIST SP 800-161 R1 - C-SCRM Baseline; NIST SP 800-53B R5 - Privacy baseline; ANSI/ISA-62443-3-2:2020</t>
  </si>
  <si>
    <t xml:space="preserve">The organization implements and operates mechanisms to protect the confidentiality and integrity of wireless networking technologies by implementing authentication and strong encryption.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</si>
  <si>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configuration requirements are established for each type of wireless access;
b. Ensuring connection requirements are established for each type of wireless access;
c. Ensuring implementation guidance is established for each type of wireless access;
d. Managing AMI meter keys, device certificates and firmware signing keys through a documented key management lifecycle (generation, distribution, storage, rotation, revocation and destruction) with separation of duties;
e. Using approved algorithms and validated cryptographic modules for AMI head-end, backhaul and field communications where technically feasible, with documented compensating controls where legacy protocols cannot be encrypted; and
f.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</si>
  <si>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NIST Cryptographic Module Validation Program (CMVP); Wi-Fi Protected Access 3 (WPA3).
In-scope requirement alignment: IEC 62443-3-3: SR 1.6 | IEC 62443-4-2: CR 1.6 | NIST SP 800-82 R3 (Moderate OT overlay): AC-18 | NIST SP 800-161 R1 C-SCRM: AC-18 | CSA IoT SCF: SWS-07 | NIST SP 800-53B Privacy: AC-18, SC-40 | ISA/IEC 62443-3-2: ZCR 3.5.
Validation: Annual conformity validation; evidence artifacts to be defined; PPTDF applicability: Technology.</t>
  </si>
  <si>
    <t xml:space="preserve">SR 1.6</t>
  </si>
  <si>
    <t xml:space="preserve">CR 1.6</t>
  </si>
  <si>
    <t xml:space="preserve">ZCR 3.5</t>
  </si>
  <si>
    <t xml:space="preserve">AC-18, SC-40</t>
  </si>
  <si>
    <t xml:space="preserve">AC-18</t>
  </si>
  <si>
    <t xml:space="preserve">SWS-07</t>
  </si>
  <si>
    <t xml:space="preserve">SG.AC Access Control; SG.SC Smart Grid Information System and Communication Protection</t>
  </si>
  <si>
    <t xml:space="preserve">∙ NIST Cryptographic Module Validation Program (CMVP) (https://csrc.nist.gov)
∙ Wi-Fi Protected Access 3 (WPA3)</t>
  </si>
  <si>
    <t xml:space="preserve">CRY-08</t>
  </si>
  <si>
    <t xml:space="preserve">Public Key Infrastructure (PKI)</t>
  </si>
  <si>
    <t xml:space="preserve">Mechanisms exist to securely implement an internal Public Key Infrastructure (PKI) infrastructure or obtain PKI services from a reputable PKI service provider.</t>
  </si>
  <si>
    <t xml:space="preserve">Does the organization securely implement an internal Public Key Infrastructure (PKI) infrastructure or obtain PKI services from a reputable PKI service provider?</t>
  </si>
  <si>
    <t xml:space="preserve">IEC 62443-4-2:2019; NIST SP 800-82 R3 - Moderate OT Overlay; NIST SP 800-53B R5 - Moderate baseline; CSA IoT Security Controls Framework v2</t>
  </si>
  <si>
    <t xml:space="preserve">The organization implements and operates mechanisms to securely implement an internal Public Key Infrastructure (PKI) infrastructure or obtain PKI services from a reputable PKI service provider.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</si>
  <si>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requirements for key generation, distribution, storage, access and destruction are defined;
b. Ensuring a certificate policy for issuing public key certificates is defined;
c. Ensuring public key certificates are issued under an organization-defined certificate policy or public key certificates are obtained from an approved service provider;
d. Ensuring only approved trust anchors are included in trust stores or certificate stores managed by the organization;
e. Ensuring cryptographic keys are established whenever cryptography is employed;
f. Ensuring cryptographic keys are managed whenever cryptography is employed;
g. Managing AMI meter keys, device certificates and firmware signing keys through a documented key management lifecycle (generation, distribution, storage, rotation, revocation and destruction) with separation of duties;
h. Using approved algorithms and validated cryptographic modules for AMI head-end, backhaul and field communications where technically feasible, with documented compensating controls where legacy protocols cannot be encrypted; and
i.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</si>
  <si>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Microsoft Cloud PKI; Digitcert; Entrust; Vault.
In-scope requirement alignment: IEC 62443-4-2: CR 1.8 | NIST SP 800-82 R3 (Moderate OT overlay): SC-12, SC-17 | NIST SP 800-53B Moderate: SC-17 | CSA IoT SCF: CLS-01, IAM-10, SDV-01.
Validation: Annual conformity validation; evidence artifacts to be defined; PPTDF applicability: Technology.</t>
  </si>
  <si>
    <t xml:space="preserve">CR 1.8</t>
  </si>
  <si>
    <t xml:space="preserve">SC-12, SC-17</t>
  </si>
  <si>
    <t xml:space="preserve">SC-17</t>
  </si>
  <si>
    <t xml:space="preserve">CLS-01, IAM-10, SDV-01</t>
  </si>
  <si>
    <t xml:space="preserve">∙ Microsoft Cloud PKI (https://microsoft.com)
∙ Digitcert (https://digicert.com)
∙ Entrust (https://entrust.com)
∙ Vault (https://vaultproject.io)</t>
  </si>
  <si>
    <t xml:space="preserve">CRY-09</t>
  </si>
  <si>
    <t xml:space="preserve">Cryptographic Key Management</t>
  </si>
  <si>
    <t xml:space="preserve">Mechanisms exist to facilitate cryptographic key management controls to protect the confidentiality, integrity and availability of keys.</t>
  </si>
  <si>
    <t xml:space="preserve">Does the organization facilitate cryptographic key management controls to protect the confidentiality, integrity and availability of keys?</t>
  </si>
  <si>
    <t xml:space="preserve">E-CRY-01, E-CRY-02</t>
  </si>
  <si>
    <t xml:space="preserve">IEC 62443-2-1:2024; IEC 62443-4-2:2019; DOE Cybersecurity Capability Maturity Model; CSA IoT Security Controls Framework v2</t>
  </si>
  <si>
    <t xml:space="preserve">The organization shall manage cryptographic keys and certificates for enterprise, OT and AMI systems, including meter keys and firmware signing keys, through a documented lifecycle with separation of duties and protected storage that preserves operational availability.</t>
  </si>
  <si>
    <t xml:space="preserve">The organization implements and operates mechanisms to facilitate cryptographic key management controls to protect the confidentiality, integrity and availability of keys.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</si>
  <si>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requirements for key generation, distribution, storage, access, and destruction are defined;
b. Ensuring protected storage for cryptographic keys is provided using organization-defined criteria;
c. Ensuring cryptographic keys are established in the system in accordance with organization-defined key management requirements;
d. Ensuring cryptographic keys are managed in the system in accordance with organization-defined key management requirements;
e. Managing AMI meter keys, device certificates and firmware signing keys through a documented lifecycle (generation, distribution, storage, rotation, revocation and destruction) with separation of duties and hardware-protected storage; and
f. Maintaining an inventory of cryptographic keys and certificates for OT and AMI with expiry tracking and rotation plans.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</si>
  <si>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Cryptographic governance program.
In-scope requirement alignment: IEC 62443-2-1: DATA 1.6 | IEC 62443-4-2: CR 1.9(d), CR 1.9(e), CR 1.9(f) | DOE C2M2: ARCHITECTURE-5e | CSA IoT SCF: CLS-01, IAM-08, IAM-10, IAM-11, IAM-12, IAM-13, IAM-14, IAM-15, IAM-16, SDV-01, SWS-10.
Validation: Annual conformity validation; evidence artifacts E-CRY-01, E-CRY-02; PPTDF applicability: Technology.</t>
  </si>
  <si>
    <t xml:space="preserve">DATA 1.6</t>
  </si>
  <si>
    <t xml:space="preserve">CR 1.9(d), CR 1.9(e), CR 1.9(f)</t>
  </si>
  <si>
    <t xml:space="preserve">SC-28(03)</t>
  </si>
  <si>
    <t xml:space="preserve">ARCHITECTURE-5e</t>
  </si>
  <si>
    <t xml:space="preserve">CLS-01, IAM-08, IAM-10, IAM-11, IAM-12, IAM-13, IAM-14, IAM-15, IAM-16, SDV-01, SWS-10</t>
  </si>
  <si>
    <t xml:space="preserve">∙ Cryptographic governance program</t>
  </si>
  <si>
    <t xml:space="preserve">CRY-09.1</t>
  </si>
  <si>
    <t xml:space="preserve">Symmetric Keys</t>
  </si>
  <si>
    <t xml:space="preserve">Mechanisms exist to facilitate the production and management of symmetric cryptographic keys using Federal Information Processing Standards (FIPS)-compliant key management technology and processes.</t>
  </si>
  <si>
    <t xml:space="preserve">Does the organization facilitate the production and management of symmetric cryptographic keys using Federal Information Processing Standards (FIPS)-compliant key management technology and processes?</t>
  </si>
  <si>
    <t xml:space="preserve">The organization implements and operates mechanisms to facilitate the production and management of symmetric cryptographic keys using Federal Information Processing Standards (FIPS)-compliant key management technology and processes.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</si>
  <si>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symmetric cryptographic keys are produced using organization-defined values key management technology and processes;
b. Ensuring symmetric cryptographic keys are controlled using organization-defined values for key management technology and processes;
c. Ensuring symmetric cryptographic keys are distributed using organization-defined values key management technology and processes;
d. Managing AMI meter keys, device certificates and firmware signing keys through a documented key management lifecycle (generation, distribution, storage, rotation, revocation and destruction) with separation of duties;
e. Using approved algorithms and validated cryptographic modules for AMI head-end, backhaul and field communications where technically feasible, with documented compensating controls where legacy protocols cannot be encrypted; and
f.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</si>
  <si>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Cryptographic governance program.
In-scope requirement alignment: IEC 62443-4-2: CR 1.14, CR 1.14(a), CR 1.14(b), CR 1.14(c), CR 1.14(d).
Validation: Annual conformity validation; evidence artifacts E-CRY-01; PPTDF applicability: Technology.</t>
  </si>
  <si>
    <t xml:space="preserve">CR 1.14, CR 1.14(a), CR 1.14(b), CR 1.14(c), CR 1.14(d)</t>
  </si>
  <si>
    <t xml:space="preserve">SC-12(02)</t>
  </si>
  <si>
    <t xml:space="preserve">CRY-09.3</t>
  </si>
  <si>
    <t xml:space="preserve">Cryptographic Key Loss or Change</t>
  </si>
  <si>
    <t xml:space="preserve">Mechanisms exist to ensure the availability of information in the event of the loss of cryptographic keys by individual users.</t>
  </si>
  <si>
    <t xml:space="preserve">Does the organization ensure the availability of information in the event of the loss of cryptographic keys by individual users?</t>
  </si>
  <si>
    <t xml:space="preserve">The organization implements and operates mechanisms to ensure the availability of information in the event of the loss of cryptographic keys by individual users.
Within the OT and AMI environment, this objective protects AMI and OT communications and stored data, and governs the lifecycle of meter keys, device certificates and firmware signing keys.</t>
  </si>
  <si>
    <t xml:space="preserve">All workforce members, including OT personnel, contractors and vendors with access to OT or AMI assets, are responsible for:
a. Ensuring information availability is maintained in the event of the loss of cryptographic keys by users;
b. Managing AMI meter keys, device certificates and firmware signing keys through a documented key management lifecycle (generation, distribution, storage, rotation, revocation and destruction) with separation of duties;
c. Using approved algorithms and validated cryptographic modules for AMI head-end, backhaul and field communications where technically feasible, with documented compensating controls where legacy protocols cannot be encrypted; and
d.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</si>
  <si>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Cryptographic governance program.
In-scope requirement alignment: CSA IoT SCF: IAM-10, IAM-11, IAM-13.
Validation: Annual conformity validation; evidence artifacts to be defined; PPTDF applicability: Technology.</t>
  </si>
  <si>
    <t xml:space="preserve">SC-12(01)</t>
  </si>
  <si>
    <t xml:space="preserve">IAM-10, IAM-11, IAM-13</t>
  </si>
  <si>
    <t xml:space="preserve">CRY-10</t>
  </si>
  <si>
    <t xml:space="preserve">Transmission of Cybersecurity &amp; Data Protection Attributes</t>
  </si>
  <si>
    <t xml:space="preserve">Mechanisms exist to associate Technology Assets, Applications and/or Services (TAAS) security attributes with information exchanged between TAAS.</t>
  </si>
  <si>
    <t xml:space="preserve">Does the organization associate Technology Assets, Applications and/or Services (TAAS) security attributes with information exchanged between TAAS?</t>
  </si>
  <si>
    <t xml:space="preserve">The organization implements and operates mechanisms to associate Technology Assets, Applications and/or Services (TAAS) security attributes with information exchanged between TAAS.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</si>
  <si>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cybersecurity / data privacy attributes associated with information exchanged are defined;
b. Ensuring cybersecurity / data privacy attributes are associated with information exchanged between systems;
c. Ensuring security /privacy attributes are associated with information exchanged between system components;
d. Ensuring the integrity of transmitted cybersecurity / data privacy attributes is verified;
e. Managing AMI meter keys, device certificates and firmware signing keys through a documented key management lifecycle (generation, distribution, storage, rotation, revocation and destruction) with separation of duties;
f. Using approved algorithms and validated cryptographic modules for AMI head-end, backhaul and field communications where technically feasible, with documented compensating controls where legacy protocols cannot be encrypted; and
g.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</si>
  <si>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Cryptographic governance program.
In-scope requirement alignment: NIST SP 800-53B Privacy: SC-16(01).
Validation: Annual conformity validation; evidence artifacts to be defined; PPTDF applicability: Technology.</t>
  </si>
  <si>
    <t xml:space="preserve">SC-16, SC-16(01)</t>
  </si>
  <si>
    <t xml:space="preserve">SC-16(01)</t>
  </si>
  <si>
    <t xml:space="preserve">DCH-01</t>
  </si>
  <si>
    <t xml:space="preserve">Data Protection</t>
  </si>
  <si>
    <t xml:space="preserve">Data Classification &amp; Handling</t>
  </si>
  <si>
    <t xml:space="preserve">DCH</t>
  </si>
  <si>
    <t xml:space="preserve">Mechanisms exist to facilitate the implementation of data protection controls.</t>
  </si>
  <si>
    <t xml:space="preserve">Does the organization facilitate the implementation of data protection controls?</t>
  </si>
  <si>
    <t xml:space="preserve">IEC 62443-2-1:2024; NIST SP 800-82 R3 - Moderate OT Overlay; NERC CIP; CISA Cross-Sector Cybersecurity Performance Goals; NIST Cybersecurity Framework 2.0; CSA IoT Security Controls Framework v2; NIST SP 800-161 R1 - C-SCRM Baseline; NIST Privacy Framework 1.0; NIST SP 800-53B R5 - Privacy baseline</t>
  </si>
  <si>
    <t xml:space="preserve">Data Governance Lead</t>
  </si>
  <si>
    <t xml:space="preserve">Meter Data Management (MDM) Owner</t>
  </si>
  <si>
    <t xml:space="preserve">MDM provider; data analytics / billing service providers</t>
  </si>
  <si>
    <t xml:space="preserve">The organization shall classify and handle data according to its sensitivity and criticality, including Customer Energy Usage Data (CEUD), meter data, control system configurations, cryptographic material and network diagrams. Data handling practices shall prevent unauthorized disclosure or modification across enterprise, OT and AMI environments and shall control removable media and portable devices used in field and plant operations.</t>
  </si>
  <si>
    <t xml:space="preserve">The organization develops, implements and governs processes and documentation to facilitate the implementation of data protection controls, as well as associated standards, controls and procedures, across enterprise IT, Operational Technology (OT) and Advanced Metering Infrastructure (AMI) environments.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</si>
  <si>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paper media containing sensitive / regulated data is physically controlled;
b. Ensuring digital media containing sensitive / regulated data is physically controlled;
c. Ensuring data classification &amp; handling management operations are conducted according to documented policies, standards, procedures and/or other organizational directives;
d. Ensuring adequate resources (e.g., people, processes, technologies, data and/or facilities) are provided to support data classification &amp; handling management operations;
e. Ensuring responsibility and authority for the performance of data classification &amp; handling management-related activities are assigned to designated personnel;
f. Ensuring paper media containing sensitive / regulated data is securely stored;
g. Ensuring digital media containing sensitive / regulated data is securely stored;
h. Ensuring personnel performing data classification &amp; handling management-related activities have the skills and knowledge needed to perform their assigned duties;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</si>
  <si>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Logical Access Control (LAC); Physical Access Control (PAC); Data governance program; Chief Data Officer (CDO).
In-scope requirement alignment: IEC 62443-2-1: DATA 1.2 | NIST SP 800-82 R3 (Moderate OT overlay): MP-01 | NERC CIP: CIP-003-8 1.1.8, CIP-011-3 1.2 | CISA CPG: 2.L | NIST CSF 2.0: ID.AM-08, PR.DS, PR.DS-01, PR.DS-02, PR.DS-10 | NIST SP 800-161 R1 C-SCRM: MP-1 | CSA IoT SCF: LGL-08 | NIST Privacy Framework: ID.IM-P, GV.PO-P1, CT.DM-P1, CT.DM-P2, CT.DM-P3, CT.DM-P4, PR.DS-P | NIST SP 800-53B Privacy: MP-01.
Validation: Annual conformity validation; evidence artifacts E-CRY-01; PPTDF applicability: Data.</t>
  </si>
  <si>
    <t xml:space="preserve">DATA 1.2</t>
  </si>
  <si>
    <t xml:space="preserve">MP-01</t>
  </si>
  <si>
    <t xml:space="preserve">CIP-003-8 1.1.8, CIP-011-3 1.2</t>
  </si>
  <si>
    <t xml:space="preserve">2.L</t>
  </si>
  <si>
    <t xml:space="preserve">ID.AM-08, PR.DS, PR.DS-01, PR.DS-02, PR.DS-10</t>
  </si>
  <si>
    <t xml:space="preserve">MP-1</t>
  </si>
  <si>
    <t xml:space="preserve">LGL-08</t>
  </si>
  <si>
    <t xml:space="preserve">ID.IM-P, GV.PO-P1, CT.DM-P1, CT.DM-P2, CT.DM-P3, CT.DM-P4, PR.DS-P</t>
  </si>
  <si>
    <t xml:space="preserve">SG.MP Media Protection</t>
  </si>
  <si>
    <t xml:space="preserve">5.9, 5.10, 5.12, 5.33, 7.10, 8.12</t>
  </si>
  <si>
    <t xml:space="preserve">∙ Logical Access Control (LAC)
∙ Physical Access Control (PAC)
∙ Data governance program
∙ Chief Data Officer (CDO)</t>
  </si>
  <si>
    <t xml:space="preserve">DCH-01.1</t>
  </si>
  <si>
    <t xml:space="preserve">Data Stewardship</t>
  </si>
  <si>
    <t xml:space="preserve">Mechanisms exist to ensure data stewardship is assigned, documented and communicated.</t>
  </si>
  <si>
    <t xml:space="preserve">Does the organization ensure data stewardship is assigned, documented and communicated?</t>
  </si>
  <si>
    <t xml:space="preserve">E-DCH-02, E-DCH-09</t>
  </si>
  <si>
    <t xml:space="preserve">NIST SP 800-82 R3 - Moderate OT Overlay; NIST Cybersecurity Framework 2.0; NIST SP 800-53B R5 - Privacy baseline</t>
  </si>
  <si>
    <t xml:space="preserve">The organization implements and operates mechanisms to ensure data stewardship is assigned, documented and communicated.
Within the OT and AMI environment, this objective covers meter data, customer energy usage data, OT configurations and engineering documentation, and controls removable media and portable devices used with OT and AMI assets.</t>
  </si>
  <si>
    <t xml:space="preserve">The Information Risk Manager, in coordination with OT Engineering, is responsible for:
a. Ensuring organizational data ownership requirements are defined;
b. Ensuring data ownership is formally assigned to an individual through defined roles and responsibilities;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</si>
  <si>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Assigned roles &amp; responsibilities.
In-scope requirement alignment: NIST SP 800-82 R3 (Moderate OT overlay): SA-04(12) | NIST CSF 2.0: ID.AM-08, PR.DS | NIST SP 800-53B Privacy: SA-04(12).
Validation: Annual conformity validation; evidence artifacts E-DCH-02, E-DCH-09; PPTDF applicability: Data.</t>
  </si>
  <si>
    <t xml:space="preserve">ID.AM-08, PR.DS</t>
  </si>
  <si>
    <t xml:space="preserve">∙ Assigned roles &amp; responsibilities</t>
  </si>
  <si>
    <t xml:space="preserve">DCH-01.2</t>
  </si>
  <si>
    <t xml:space="preserve">Sensitive / Regulated Data Protection</t>
  </si>
  <si>
    <t xml:space="preserve">Mechanisms exist to protect sensitive and/or regulated data wherever it is processed and/or stored.</t>
  </si>
  <si>
    <t xml:space="preserve">Does the organization protect sensitive and/or regulated data wherever it is processed and/or stored?</t>
  </si>
  <si>
    <t xml:space="preserve">E-CRY-01, E-DCH-02, E-DCH-09</t>
  </si>
  <si>
    <t xml:space="preserve">IEC 62443-2-1:2024; CISA Cross-Sector Cybersecurity Performance Goals; NIST Cybersecurity Framework 2.0; NIST Privacy Framework 1.0</t>
  </si>
  <si>
    <t xml:space="preserve">The organization implements and operates mechanisms to protect sensitive and/or regulated data wherever it is processed and/or stored.
Within the OT and AMI environment, this objective covers meter data, customer energy usage data, OT configurations and engineering documentation, and controls removable media and portable devices used with OT and AMI assets.</t>
  </si>
  <si>
    <t xml:space="preserve">The Managed Security Service Provider (MSSP), under the oversight of the Security Operations function and with OT visibility requirements, is responsible for:
a. Ensuring sensitive / regulated data inventories exist;
b. Ensuring protection mechanisms are defined for each type of sensitive / regulated data;
c. Ensuring organization-defined mechanisms protect sensitive / regulated data wherever it is stored;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</si>
  <si>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Logical Access Control (LAC); Physical Access Control (PAC); Data governance program.
In-scope requirement alignment: IEC 62443-2-1: DATA 1.2 | CISA CPG: 2.L | NIST CSF 2.0: PR.DS | NIST Privacy Framework: CT.DM-P1, CT.DM-P2.
Validation: Annual conformity validation; evidence artifacts E-CRY-01, E-DCH-02, E-DCH-09; PPTDF applicability: Data.</t>
  </si>
  <si>
    <t xml:space="preserve">PR.DS</t>
  </si>
  <si>
    <t xml:space="preserve">CT.DM-P1, CT.DM-P2</t>
  </si>
  <si>
    <t xml:space="preserve">∙ Logical Access Control (LAC)
∙ Physical Access Control (PAC)
∙ Data governance program</t>
  </si>
  <si>
    <t xml:space="preserve">DCH-01.3</t>
  </si>
  <si>
    <t xml:space="preserve">Sensitive / Regulated Media Records</t>
  </si>
  <si>
    <t xml:space="preserve">Mechanisms exist to ensure media records for sensitive and/or regulated data contain sufficient information to determine the potential impact in the event of a data loss incident.</t>
  </si>
  <si>
    <t xml:space="preserve">Does the organization ensure media records for sensitive and/or regulated data contain sufficient information to determine the potential impact in the event of a data loss incident?</t>
  </si>
  <si>
    <t xml:space="preserve">E-AST-08</t>
  </si>
  <si>
    <t xml:space="preserve">The organization implements and operates mechanisms to ensure media records for sensitive and/or regulated data contain sufficient information to determine the potential impact in the event of a data loss incident.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</si>
  <si>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data stewards document the potential impact in the event of a data loss incident;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</si>
  <si>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In-scope requirement alignment: NIST CSF 2.0: PR.DS.
Validation: Annual conformity validation; evidence artifacts E-AST-08; PPTDF applicability: Data.</t>
  </si>
  <si>
    <t xml:space="preserve">∙ Data classification program
∙ Metadata tagging</t>
  </si>
  <si>
    <t xml:space="preserve">DCH-01.4</t>
  </si>
  <si>
    <t xml:space="preserve">Defining Access Authorizations for Sensitive / Regulated Data</t>
  </si>
  <si>
    <t xml:space="preserve">Mechanisms exist to explicitly define authorizations for specific individuals and/or roles for logical and /or physical access to sensitive and/or regulated data.</t>
  </si>
  <si>
    <t xml:space="preserve">Does the organization explicitly define authorizations for specific individuals and/or roles for logical and /or physical access to sensitive and/or regulated data?</t>
  </si>
  <si>
    <t xml:space="preserve">E-DCH-02, E-DCH-08</t>
  </si>
  <si>
    <t xml:space="preserve">CISA Cross-Sector Cybersecurity Performance Goals; NIST Cybersecurity Framework 2.0</t>
  </si>
  <si>
    <t xml:space="preserve">The organization implements and operates mechanisms to explicitly define authorizations for specific individuals and/or roles for logical and /or physical access to sensitive and/or regulated data.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</si>
  <si>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specific individuals and/or roles for logical and /or physical access to sensitive / regulated data are defined;
b. Ensuring only authorized individuals are provided logical and /or physical access to sensitive / regulated data;
c. Ensuring the system security plan is protected from unauthorized disclosure;
d. Ensuring the SCRM plan is protected from unauthorized disclosure;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</si>
  <si>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Logical Access Control (LAC); Physical Access Control (PAC); Data governance program.
In-scope requirement alignment: CISA CPG: 2.L | NIST CSF 2.0: PR.DS.
Validation: Annual conformity validation; evidence artifacts E-DCH-02, E-DCH-08; PPTDF applicability: Process.</t>
  </si>
  <si>
    <t xml:space="preserve">NIST Tenet 3, NIST Tenet 4</t>
  </si>
  <si>
    <t xml:space="preserve">DCH-02</t>
  </si>
  <si>
    <t xml:space="preserve">Data &amp; Asset Classification</t>
  </si>
  <si>
    <t xml:space="preserve">Mechanisms exist to ensure data and assets are categorized in accordance with applicable statutory, regulatory and contractual requirements.</t>
  </si>
  <si>
    <t xml:space="preserve">Does the organization ensure data and assets are categorized in accordance with applicable statutory, regulatory and contractual requirements?</t>
  </si>
  <si>
    <t xml:space="preserve">E-DCH-01, E-DCH-02</t>
  </si>
  <si>
    <t xml:space="preserve">IEC 62443-2-1:2024; CISA Cross-Sector Cybersecurity Performance Goals; NIST Cybersecurity Framework 2.0; CSA IoT Security Controls Framework v2; ANSI/ISA-62443-3-2:2020</t>
  </si>
  <si>
    <t xml:space="preserve">The organization implements and operates mechanisms to ensure data and assets are categorized in accordance with applicable statutory, regulatory and contractual requirements.
Within the OT and AMI environment, this objective covers meter data, customer energy usage data, OT configurations and engineering documentation, and controls removable media and portable devices used with OT and AMI assets.</t>
  </si>
  <si>
    <t xml:space="preserve">The Information Risk Manager, in coordination with OT Engineering, is responsible for:
a. Ensuring a data classification scheme is defined that covers reasonable data types to address the organization's operational needs;
b. Ensuring data and assets are categorized in accordance with the data classification scheme that addresses applicable statutory, regulatory and contractual requirements;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</si>
  <si>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IT Asset Management (ITAM) program; Data governance program.
In-scope requirement alignment: IEC 62443-2-1: DATA 1.1, DATA 1.2 | CISA CPG: 2.L | NIST CSF 2.0: ID.AM-05, PR.DS | CSA IoT SCF: DAT-01, GVN-06 | ISA/IEC 62443-3-2: ZCR 5.13.
Validation: Semi-Annual conformity validation; evidence artifacts E-DCH-01, E-DCH-02; PPTDF applicability: Data.</t>
  </si>
  <si>
    <t xml:space="preserve">DATA 1.1, DATA 1.2</t>
  </si>
  <si>
    <t xml:space="preserve">ZCR 5.13</t>
  </si>
  <si>
    <t xml:space="preserve">ID.AM-05, PR.DS</t>
  </si>
  <si>
    <t xml:space="preserve">DAT-01, GVN-06</t>
  </si>
  <si>
    <t xml:space="preserve">5.9, 5.12</t>
  </si>
  <si>
    <t xml:space="preserve">∙ Data classification program
∙ IT Asset Management (ITAM) program
∙ Data governance program</t>
  </si>
  <si>
    <t xml:space="preserve">DCH-02.1</t>
  </si>
  <si>
    <t xml:space="preserve">Highest Classification Level</t>
  </si>
  <si>
    <t xml:space="preserve">Mechanisms exist to ensure that Technology Assets, Applications and/or Services (TAAS) are classified according to the highest level of data sensitivity that is stored, transmitted and/or processed.</t>
  </si>
  <si>
    <t xml:space="preserve">Does the organization ensure that Technology Assets, Applications and/or Services (TAAS) are classified according to the highest level of data sensitivity that is stored, transmitted and/or processed?</t>
  </si>
  <si>
    <t xml:space="preserve">The organization implements and operates mechanisms to ensure that Technology Assets, Applications and/or Services (TAAS) are classified according to the highest level of data sensitivity that is stored, transmitted and/or processed.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</si>
  <si>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data stewards formally categorize systems, applications and services in a System Security &amp; Privacy Plan (SSPP) or similar documentation, according to the highest level of data sensitivity that is stored, transmitted and/or processed;
b. Ensuring a validation process exists to ensure that systems, applications and services are classified according to the highest level of data sensitivity that is stored, transmitted and/or processed;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</si>
  <si>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IT Asset Management (ITAM) program; Data governance program.
In-scope requirement alignment: CSA IoT SCF: GVN-06.
Validation: Annual conformity validation; evidence artifacts to be defined; PPTDF applicability: Data.</t>
  </si>
  <si>
    <t xml:space="preserve">GVN-06</t>
  </si>
  <si>
    <t xml:space="preserve">DCH-03</t>
  </si>
  <si>
    <t xml:space="preserve">Media Access</t>
  </si>
  <si>
    <t xml:space="preserve">Mechanisms exist to control and restrict access to digital and non-digital media to authorized individuals.</t>
  </si>
  <si>
    <t xml:space="preserve">Does the organization control and restrict access to digital and non-digital media to authorized individuals?</t>
  </si>
  <si>
    <t xml:space="preserve">E-IAM-02</t>
  </si>
  <si>
    <t xml:space="preserve">NIST SP 800-82 R3 - Moderate OT Overlay; CISA Cross-Sector Cybersecurity Performance Goals; NIST Cybersecurity Framework 2.0; NIST SP 800-53B R5 - Privacy baseline</t>
  </si>
  <si>
    <t xml:space="preserve">The organization implements and operates mechanisms to control and restrict access to digital and non-digital media to authorized individuals.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</si>
  <si>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access to sensitive / regulated data on system media is restricted to authorized personnel or roles;
b. Ensuring access to types of non-digital media is restricted to personnel or roles;
c. Ensuring types of digital media to which access is restricted are defined;
d. Ensuring personnel or roles authorized to access digital media is/are defined;
e. Ensuring types of non-digital media to which access is restricted are defined;
f. Ensuring personnel or roles authorized to access non-digital media is/are defined;
g. Classifying Customer Energy Usage Data, meter data, OT configurations, cryptographic material and network/zone diagrams and applying handling requirements accordingly; and
h.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</si>
  <si>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Logical Access Control (LAC); Physical Access Control (PAC); Data governance program.
In-scope requirement alignment: NIST SP 800-82 R3 (Moderate OT overlay): MP-02 | CISA CPG: 2.L | NIST CSF 2.0: PR.DS | NIST SP 800-53B Privacy: MP-02.
Validation: Annual conformity validation; evidence artifacts E-IAM-02; PPTDF applicability: Data.</t>
  </si>
  <si>
    <t xml:space="preserve">MP-02</t>
  </si>
  <si>
    <t xml:space="preserve">7.10</t>
  </si>
  <si>
    <t xml:space="preserve">DCH-04</t>
  </si>
  <si>
    <t xml:space="preserve">Media Marking</t>
  </si>
  <si>
    <t xml:space="preserve">Mechanisms exist to mark media in accordance with data protection requirements so that personnel are alerted to distribution limitations, handling caveats and applicable security requirements.</t>
  </si>
  <si>
    <t xml:space="preserve">Does the organization mark media in accordance with data protection requirements so that personnel are alerted to distribution limitations, handling caveats and applicable security requirements?</t>
  </si>
  <si>
    <t xml:space="preserve">The organization implements and operates mechanisms to mark media in accordance with data protection requirements so that personnel are alerted to distribution limitations, handling caveats and applicable security requirements.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</si>
  <si>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types of media exempt from marking when remaining in controlled areas are defined;
b. Ensuring media is marked with applicable sensitive / regulated data markings;
c. Ensuring media is marked to indicate distribution limitations, handling caveats and applicable security markings (if any) of the information;
d. Ensuring controlled areas where media is exempt from marking are defined;
e. Ensuring types of media exempted from marking remain within controlled areas;
f. Ensuring system media that contain sensitive / regulated data are marked to indicate distribution limitations;
g. Ensuring system media that contain sensitive / regulated data are marked to indicate handling caveats;
h. Ensuring system media that contain sensitive / regulated data are marked to indicate applicable sensitive / regulated data markings;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</si>
  <si>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IT Asset Management (ITAM) program; Data governance program.
In-scope requirement alignment: NIST SP 800-82 R3 (Moderate OT overlay): MP-03 | NIST SP 800-53B Moderate: MP-03 | NIST SP 800-53B Privacy: MP-03.
Validation: Annual conformity validation; evidence artifacts to be defined; PPTDF applicability: Data.</t>
  </si>
  <si>
    <t xml:space="preserve">MP-03</t>
  </si>
  <si>
    <t xml:space="preserve">5.10, 5.13</t>
  </si>
  <si>
    <t xml:space="preserve">∙ Data classification program
∙ Metadata tagging
∙ IT Asset Management (ITAM) program
∙ Data governance program</t>
  </si>
  <si>
    <t xml:space="preserve">DCH-04.1</t>
  </si>
  <si>
    <t xml:space="preserve">Automated Marking</t>
  </si>
  <si>
    <t xml:space="preserve">Automated mechanisms exist to mark physical media and digital files to indicate the distribution limitations, handling requirements and applicable security markings (if any) of the information to aid Data Loss Prevention (DLP) technologies.</t>
  </si>
  <si>
    <t xml:space="preserve">Does the organization use automated mechanisms to mark physical media and digital files to indicate the distribution limitations, handling requirements and applicable security markings (if any) of the information to aid Data Loss Prevention (DLP) technologies?</t>
  </si>
  <si>
    <t xml:space="preserve">The organization implements and operates automated mechanisms to mark physical media and digital files to indicate the distribution limitations, handling requirements and applicable security markings (if any) of the information to aid Data Loss Prevention (DLP) technologies.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</si>
  <si>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automated mechanisms mark media and system output to indicate the distribution limitations, handling requirements and applicable security markings (if any) of the information to enable the use of Data Loss Prevention (DLP) and similar automated data protection technologies;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</si>
  <si>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IT Asset Management (ITAM) program; Data governance program.
In-scope requirement alignment: NIST SP 800-82 R3 (Moderate OT overlay): MP-03 | NIST SP 800-53B Moderate: MP-03 | NIST SP 800-53B Privacy: MP-03.
Validation: Quarterly conformity validation; evidence artifacts to be defined; PPTDF applicability: Technology.</t>
  </si>
  <si>
    <t xml:space="preserve">DCH-05</t>
  </si>
  <si>
    <t xml:space="preserve">Cybersecurity &amp; Data Protection Attributes</t>
  </si>
  <si>
    <t xml:space="preserve">Mechanisms exist to bind cybersecurity and data protection attributes to information as it is stored, transmitted and processed.</t>
  </si>
  <si>
    <t xml:space="preserve">Does the organization bind cybersecurity and data protection attributes to information as it is stored, transmitted and processed?</t>
  </si>
  <si>
    <t xml:space="preserve">CSA IoT Security Controls Framework v2; NIST Privacy Framework 1.0</t>
  </si>
  <si>
    <t xml:space="preserve">The organization implements and operates mechanisms to bind cybersecurity and data protection attributes to information as it is stored, transmitted and processed.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</si>
  <si>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types of security / privacy attributes associated with cybersecurity attribute values for information in storage, in process, and/or in transmission are defined;
b. Ensuring the means to associate organization-defined types of security / privacy attributes with organization-defined security attribute values for information in storage, in process, and/or in transmission are provided;
c. Ensuring the frequency at which to review cybersecurity / data privacy attributes for applicability is defined;
d. Ensuring attributes are reviewed according to an organization-defined frequency;
e. Ensuring attribute associations are made;
f. Ensuring changes to attributes are audited;
g. Ensuring attribute associations are retained with the information;
h. Classifying Customer Energy Usage Data, meter data, OT configurations, cryptographic material and network/zone diagrams and applying handling requirements accordingly; and
i.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</si>
  <si>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Data governance program.
In-scope requirement alignment: CSA IoT SCF: DAT-01 | NIST Privacy Framework: CT.DM-P7.
Validation: Annual conformity validation; evidence artifacts to be defined; PPTDF applicability: Technology.</t>
  </si>
  <si>
    <t xml:space="preserve">AC-16</t>
  </si>
  <si>
    <t xml:space="preserve">DAT-01</t>
  </si>
  <si>
    <t xml:space="preserve">CT.DM-P7</t>
  </si>
  <si>
    <t xml:space="preserve">SG.AC Access Control</t>
  </si>
  <si>
    <t xml:space="preserve">∙ Data classification program
∙ Metadata tagging
∙ Data governance program</t>
  </si>
  <si>
    <t xml:space="preserve">DCH-06</t>
  </si>
  <si>
    <t xml:space="preserve">Media Storage</t>
  </si>
  <si>
    <t xml:space="preserve">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</si>
  <si>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 xml:space="preserve">Does the organization: 
(1) Physically control and securely store digital and non-digital media within controlled areas using organization-defined security measures; and
(2) Protect system media until the media are destroyed or sanitized using approved equipment, techniques and procedures?</t>
  </si>
  <si>
    <t xml:space="preserve">E-DCH-02, E-DCH-13</t>
  </si>
  <si>
    <t xml:space="preserve">The organization ensures that Mechanisms exist to: (1) Physically control and securely store digital and non-digital media within controlled areas using organization-defined security measures; and (2) Protect system media until the media are destroyed or sanitized using approved equipment, techniques and procedures.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</si>
  <si>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types of digital media to be securely stored are defined;
b. Ensuring types of non-digital media to be securely stored are defined;
c. Ensuring controlled areas within which to securely store digital media are defined;
d. Ensuring controlled areas within which to securely store non-digital media are defined;
e. Ensuring types of digital media are securely stored within controlled areas;
f. Ensuring types of non-digital media are securely stored within controlled areas;
g. Ensuring system media types are protected until the media are destroyed or sanitized using approved equipment, techniques and procedures;
h. Ensuring system media that contain sensitive / regulated data are physically controlled;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</si>
  <si>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Physical Access Control (PAC); Data governance program.
In-scope requirement alignment: NIST SP 800-82 R3 (Moderate OT overlay): MP-04 | NIST CSF 2.0: ID.AM-07 | NIST SP 800-53B Moderate: MP-04.
Validation: Annual conformity validation; evidence artifacts E-DCH-02, E-DCH-13; PPTDF applicability: Data.</t>
  </si>
  <si>
    <t xml:space="preserve">MP-04</t>
  </si>
  <si>
    <t xml:space="preserve">ID.AM-07</t>
  </si>
  <si>
    <t xml:space="preserve">∙ Physical Access Control (PAC)
∙ Data governance program</t>
  </si>
  <si>
    <t xml:space="preserve">DCH-06.2</t>
  </si>
  <si>
    <t xml:space="preserve">Sensitive Data Inventories</t>
  </si>
  <si>
    <t xml:space="preserve">Mechanisms exist to maintain inventory logs of all sensitive media and conduct sensitive media inventories at least annually.</t>
  </si>
  <si>
    <t xml:space="preserve">Does the organization maintain inventory logs of all sensitive media and conduct sensitive media inventories at least annually?</t>
  </si>
  <si>
    <t xml:space="preserve">The organization implements and operates mechanisms to maintain inventory logs of all sensitive media and conduct sensitive media inventories at least annually.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</si>
  <si>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an inventory is maintained for all sensitive / regulated data;
b. Ensuring recurring inventories keep sensitive / regulated data inventories current and accurate;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</si>
  <si>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Sensitive data inventories; Data governance program.
In-scope requirement alignment: NIST CSF 2.0: ID.AM-07 | NIST Privacy Framework: ID.IM-P3.
Validation: Annual conformity validation; evidence artifacts E-AST-08; PPTDF applicability: Data.</t>
  </si>
  <si>
    <t xml:space="preserve">ID.IM-P3</t>
  </si>
  <si>
    <t xml:space="preserve">∙ Data classification program
∙ Sensitive data inventories
∙ Data governance program</t>
  </si>
  <si>
    <t xml:space="preserve">DCH-06.3</t>
  </si>
  <si>
    <t xml:space="preserve">Periodic Scans for Sensitive / Regulated Data</t>
  </si>
  <si>
    <t xml:space="preserve">Mechanisms exist to periodically scan unstructured data sources for sensitive and/or regulated data or data requiring special protection measures by statutory, regulatory or contractual obligations.</t>
  </si>
  <si>
    <t xml:space="preserve">Does the organization periodically scan unstructured data sources for sensitive and/or regulated data or data requiring special protection measures by statutory, regulatory or contractual obligations?</t>
  </si>
  <si>
    <t xml:space="preserve">E-DCH-10</t>
  </si>
  <si>
    <t xml:space="preserve">The organization implements and operates mechanisms to periodically scan unstructured data sources for sensitive and/or regulated data or data requiring special protection measures by statutory, regulatory or contractual obligations.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</si>
  <si>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periodic scans of unstructured data sources are used to identify sensitive / regulated data, or data requiring special protection measures, per statutory, regulatory or contractual obligations;
b. Ensuring actions are taken to respond to the discovery of unauthorized sensitive / regulated data repositories are per the organization's Incident Response Plan (IRP), or similar documented procedures;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</si>
  <si>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Enterprise data governance platform (e.g., Collibra); DLP with automated classification; Data lifecycle management.
In-scope requirement alignment: NIST CSF 2.0: ID.AM-07.
Validation: Semi-Annual conformity validation; evidence artifacts E-DCH-10; PPTDF applicability: Technology.</t>
  </si>
  <si>
    <t xml:space="preserve">∙ Enterprise data governance platform (e.g., Collibra)
∙ DLP with automated classification
∙ Data lifecycle management</t>
  </si>
  <si>
    <t xml:space="preserve">DCH-07</t>
  </si>
  <si>
    <t xml:space="preserve">Media Transportation</t>
  </si>
  <si>
    <t xml:space="preserve">Mechanisms exist to protect and control digital and non-digital media during transport outside of controlled areas using appropriate security measures.</t>
  </si>
  <si>
    <t xml:space="preserve">Does the organization protect and control digital and non-digital media during transport outside of controlled areas using appropriate security measures?</t>
  </si>
  <si>
    <t xml:space="preserve">E-DCH-14</t>
  </si>
  <si>
    <t xml:space="preserve">The organization implements and operates mechanisms to protect and control digital and non-digital media during transport outside of controlled areas using appropriate security measures.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</si>
  <si>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access to media containing sensitive / regulated data is controlled;
b. Ensuring accountability for media containing sensitive / regulated data is maintained during transport outside of controlled areas;
c. Ensuring types of system media to protect and control during transport outside of controlled areas are defined;
d. Ensuring personnel authorized to conduct media transport activities is/are identified;
e. Ensuring activities associated with the transport of system media are restricted to identified authorized personnel;
f. Ensuring controls used to protect system media outside of controlled areas are defined;
g. Ensuring controls used to control system media outside of controlled areas are defined;
h. Ensuring system media that contain sensitive / regulated data are protected during transport outside of controlled areas;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</si>
  <si>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Assigned couriers.
In-scope requirement alignment: NIST SP 800-82 R3 (Moderate OT overlay): MP-05 | NIST SP 800-53B Moderate: MP-05.
Validation: Annual conformity validation; evidence artifacts E-DCH-14; PPTDF applicability: Data.</t>
  </si>
  <si>
    <t xml:space="preserve">MP-05</t>
  </si>
  <si>
    <t xml:space="preserve">5.14, 7.10</t>
  </si>
  <si>
    <t xml:space="preserve">∙ Assigned couriers</t>
  </si>
  <si>
    <t xml:space="preserve">DCH-07.2</t>
  </si>
  <si>
    <t xml:space="preserve">Encrypting Data In Storage Media</t>
  </si>
  <si>
    <t xml:space="preserve">Cryptographic mechanisms exist to protect the confidentiality and integrity of information stored on digital media during transport outside of controlled areas.</t>
  </si>
  <si>
    <t xml:space="preserve">Are cryptographic mechanisms utilized to protect the confidentiality and integrity of information stored on digital media during transport outside of controlled areas?</t>
  </si>
  <si>
    <t xml:space="preserve">The organization implements and operates cryptographic mechanisms to protect the confidentiality and integrity of information stored on digital media during transport outside of controlled areas.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</si>
  <si>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information requiring cryptographic protection is defined;
b. Ensuring system components or media requiring cryptographic protection is/are defined;
c. Ensuring cryptographic mechanisms are implemented to prevent unauthorized disclosure and/or modification of information at rest on organization-defined system components or media;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</si>
  <si>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Cryptographic governance program; Secure Baseline Configurations (SBC); NIST Cryptographic Module Validation Program (CMVP); Microsoft BitLocker.
In-scope requirement alignment: NIST SP 800-82 R3 (Moderate OT overlay): SC-28(01) | NIST SP 800-53B Moderate: SC-28(01) | NIST SP 800-53B Privacy: SC-28(01).
Validation: Annual conformity validation; evidence artifacts to be defined; PPTDF applicability: Data.</t>
  </si>
  <si>
    <t xml:space="preserve">∙ Cryptographic governance program
∙ Secure Baseline Configurations (SBC)
∙ NIST Cryptographic Module Validation Program (CMVP) (https://csrc.nist.gov)
∙ Microsoft BitLocker (https://microsoft.com)</t>
  </si>
  <si>
    <t xml:space="preserve">DCH-08</t>
  </si>
  <si>
    <t xml:space="preserve">Physical Media Disposal</t>
  </si>
  <si>
    <t xml:space="preserve">Mechanisms exist to securely dispose of media when it is no longer required, using formal procedures.</t>
  </si>
  <si>
    <t xml:space="preserve">Does the organization securely dispose of media when it is no longer required, using formal procedures?</t>
  </si>
  <si>
    <t xml:space="preserve">NIST SP 800-82 R3 - Moderate OT Overlay; CSA IoT Security Controls Framework v2; NIST SP 800-161 R1 - C-SCRM Baseline; NIST SP 800-53B R5 - Privacy baseline</t>
  </si>
  <si>
    <t xml:space="preserve">The organization implements and operates mechanisms to securely dispose of media when it is no longer required, using formal procedures.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</si>
  <si>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system media to be sanitized prior to disposal is defined;
b. Ensuring system media to be sanitized prior to release from organizational control is defined;
c. Ensuring system media to be sanitized prior to release for reuse is defined;
d. Ensuring sanitization techniques and procedures to be used for sanitization prior to disposal are defined;
e. Ensuring sanitization techniques and procedures to be used for sanitization prior to release from organizational control are defined;
f. Ensuring sanitization techniques and procedures to be used for sanitization prior to release for reuse are defined;
g. Ensuring system media is sanitized using sanitization techniques and procedures prior to disposal;
h. Ensuring system media is sanitized using sanitization techniques and procedures prior to release from organizational control;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</si>
  <si>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Shred-it; IronMountain; BitRaser; DBAN; DoD-strength data erasers.
In-scope requirement alignment: NIST SP 800-82 R3 (Moderate OT overlay): MP-06 | NIST SP 800-161 R1 C-SCRM: MP-6 | CSA IoT SCF: POL-04 | NIST SP 800-53B Privacy: MP-06.
Validation: Annual conformity validation; evidence artifacts E-AST-03; PPTDF applicability: Data.</t>
  </si>
  <si>
    <t xml:space="preserve">MP-06</t>
  </si>
  <si>
    <t xml:space="preserve">MP-6</t>
  </si>
  <si>
    <t xml:space="preserve">7.10, 8.10</t>
  </si>
  <si>
    <t xml:space="preserve">DCH-09</t>
  </si>
  <si>
    <t xml:space="preserve">System Media Sanitization</t>
  </si>
  <si>
    <t xml:space="preserve">Mechanisms exist to sanitize system media with the strength and integrity commensurate with the classification or sensitivity of the information prior to disposal, release out of organizational control or release for reuse.</t>
  </si>
  <si>
    <t xml:space="preserve">Does the organization sanitize system media with the strength and integrity commensurate with the classification or sensitivity of the information prior to disposal, release out of organizational control or release for reuse?</t>
  </si>
  <si>
    <t xml:space="preserve">E-AST-03, E-DCH-07</t>
  </si>
  <si>
    <t xml:space="preserve">IEC 62443-4-2:2019; NIST SP 800-82 R3 - Moderate OT Overlay; NERC CIP; DOE Cybersecurity Capability Maturity Model; NIST SP 800-161 R1 - C-SCRM Baseline; NIST Privacy Framework 1.0; NIST SP 800-53B R5 - Privacy baseline</t>
  </si>
  <si>
    <t xml:space="preserve">The organization implements and operates mechanisms to sanitize system media with the strength and integrity commensurate with the classification or sensitivity of the information prior to disposal, release out of organizational control or release for reuse.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</si>
  <si>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system media to be sanitized prior to disposal, release and/or reuse is defined;
b. Ensuring sanitization techniques and procedures to be used for sanitization prior to disposal, release and/or reuse are defined;
c. Ensuring system media is sanitized using sanitization techniques and procedures prior to disposal, release and/or reuse;
d. Ensuring system media containing sensitive/regulated data is sanitized or destroyed before disposal;
e. Ensuring system media containing sensitive/regulated data is sanitized before it is released for reuse;
f. Ensuring equipment containing sensitive / regulated data is sanitized prior to disposal, reuse, or release out of organizational control;
g. Ensuring sanitization mechanisms with strength and integrity commensurate with the security category or classification of the information are employed;
h. Ensuring circumstances requiring sanitization of portable storage devices are defined;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</si>
  <si>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Shred-it; IronMountain; BitRaser; DBAN; DoD-strength data erasers.
In-scope requirement alignment: IEC 62443-4-2: CR 4.2, CR 4.2(1), CR 4.2(2) | NIST SP 800-82 R3 (Moderate OT overlay): MP-06 | NERC CIP: CIP-011-3 2.1 | DOE C2M2: ASSET-2h | NIST SP 800-161 R1 C-SCRM: MP-6 | NIST Privacy Framework: CT.DM-P5 | NIST SP 800-53B Privacy: MP-06, MP-06(03).
Validation: Annual conformity validation; evidence artifacts E-AST-03, E-DCH-07; PPTDF applicability: Data.</t>
  </si>
  <si>
    <t xml:space="preserve">CR 4.2, CR 4.2(1), CR 4.2(2)</t>
  </si>
  <si>
    <t xml:space="preserve">MP-06, MP-06(03)</t>
  </si>
  <si>
    <t xml:space="preserve">CIP-011-3 2.1</t>
  </si>
  <si>
    <t xml:space="preserve">ASSET-2h</t>
  </si>
  <si>
    <t xml:space="preserve">CT.DM-P5</t>
  </si>
  <si>
    <t xml:space="preserve">8.10</t>
  </si>
  <si>
    <t xml:space="preserve">DCH-09.3</t>
  </si>
  <si>
    <t xml:space="preserve">Sanitization of Personal Data (PD)</t>
  </si>
  <si>
    <t xml:space="preserve">Mechanisms exist to facilitate the sanitization of Personal Data (PD).</t>
  </si>
  <si>
    <t xml:space="preserve">Does the organization facilitate the sanitization of Personal Data (PD)?</t>
  </si>
  <si>
    <t xml:space="preserve">The organization implements and operates mechanisms to facilitate the sanitization of Personal Data (PD).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</si>
  <si>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system media to be sanitized prior to disposal is defined;
b. Ensuring types of Personal Data (PD) to be sanitized prior to disposal are defined;
c. Ensuring sanitization techniques and procedures to be used for sanitization of Personal Data (PD) are defined;
d. Ensuring sanitization mechanisms with strength and integrity commensurate with the security category or classification of the information are employed for the sanitization of Personal Data;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</si>
  <si>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De-identifying sensitive Personal Data (sPD).
In-scope requirement alignment: NIST SP 800-82 R3 (Moderate OT overlay): MP-06 | NIST SP 800-161 R1 C-SCRM: MP-6 | NIST SP 800-53B Privacy: MP-06, MP-06(03).
Validation: Annual conformity validation; evidence artifacts to be defined; PPTDF applicability: Data.</t>
  </si>
  <si>
    <t xml:space="preserve">∙ De-identifying sensitive Personal Data (sPD)</t>
  </si>
  <si>
    <t xml:space="preserve">DCH-09.4</t>
  </si>
  <si>
    <t xml:space="preserve">First Time Use Sanitization</t>
  </si>
  <si>
    <t xml:space="preserve">Mechanisms exist to apply nondestructive sanitization techniques to portable storage devices prior to first use.</t>
  </si>
  <si>
    <t xml:space="preserve">Does the organization apply nondestructive sanitization techniques to portable storage devices prior to first use?</t>
  </si>
  <si>
    <t xml:space="preserve">The organization implements and operates mechanisms to apply nondestructive sanitization techniques to portable storage devices prior to first use.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</si>
  <si>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circumstances requiring sanitization of portable storage devices are defined;
b. Ensuring non-destructive sanitization techniques are applied to portable storage devices prior to connecting such devices to the system under circumstances;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</si>
  <si>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BitRaser; DBAN; DoD-strength data erasers.
In-scope requirement alignment: NIST SP 800-53B Privacy: MP-06(03).
Validation: Annual conformity validation; evidence artifacts to be defined; PPTDF applicability: Technology.</t>
  </si>
  <si>
    <t xml:space="preserve">MP-06(03)</t>
  </si>
  <si>
    <t xml:space="preserve">∙ BitRaser (https://bitraser.com)
∙ DBAN (https://dban.org)
∙ DoD-strength data erasers</t>
  </si>
  <si>
    <t xml:space="preserve">DCH-10</t>
  </si>
  <si>
    <t xml:space="preserve">Media Use</t>
  </si>
  <si>
    <t xml:space="preserve">Mechanisms exist to restrict the use of types of digital media on systems or system components.</t>
  </si>
  <si>
    <t xml:space="preserve">Does the organization restrict the use of types of digital media on systems or system components?</t>
  </si>
  <si>
    <t xml:space="preserve">The organization implements and operates mechanisms to restrict the use of types of digital media on systems or system components.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</si>
  <si>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the use of removable media on system components is controlled;
b. Ensuring organization-defined types of system media are restricted or prohibited;
c. Ensuring types of system media with usage restrictions or that are prohibited from use are defined;
d. Ensuring systems or system components on which the use of specific types of system media to be restricted or prohibited are defined;
e. Ensuring controls to restrict or prohibit the use of specific types of system media on systems or system components are defined;
f. Ensuring the use of types of system media is organization-defined criteria on systems or system components using controls;
g. Ensuring the use of portable storage devices in organizational systems is prohibited when such devices have no identifiable owner;
h. Classifying Customer Energy Usage Data, meter data, OT configurations, cryptographic material and network/zone diagrams and applying handling requirements accordingly; and
i.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</si>
  <si>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In-scope requirement alignment: NIST SP 800-82 R3 (Moderate OT overlay): MP-07 | NIST SP 800-53B Privacy: MP-07, SC-08(02).
Validation: Annual conformity validation; evidence artifacts to be defined; PPTDF applicability: Technology.</t>
  </si>
  <si>
    <t xml:space="preserve">MP-07, SC-08(02)</t>
  </si>
  <si>
    <t xml:space="preserve">MP-07</t>
  </si>
  <si>
    <t xml:space="preserve">SG.MP Media Protection; SG.SC Smart Grid Information System and Communication Protection</t>
  </si>
  <si>
    <t xml:space="preserve">DCH-10.2</t>
  </si>
  <si>
    <t xml:space="preserve">Prohibit Use Without Owner</t>
  </si>
  <si>
    <t xml:space="preserve">Mechanisms exist to prohibit the use of portable storage devices in organizational systems when such devices have no identifiable owner.</t>
  </si>
  <si>
    <t xml:space="preserve">Does the organization prohibit the use of portable storage devices in organizational systems when such devices have no identifiable owner?</t>
  </si>
  <si>
    <t xml:space="preserve">The organization implements and operates mechanisms to prohibit the use of portable storage devices in organizational systems when such devices have no identifiable owner.
Within the OT and AMI environment, this objective covers meter data, customer energy usage data, OT configurations and engineering documentation, and controls removable media and portable devices used with OT and AMI assets.</t>
  </si>
  <si>
    <t xml:space="preserve">IT Operations and OT Operations teams (asset custodians) are responsible for:
a. Ensuring the use of portable storage devices is prohibited when such devices have no identifiable owner;
b. Ensuring the use of removable system media without an identifiable owner is prohibited;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</si>
  <si>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Enterprise data governance platform (e.g., Collibra); DLP with automated classification; Data lifecycle management.
In-scope requirement alignment: NIST SP 800-82 R3 (Moderate OT overlay): MP-07 | NIST SP 800-53B Privacy: MP-07.
Validation: Annual conformity validation; evidence artifacts to be defined; PPTDF applicability: Technology.</t>
  </si>
  <si>
    <t xml:space="preserve">DCH-12</t>
  </si>
  <si>
    <t xml:space="preserve">Removable Media Security</t>
  </si>
  <si>
    <t xml:space="preserve">Mechanisms exist to restrict removable media in accordance with data handling and acceptable usage parameters.</t>
  </si>
  <si>
    <t xml:space="preserve">Does the organization restrict removable media in accordance with data handling and acceptable usage parameters?</t>
  </si>
  <si>
    <t xml:space="preserve">IEC 62443-2-1:2024; CISA Cross-Sector Cybersecurity Performance Goals; DOE Cybersecurity Capability Maturity Model; NIST Privacy Framework 1.0; ANSI/ISA-62443-3-2:2020</t>
  </si>
  <si>
    <t xml:space="preserve">The organization shall control the use of removable media and portable storage with OT and AMI assets so that media cannot introduce malicious code or exfiltrate control system data.</t>
  </si>
  <si>
    <t xml:space="preserve">The organization implements and operates mechanisms to restrict removable media in accordance with data handling and acceptable usage parameters.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</si>
  <si>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removable media restrictions are in accordance with data handling and acceptable usage requirements; and
b. Permitting only authorized, scanned removable media with OT and AMI assets and tracking media used for maintenance and firmware transfer.</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</si>
  <si>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Data classification program; IT Asset Management (ITAM) program; Data governance program.
In-scope requirement alignment: IEC 62443-2-1: COMP 1.2, COMP 2.1 | CISA CPG: 2.V | DOE C2M2: ARCHITECTURE-3g | NIST Privacy Framework: PR.PT-P1 | ISA/IEC 62443-3-2: ZCR 3.4.
Validation: Annual conformity validation; evidence artifacts to be defined; PPTDF applicability: Data.</t>
  </si>
  <si>
    <t xml:space="preserve">COMP 1.2, COMP 2.1</t>
  </si>
  <si>
    <t xml:space="preserve">2.V</t>
  </si>
  <si>
    <t xml:space="preserve">ARCHITECTURE-3g</t>
  </si>
  <si>
    <t xml:space="preserve">PR.PT-P1</t>
  </si>
  <si>
    <t xml:space="preserve">∙ Secure Baseline Configurations (SBC)
∙ Data classification program
∙ IT Asset Management (ITAM) program
∙ Data governance program</t>
  </si>
  <si>
    <t xml:space="preserve">DCH-13</t>
  </si>
  <si>
    <t xml:space="preserve">Use of External Technology Assets, Applications and/or Services (TAAS)</t>
  </si>
  <si>
    <t xml:space="preserve">Mechanisms exist to govern how external parties, including Technology Assets, Applications and/or Services (TAAS), are used to securely store, process and transmit data.</t>
  </si>
  <si>
    <t xml:space="preserve">Does the organization govern how external parties, including Technology Assets, Applications and/or Services (TAAS), are used to securely store, process and transmit data?</t>
  </si>
  <si>
    <t xml:space="preserve">The organization implements and operates mechanisms to govern how external parties, including Technology Assets, Applications and/or Services (TAAS), are used to securely store, process and transmit data.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</si>
  <si>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connections to external systems are identified;
b. Ensuring the use of external systems is identified;
c. Ensuring connections to external systems are verified;
d. Ensuring the use of external systems is verified;
e. Ensuring connections to external systems are controlled/limited;
f. Ensuring the use of external systems is controlled/limited;
g. Ensuring security requirements to be satisfied on external systems prior to allowing the use of or access to those systems by authorized individuals are defined;
h. Ensuring the use of external systems is prohibited unless the systems are specifically authorized;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</si>
  <si>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Cybersecurity Supply Chain Risk Management (C-SCRM) program.
In-scope requirement alignment: NIST SP 800-82 R3 (Moderate OT overlay): AC-20 | NIST SP 800-161 R1 C-SCRM: AC-20.
Validation: Annual conformity validation; evidence artifacts to be defined; PPTDF applicability: Technology.</t>
  </si>
  <si>
    <t xml:space="preserve">AC-20</t>
  </si>
  <si>
    <t xml:space="preserve">∙ Secure Baseline Configurations (SBC)
∙ Cybersecurity Supply Chain Risk Management (C-SCRM) program</t>
  </si>
  <si>
    <t xml:space="preserve">DCH-13.1</t>
  </si>
  <si>
    <t xml:space="preserve">Limits of Authorized Use</t>
  </si>
  <si>
    <t xml:space="preserve">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</si>
  <si>
    <t xml:space="preserve">Does the organization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</si>
  <si>
    <t xml:space="preserve">The organization implements and operates mechanisms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
Within the OT and AMI environment, this objective covers meter data, customer energy usage data, OT configurations and engineering documentation, and controls removable media and portable devices used with OT and AMI assets.</t>
  </si>
  <si>
    <t xml:space="preserve">The Chief Information Security Officer (CISO), in coordination with the OT Security Lead, is responsible for:
a. Ensuring authorized individuals are permitted to use an external system to access the system or to process, store or transmit organization-controlled information only after verification of the implementation of controls on the external system as specified in the organization's cybersecurity / data privacy policies and cybersecurity / data privacy plans (if applicable);
b. Ensuring 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</si>
  <si>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Cybersecurity Supply Chain Risk Management (C-SCRM) program.
In-scope requirement alignment: NIST SP 800-82 R3 (Moderate OT overlay): AC-20(01) | NIST SP 800-53B Moderate: AC-20(01).
Validation: Annual conformity validation; evidence artifacts to be defined; PPTDF applicability: Technology.</t>
  </si>
  <si>
    <t xml:space="preserve">AC-20(01)</t>
  </si>
  <si>
    <t xml:space="preserve">∙ Cybersecurity Supply Chain Risk Management (C-SCRM) program</t>
  </si>
  <si>
    <t xml:space="preserve">DCH-13.2</t>
  </si>
  <si>
    <t xml:space="preserve">Portable Storage Devices</t>
  </si>
  <si>
    <t xml:space="preserve">Mechanisms exist to restrict or prohibit the use of portable storage devices by users on external systems.</t>
  </si>
  <si>
    <t xml:space="preserve">Does the organization restrict or prohibit the use of portable storage devices by users on external systems?</t>
  </si>
  <si>
    <t xml:space="preserve">IEC 62443-2-1:2024; NIST SP 800-82 R3 - Moderate OT Overlay; NIST SP 800-53B R5 - Moderate baseline</t>
  </si>
  <si>
    <t xml:space="preserve">The organization implements and operates mechanisms to restrict or prohibit the use of portable storage devices by users on external systems.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</si>
  <si>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the use of portable storage devices containing sensitive / regulated data on external systems is identified and documented;
b. Ensuring limits on the use of portable storage devices containing sensitive / regulated data on external systems are defined;
c. Ensuring the use of portable storage devices containing sensitive / regulated data on external systems is limited as defined;
d. Ensuring restrictions on the use of organization-controlled portable storage devices by authorized individuals on external systems are defined;
e. Ensuring the use of organization-controlled portable storage devices by authorized individuals on external systems is restricted;
f. Classifying Customer Energy Usage Data, meter data, OT configurations, cryptographic material and network/zone diagrams and applying handling requirements accordingly; and
g.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</si>
  <si>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IT Asset Management (ITAM) program.
In-scope requirement alignment: IEC 62443-2-1: COMP 1.2 | NIST SP 800-82 R3 (Moderate OT overlay): AC-20(02) | NIST SP 800-53B Moderate: AC-20(02).
Validation: Annual conformity validation; evidence artifacts to be defined; PPTDF applicability: Technology.</t>
  </si>
  <si>
    <t xml:space="preserve">COMP 1.2</t>
  </si>
  <si>
    <t xml:space="preserve">AC-20(02), AC-20(05)</t>
  </si>
  <si>
    <t xml:space="preserve">AC-20(02)</t>
  </si>
  <si>
    <t xml:space="preserve">∙ Secure Baseline Configurations (SBC)
∙ IT Asset Management (ITAM) program</t>
  </si>
  <si>
    <t xml:space="preserve">DCH-13.3</t>
  </si>
  <si>
    <t xml:space="preserve">Protecting Sensitive / Regulated Data on External Technology Assets, Applications and/or Services (TAAS)</t>
  </si>
  <si>
    <t xml:space="preserve">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</si>
  <si>
    <t xml:space="preserve">Does the organization ensure that the requirements for the protection of sensitive and/or regulated data processed, stored or transmitted on external Technology Assets, Applications and/or Services (TAAS), are implemented in accordance with applicable statutory, regulatory and contractual obligations?</t>
  </si>
  <si>
    <t xml:space="preserve">The organization implements and operates mechanisms to ensure that the requirements for the protection of sensitive and/or regulated data processed, stored or transmitted on external Technology Assets, Applications and/or Services (TAAS), are implemented in accordance with applicable statutory, regulatory and contractual obligations.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</si>
  <si>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the frequency at which to review / update the procedures is defined;
b. Ensuring organizational controls ensure that requirements for the protection of sensitive and/or regulated information that is processed, stored or transmitted on external systems are implemented in accordance with applicable laws, executive orders, directives, policies, regulations and standards;
c. Ensuring procedures are established to ensure that requirements for the protection of sensitive and/or regulated information that is processed, stored or transmitted on external systems are implemented in accordance with applicable laws, executive orders, directives, policies, regulations and standards;
d. Ensuring procedures are reviewed / updated frequently;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</si>
  <si>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Cybersecurity Supply Chain Risk Management (C-SCRM) program.
In-scope requirement alignment: NIST SP 800-82 R3 (Moderate OT overlay): PM-17 | NIST SP 800-53B Privacy: PM-17.
Validation: Semi-Annual conformity validation; evidence artifacts to be defined; PPTDF applicability: Data.</t>
  </si>
  <si>
    <t xml:space="preserve">PM-17</t>
  </si>
  <si>
    <t xml:space="preserve">DCH-14</t>
  </si>
  <si>
    <t xml:space="preserve">Information Sharing</t>
  </si>
  <si>
    <t xml:space="preserve">Mechanisms exist to utilize a process to assist users in making information sharing decisions to ensure data is appropriately protected.</t>
  </si>
  <si>
    <t xml:space="preserve">Does the organization utilize a process to assist users in making information sharing decisions to ensure data is appropriately protected?</t>
  </si>
  <si>
    <t xml:space="preserve">E-DCH-09, E-SAT-05</t>
  </si>
  <si>
    <t xml:space="preserve">NIST SP 800-53B R5 - Moderate baseline; NIST SP 800-53B R5 - Privacy baseline</t>
  </si>
  <si>
    <t xml:space="preserve">The organization implements and operates mechanisms to utilize a process to assist users in making information sharing decisions to ensure data is appropriately protected.
Within the OT and AMI environment, this objective covers meter data, customer energy usage data, OT configurations and engineering documentation, and controls removable media and portable devices used with OT and AMI assets.</t>
  </si>
  <si>
    <t xml:space="preserve">The Information Risk Manager, in coordination with OT Engineering, is responsible for:
a. Ensuring information-sharing circumstances where user discretion is required to determine whether access authorizations assigned to a sharing partner match the information’s access and use restrictions are defined;
b. Ensuring authorized users are enabled to determine whether access authorizations assigned to a sharing partner match the information’s access and use restrictions for organization-defined information-sharing circumstances;
c. Ensuring automated mechanisms or manual processes that assist users in making information-sharing and collaboration decisions are defined;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</si>
  <si>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governance program.
In-scope requirement alignment: NIST SP 800-53B Moderate: AC-21 | NIST SP 800-53B Privacy: AC-21.
Validation: Annual conformity validation; evidence artifacts E-DCH-09, E-SAT-05; PPTDF applicability: Process.</t>
  </si>
  <si>
    <t xml:space="preserve">AC-21</t>
  </si>
  <si>
    <t xml:space="preserve">5.14</t>
  </si>
  <si>
    <t xml:space="preserve">∙ Data classification program
∙ Data governance program</t>
  </si>
  <si>
    <t xml:space="preserve">DCH-15</t>
  </si>
  <si>
    <t xml:space="preserve">Publicly Accessible Content</t>
  </si>
  <si>
    <t xml:space="preserve">Mechanisms exist to control publicly-accessible content.</t>
  </si>
  <si>
    <t xml:space="preserve">Does the organization control publicly-accessible content?</t>
  </si>
  <si>
    <t xml:space="preserve">E-DCH-12</t>
  </si>
  <si>
    <t xml:space="preserve">The organization implements and operates mechanisms to control publicly-accessible content.
Within the OT and AMI environment, this objective covers meter data, customer energy usage data, OT configurations and engineering documentation, and controls removable media and portable devices used with OT and AMI assets.</t>
  </si>
  <si>
    <t xml:space="preserve">OT Engineering and application development teams are responsible for:
a. Ensuring individuals authorized to post or process information on publicly accessible systems are identified;
b. Ensuring procedures to ensure sensitive / regulated data is not posted or processed on publicly accessible systems are identified;
c. Ensuring the proposed content of information is reviewed prior to posting onto the publicly accessible system to ensure that non-public information is not included;
d. Ensuring the content on publicly accessible systems is reviewed for sensitive / regulated data;
e. Ensuring mechanisms are in place to remove and address improper posting of sensitive / regulated data;
f. Ensuring the frequency at which to review the content on the publicly accessible system for non-public information is defined;
g. Ensuring a review process is in place prior to posting of any content to publicly accessible systems;
h. Ensuring content on publicly accessible systems is reviewed to ensure that it does not include sensitive/regulated data;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</si>
  <si>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Enterprise data governance platform (e.g., Collibra); DLP with automated classification; Data lifecycle management.
In-scope requirement alignment: NIST SP 800-82 R3 (Moderate OT overlay): AC-22 | NIST SP 800-161 R1 C-SCRM: AC-22.
Validation: Annual conformity validation; evidence artifacts E-DCH-12; PPTDF applicability: Data.</t>
  </si>
  <si>
    <t xml:space="preserve">AC-22</t>
  </si>
  <si>
    <t xml:space="preserve">DCH-16</t>
  </si>
  <si>
    <t xml:space="preserve">Data Mining Protection</t>
  </si>
  <si>
    <t xml:space="preserve">Mechanisms exist to protect data storage objects against unauthorized data mining and data harvesting techniques.</t>
  </si>
  <si>
    <t xml:space="preserve">Does the organization protect data storage objects against unauthorized data mining and data harvesting techniques?</t>
  </si>
  <si>
    <t xml:space="preserve">The organization implements and operates mechanisms to protect data storage objects against unauthorized data mining and data harvesting techniques.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</si>
  <si>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data mining prevention and detection techniques are defined;
b. Ensuring data storage objects to be protected against unauthorized data mining are defined;
c. Ensuring mechanisms are employed for organization-defined data storage objects to detect and protect against unauthorized data mining;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</si>
  <si>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Defense-in-depth (DiD) architecture.
In-scope requirement alignment: NIST SP 800-53B Privacy: AC-23.
Validation: Annual conformity validation; evidence artifacts to be defined; PPTDF applicability: Data.</t>
  </si>
  <si>
    <t xml:space="preserve">AC-23</t>
  </si>
  <si>
    <t xml:space="preserve">∙ Secure Baseline Configurations (SBC)
∙ Defense-in-depth (DiD) architecture</t>
  </si>
  <si>
    <t xml:space="preserve">DCH-18</t>
  </si>
  <si>
    <t xml:space="preserve">Media &amp; Data Retention</t>
  </si>
  <si>
    <t xml:space="preserve">Mechanisms exist to retain media and data in accordance with applicable statutory, regulatory and contractual obligations.</t>
  </si>
  <si>
    <t xml:space="preserve">Does the organization retain media and data in accordance with applicable statutory, regulatory and contractual obligations?</t>
  </si>
  <si>
    <t xml:space="preserve">IEC 62443-2-1:2024; NIST SP 800-82 R3 - Moderate OT Overlay; NERC CIP; NIST SP 800-161 R1 - C-SCRM Baseline; NIST Privacy Framework 1.0; NIST SP 800-53B R5 - Privacy baseline</t>
  </si>
  <si>
    <t xml:space="preserve">The organization implements and operates mechanisms to retain media and data in accordance with applicable statutory, regulatory and contractual obligations.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</si>
  <si>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the frequency with which to conduct reviews of persistent organizational storage locations is defined;
b. Ensuring persistent organizational storage locations are identified;
c. Ensuring reviews of persistent organizational storage locations are conducted per an organization-defined frequency to identify sensitive / regulated data that is no longer needed;
d. Ensuring sensitive / regulated data that is no longer needed is removed;
e. Ensuring sensitive / regulated data within the system is managed in accordance with applicable laws, Executive Orders, directives, regulations, policies, standards, guidelines, and operational requirements;
f. Ensuring sensitive / regulated data within the system is retained in accordance with applicable laws, Executive Orders, directives, regulations, policies, standards, guidelines, and operational requirements;
g. Ensuring sensitive / regulated data output from the system is managed in accordance with applicable laws, Executive Orders, directives, regulations, policies, standards, guidelines, and operational requirements;
h. Ensuring sensitive / regulated data output from the system is retained in accordance with applicable laws, Executive Orders, directives, regulations, policies, standards, guidelines, and operational requirements;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</si>
  <si>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retention program; Data classification program; Data governance program.
In-scope requirement alignment: IEC 62443-2-1: DATA 1.4 | NIST SP 800-82 R3 (Moderate OT overlay): MP-07, SI-12 | NERC CIP: CIP-006-6 1.9 | NIST SP 800-161 R1 C-SCRM: SI-12 | NIST Privacy Framework: CT.DM-P3, CT.DM-P4 | NIST SP 800-53B Privacy: MP-07, SI-12.
Validation: Semi-Annual conformity validation; evidence artifacts E-AST-11; PPTDF applicability: Data.</t>
  </si>
  <si>
    <t xml:space="preserve">DATA 1.4</t>
  </si>
  <si>
    <t xml:space="preserve">MP-07, SI-12</t>
  </si>
  <si>
    <t xml:space="preserve">CIP-006-6 1.9</t>
  </si>
  <si>
    <t xml:space="preserve">SI-12</t>
  </si>
  <si>
    <t xml:space="preserve">CT.DM-P3, CT.DM-P4</t>
  </si>
  <si>
    <t xml:space="preserve">SG.MP Media Protection; SG.SI Smart Grid Information System and Information Integrity</t>
  </si>
  <si>
    <t xml:space="preserve">5.33, 8.10</t>
  </si>
  <si>
    <t xml:space="preserve">∙ Data retention program
∙ Data classification program
∙ Data governance program</t>
  </si>
  <si>
    <t xml:space="preserve">DCH-18.1</t>
  </si>
  <si>
    <t xml:space="preserve">Minimize Sensitive / Regulated Data</t>
  </si>
  <si>
    <t xml:space="preserve">Mechanisms exist to minimize sensitive and/or regulated data that is collected, received, processed, stored and/or transmitted throughout the information lifecycle to only those elements necessary to support necessary business processes.</t>
  </si>
  <si>
    <t xml:space="preserve">Does the organization minimize sensitive and/or regulated data that is collected, received, processed, stored and/or transmitted throughout the information lifecycle to only those elements necessary to support necessary business processes?</t>
  </si>
  <si>
    <t xml:space="preserve">NIST Privacy Framework 1.0; NIST SP 800-53B R5 - Privacy baseline</t>
  </si>
  <si>
    <t xml:space="preserve">The organization implements and operates mechanisms to minimize sensitive and/or regulated data that is collected, received, processed, stored and/or transmitted throughout the information lifecycle to only those elements necessary to support necessary business processes.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</si>
  <si>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elements of Personal Data (PD) being processed in the information life cycle are defined;
b. Ensuring Personal Data (PD) being processed in the information life cycle is limited to organization-defined elements of Personal Data (PD);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</si>
  <si>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Product / project management; Data Protection Impact Assessment (DPIA); Data governance program.
In-scope requirement alignment: NIST Privacy Framework: CT.DM-P8 | NIST SP 800-53B Privacy: SI-12(01).
Validation: Annual conformity validation; evidence artifacts to be defined; PPTDF applicability: Data.</t>
  </si>
  <si>
    <t xml:space="preserve">SI-12(01)</t>
  </si>
  <si>
    <t xml:space="preserve">∙ Data classification program
∙ Product / project management
∙ Data Protection Impact Assessment (DPIA)
∙ Data governance program</t>
  </si>
  <si>
    <t xml:space="preserve">DCH-18.2</t>
  </si>
  <si>
    <t xml:space="preserve">Limit Sensitive / Regulated Data In Testing, Training &amp; Research</t>
  </si>
  <si>
    <t xml:space="preserve">Mechanisms exist to minimize the use of sensitive and/or regulated data for research, testing, or training, in accordance with authorized, legitimate business practices.</t>
  </si>
  <si>
    <t xml:space="preserve">Does the organization minimize the use of sensitive and/or regulated data for research, testing, or training, in accordance with authorized, legitimate business practices?</t>
  </si>
  <si>
    <t xml:space="preserve">The organization implements and operates mechanisms to minimize the use of sensitive and/or regulated data for research, testing, or training, in accordance with authorized, legitimate business practices.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</si>
  <si>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the developer of the system or system component is required to minimize the use of Personal Data (PD) in development and test environments;
b. Ensuring techniques used to minimize the use of Personal Data (PD) for research, testing and training are defined;
c. Ensuring organization-defined techniques are used to minimize the use of Personal Data (PD) for research, testing and training;
d. Ensuring processes that implement the privacy principle of minimization are defined;
e. Ensuring the privacy principle of minimization is implemented using organization-defined processes;
f. Classifying Customer Energy Usage Data, meter data, OT configurations, cryptographic material and network/zone diagrams and applying handling requirements accordingly; and
g.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</si>
  <si>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Data Protection Impact Assessment (DPIA); Product / project management.
In-scope requirement alignment: NIST SP 800-82 R3 (Moderate OT overlay): PM-25 | NIST SP 800-53B Privacy: PM-25, SA-08(33), SI-12(02).
Validation: Annual conformity validation; evidence artifacts to be defined; PPTDF applicability: Data.</t>
  </si>
  <si>
    <t xml:space="preserve">PM-25, SA-08(33), SA-15(12), SI-12(02)</t>
  </si>
  <si>
    <t xml:space="preserve">PM-25</t>
  </si>
  <si>
    <t xml:space="preserve">PM-25, SA-08(33), SI-12(02)</t>
  </si>
  <si>
    <t xml:space="preserve">SG.PM Security Program Management; SG.SA Smart Grid Information System and Services Acquisition; SG.SI Smart Grid Information System and Information Integrity</t>
  </si>
  <si>
    <t xml:space="preserve">∙ Data classification program
∙ Data privacy program
∙ Data Protection Impact Assessment (DPIA)
∙ Product / project management</t>
  </si>
  <si>
    <t xml:space="preserve">DCH-19</t>
  </si>
  <si>
    <t xml:space="preserve">Geographic Location of Data</t>
  </si>
  <si>
    <t xml:space="preserve">Mechanisms exist to inventory, document and maintain data flows for data that is resident (permanently or temporarily) within a service's geographically distributed applications (physical and virtual), infrastructure, systems components and/or shared with other third-parties.</t>
  </si>
  <si>
    <t xml:space="preserve">Does the organization inventory, document and maintain data flows for data that is resident (permanently or temporarily) within a service's geographically distributed applications (physical and virtual), infrastructure, systems components and/or shared with other third-parties?</t>
  </si>
  <si>
    <t xml:space="preserve">E-AST-23</t>
  </si>
  <si>
    <t xml:space="preserve">NIST Cybersecurity Framework 2.0; CSA IoT Security Controls Framework v2; NIST Privacy Framework 1.0; NIST SP 800-53B R5 - Privacy baseline</t>
  </si>
  <si>
    <t xml:space="preserve">The organization implements and operates mechanisms to inventory, document and maintain data flows for data that is resident (permanently or temporarily) within a service's geographically distributed applications (physical and virtual), infrastructure, systems components and/or shared with other third-parties.
Within the OT and AMI environment, this objective covers meter data, customer energy usage data, OT configurations and engineering documentation, and controls removable media and portable devices used with OT and AMI assets.</t>
  </si>
  <si>
    <t xml:space="preserve">OT Engineering and application development teams are responsible for:
a. Ensuring locations where information processing and data storage is/are to be restricted are defined;
b. Ensuring requirements or conditions for restricting the location of information processing, information storage or information services are defined;
c. Ensuring based on requirements, information processing, information storage or information services is/are restricted to locations;
d. Ensuring the geographic location of information processing and data storage is restricted to facilities located within the legal jurisdictional boundary of the United States;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</si>
  <si>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IT Asset Management (ITAM) program; Data classification program; Sensitive data inventories; System Security &amp; Privacy Plan (SSPP); Product / project management; Data governance program.
In-scope requirement alignment: NIST CSF 2.0: ID.AM-03 | CSA IoT SCF: DAT-04, LGL-08 | NIST Privacy Framework: ID.IM-P7, ID.IM-P8 | NIST SP 800-53B Privacy: SA-09(05), SA-09(08).
Validation: Annual conformity validation; evidence artifacts E-AST-23; PPTDF applicability: Data.</t>
  </si>
  <si>
    <t xml:space="preserve">DAT-04, LGL-08</t>
  </si>
  <si>
    <t xml:space="preserve">∙ IT Asset Management (ITAM) program
∙ Data classification program
∙ Sensitive data inventories
∙ System Security &amp; Privacy Plan (SSPP)
∙ Product / project management
∙ Data governance program</t>
  </si>
  <si>
    <t xml:space="preserve">DCH-21</t>
  </si>
  <si>
    <t xml:space="preserve">Information Disposal</t>
  </si>
  <si>
    <t xml:space="preserve">Mechanisms exist to securely dispose of, destroy or erase information.</t>
  </si>
  <si>
    <t xml:space="preserve">Does the organization securely dispose of, destroy or erase information?</t>
  </si>
  <si>
    <t xml:space="preserve">The organization implements and operates mechanisms to securely dispose of, destroy or erase information.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</si>
  <si>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techniques used to dispose of, destroy and/or erase information following the retention period are defined;
b. Ensuring organization-defined techniques are used to dispose of, destroy and/or erase following the retention period;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</si>
  <si>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Shred-it; IronMountain; BitRaser; DBAN; DoD-strength data erasers.
In-scope requirement alignment: CSA IoT SCF: POL-04 | NIST SP 800-53B Privacy: SI-12(03).
Validation: Annual conformity validation; evidence artifacts to be defined; PPTDF applicability: Data.</t>
  </si>
  <si>
    <t xml:space="preserve">SI-12(03)</t>
  </si>
  <si>
    <t xml:space="preserve">DCH-22</t>
  </si>
  <si>
    <t xml:space="preserve">Data Quality Operations</t>
  </si>
  <si>
    <t xml:space="preserve">Mechanisms exist to check for Redundant, Obsolete/Outdated, Toxic or Trivial (ROTT) data to ensure the accuracy, relevance, timeliness, impact, completeness and de-identification of information throughout the information lifecycle.</t>
  </si>
  <si>
    <t xml:space="preserve">Does the organization check for Redundant, Obsolete/Outdated, Toxic or Trivial (ROTT) data to ensure the accuracy, relevance, timeliness, impact, completeness and de-identification of information throughout the information lifecycle?</t>
  </si>
  <si>
    <t xml:space="preserve">The organization implements and operates mechanisms to check for Redundant, Obsolete/Outdated, Toxic or Trivial (ROTT) data to ensure the accuracy, relevance, timeliness, impact, completeness and de-identification of information throughout the information lifecycle.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</si>
  <si>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organization-wide policies for Personal Data (PD) quality management are developed and documented;
b. Ensuring organization-wide procedures for Personal Data (PD) quality management are developed and documented;
c. Ensuring the policies address reviewing the accuracy of Personal Data (PD) across the information life cycle;
d. Ensuring the policies address reviewing the relevance of Personal Data (PD) across the information life cycle;
e. Ensuring the policies address reviewing the timeliness of Personal Data (PD) across the information life cycle;
f. Ensuring the policies address reviewing the completeness of Personal Data (PD) across the information life cycle;
g. Ensuring the procedures address reviewing the accuracy of Personal Data (PD) across the information life cycle;
h. Ensuring the procedures address reviewing the relevance of Personal Data (PD) across the information life cycle;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</si>
  <si>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Product / project management; Data governance program.
In-scope requirement alignment: NIST SP 800-82 R3 (Moderate OT overlay): PM-22 | NIST SP 800-53B Privacy: PM-22, SI-18.
Validation: Annual conformity validation; evidence artifacts to be defined; PPTDF applicability: Data.</t>
  </si>
  <si>
    <t xml:space="preserve">PM-22, SI-18, SI-18(01)</t>
  </si>
  <si>
    <t xml:space="preserve">PM-22</t>
  </si>
  <si>
    <t xml:space="preserve">PM-22, SI-18</t>
  </si>
  <si>
    <t xml:space="preserve">SG.PM Security Program Management; SG.SI Smart Grid Information System and Information Integrity</t>
  </si>
  <si>
    <t xml:space="preserve">∙ Product / project management
∙ Data governance program</t>
  </si>
  <si>
    <t xml:space="preserve">DCH-22.1</t>
  </si>
  <si>
    <t xml:space="preserve">Updating &amp; Correcting Personal Data (PD)</t>
  </si>
  <si>
    <t xml:space="preserve">Mechanisms exist to utilize technical controls to correct Personal Data (PD) that is inaccurate or outdated, incorrectly determined regarding impact, or incorrectly de-identified.</t>
  </si>
  <si>
    <t xml:space="preserve">Does the organization utilize technical controls to correct Personal Data (PD) that is inaccurate or outdated, incorrectly determined regarding impact, or incorrectly de-identified?</t>
  </si>
  <si>
    <t xml:space="preserve">The organization implements and operates mechanisms to utilize technical controls to correct Personal Data (PD) that is inaccurate or outdated, incorrectly determined regarding impact, or incorrectly de-identified.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</si>
  <si>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Personal Data (PD) is corrected, or deleted, upon request by individuals or their designated representatives;
b. Ensuring recipients and individuals are notified when their Personal Data (PD) has been corrected or deleted;
c. Ensuring recipients of Personal Data (PD) to be notified when their PD has been corrected or deleted are defined;
d. Ensuring automated mechanisms used to correct or delete Personal Data (PD) that is inaccurate, outdated, incorrectly determined regarding impact or incorrectly de-identified are defined;
e. Ensuring automated mechanisms are used to correct or delete Personal Data (PD) that is inaccurate, outdated, incorrectly determined regarding impact or incorrectly de-identified;
f. Classifying Customer Energy Usage Data, meter data, OT configurations, cryptographic material and network/zone diagrams and applying handling requirements accordingly; and
g.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</si>
  <si>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Product / project management; Data governance program.
In-scope requirement alignment: NIST SP 800-53B Privacy: SI-18(04), SI-18(05).
Validation: Annual conformity validation; evidence artifacts to be defined; PPTDF applicability: Data.</t>
  </si>
  <si>
    <t xml:space="preserve">SI-18(04), SI-18(05)</t>
  </si>
  <si>
    <t xml:space="preserve">DCH-22.2</t>
  </si>
  <si>
    <t xml:space="preserve">Data Tags</t>
  </si>
  <si>
    <t xml:space="preserve">Mechanisms exist to utilize data tags to automate tracking of sensitive and/or regulated data across the information lifecycle.</t>
  </si>
  <si>
    <t xml:space="preserve">Does the organization utilize data tags to automate tracking of sensitive and/or regulated data across the information lifecycle?</t>
  </si>
  <si>
    <t xml:space="preserve">The organization implements and operates mechanisms to utilize data tags to automate tracking of sensitive and/or regulated data across the information lifecycle.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</si>
  <si>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data tags are employed to automate the correction or deletion of Personal Data (PD) across the information life cycle within organizational systems;
b. Ensuring the authorized processing of Personal Data (PD) is defined;
c. Ensuring elements of Personal Data (PD) to be tagged are defined;
d. Ensuring data tags containing authorized processing are attached to elements of Personal Data (PD);
e. Ensuring processing purposes to be contained in data tags are defined;
f. Ensuring data tags containing processing purposes are attached to elements of Personal Data (PD);
g. Classifying Customer Energy Usage Data, meter data, OT configurations, cryptographic material and network/zone diagrams and applying handling requirements accordingly; and
h.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</si>
  <si>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In-scope requirement alignment: NIST SP 800-53B Privacy: PT-03(01).
Validation: Annual conformity validation; evidence artifacts to be defined; PPTDF applicability: Data.</t>
  </si>
  <si>
    <t xml:space="preserve">PT-02(01), PT-03(01), SI-18(02)</t>
  </si>
  <si>
    <t xml:space="preserve">PT-03(01)</t>
  </si>
  <si>
    <t xml:space="preserve">SG.ID Information and Document Management (PII transparency); SG.SI Smart Grid Information System and Information Integrity</t>
  </si>
  <si>
    <t xml:space="preserve">DCH-22.3</t>
  </si>
  <si>
    <t xml:space="preserve">Primary Source Personal Data (PD) Collection</t>
  </si>
  <si>
    <t xml:space="preserve">Mechanisms exist to collect Personal Data (PD) directly from the individual.</t>
  </si>
  <si>
    <t xml:space="preserve">Does the organization collect Personal Data (PD) directly from the individual?</t>
  </si>
  <si>
    <t xml:space="preserve">The organization implements and operates mechanisms to collect Personal Data (PD) directly from the individual.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</si>
  <si>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Personal Data (PD) is collected directly from the individual;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</si>
  <si>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Product / project management; Data governance program.
In-scope requirement alignment: NIST SP 800-53B Privacy: SI-19(01).
Validation: Annual conformity validation; evidence artifacts to be defined; PPTDF applicability: Data.</t>
  </si>
  <si>
    <t xml:space="preserve">SI-18(03), SI-19(01)</t>
  </si>
  <si>
    <t xml:space="preserve">SI-19(01)</t>
  </si>
  <si>
    <t xml:space="preserve">∙ Data classification program
∙ Data privacy program
∙ Product / project management
∙ Data governance program</t>
  </si>
  <si>
    <t xml:space="preserve">DCH-23</t>
  </si>
  <si>
    <t xml:space="preserve">De-Identification (Anonymization)</t>
  </si>
  <si>
    <t xml:space="preserve">Mechanisms exist to anonymize data by removing Personal Data (PD) from datasets.</t>
  </si>
  <si>
    <t xml:space="preserve">Does the organization anonymize data by removing Personal Data (PD) from datasets?</t>
  </si>
  <si>
    <t xml:space="preserve">CSA IoT Security Controls Framework v2; NIST Privacy Framework 1.0; NIST SP 800-53B R5 - Privacy baseline</t>
  </si>
  <si>
    <t xml:space="preserve">The organization implements and operates mechanisms to anonymize data by removing Personal Data (PD) from datasets.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</si>
  <si>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elements of Personal Data (PD) to be removed from datasets are defined;
b. Ensuring the frequency at which to evaluate the effectiveness of de-identification is defined;
c. Ensuring elements are removed from datasets;
d. Ensuring the effectiveness of de-identification is evaluated frequency;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</si>
  <si>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Product / project management.
In-scope requirement alignment: CSA IoT SCF: GVN-05 | NIST Privacy Framework: CT.DP-P2, CT.DP-P3 | NIST SP 800-53B Privacy: SI-19.
Validation: Annual conformity validation; evidence artifacts to be defined; PPTDF applicability: Data.</t>
  </si>
  <si>
    <t xml:space="preserve">SI-19</t>
  </si>
  <si>
    <t xml:space="preserve">CT.DP-P2, CT.DP-P3</t>
  </si>
  <si>
    <t xml:space="preserve">8.33</t>
  </si>
  <si>
    <t xml:space="preserve">∙ Data classification program
∙ Data privacy program
∙ Product / project management</t>
  </si>
  <si>
    <t xml:space="preserve">DCH-23.1</t>
  </si>
  <si>
    <t xml:space="preserve">De-Identify Dataset Upon Collection</t>
  </si>
  <si>
    <t xml:space="preserve">Mechanisms exist to de-identify the dataset upon collection by not collecting Personal Data (PD).</t>
  </si>
  <si>
    <t xml:space="preserve">Does the organization de-identify the dataset upon collection by not collecting Personal Data (PD)?</t>
  </si>
  <si>
    <t xml:space="preserve">The organization implements and operates mechanisms to de-identify the dataset upon collection by not collecting Personal Data (PD).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</si>
  <si>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the dataset is de-identified upon collection by not collecting Personal Data (PD);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</si>
  <si>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Product / project management.
In-scope requirement alignment: NIST SP 800-53B Privacy: SI-19(01).
Validation: Annual conformity validation; evidence artifacts to be defined; PPTDF applicability: Data.</t>
  </si>
  <si>
    <t xml:space="preserve">DCH-23.4</t>
  </si>
  <si>
    <t xml:space="preserve">Removal, Masking, Encryption, Hashing or Replacement of Direct Identifiers</t>
  </si>
  <si>
    <t xml:space="preserve">Mechanisms exist to remove, mask, encrypt, hash or replace direct identifiers in a dataset.</t>
  </si>
  <si>
    <t xml:space="preserve">Does the organization remove, mask, encrypt, hash or replace direct identifiers in a dataset?</t>
  </si>
  <si>
    <t xml:space="preserve">The organization implements and operates mechanisms to remove, mask, encrypt, hash or replace direct identifiers in a dataset.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</si>
  <si>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direct identifiers in a dataset are removed, masked, encrypted, hashed or replaced;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</si>
  <si>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Product / project management.
In-scope requirement alignment: NIST SP 800-53B Privacy: SI-19(04).
Validation: Annual conformity validation; evidence artifacts to be defined; PPTDF applicability: Data.</t>
  </si>
  <si>
    <t xml:space="preserve">SI-19(04)</t>
  </si>
  <si>
    <t xml:space="preserve">8.11</t>
  </si>
  <si>
    <t xml:space="preserve">DCH-24</t>
  </si>
  <si>
    <t xml:space="preserve">Information Location</t>
  </si>
  <si>
    <t xml:space="preserve">Mechanisms exist to identify and document the location of information and the specific system components on which the information resides.</t>
  </si>
  <si>
    <t xml:space="preserve">Does the organization identify and document the location of information and the specific system components on which the information resides?</t>
  </si>
  <si>
    <t xml:space="preserve">The organization implements and operates mechanisms to identify and document the location of information and the specific system components on which the information resides.
Within the OT and AMI environment, this objective covers meter data, customer energy usage data, OT configurations and engineering documentation, and controls removable media and portable devices used with OT and AMI assets.</t>
  </si>
  <si>
    <t xml:space="preserve">OT Engineering and application development teams are responsible for:
a. Ensuring information for which the location is to be identified and documented is defined;
b. Ensuring the location of sensitive / regulated data is identified and documented;
c. Ensuring the specific system components on which organization-defined information is processed are identified and documented;
d. Ensuring the specific system components on which organization-defined information is stored are identified and documented;
e. Ensuring changes to the location (e.g., system or system components) where organization-defined information is processed are documented;
f. Ensuring changes to the location (e.g., system or system components) where organization-defined information is stored are documented;
g. Ensuring the users who have access to the system and system components where organization-defined information is processed are identified and documented;
h. Ensuring the users who have access to the system and system components where organization-defined information is stored are identified and documented;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</si>
  <si>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IT Asset Management (ITAM) program; Data classification program; Sensitive data inventories; Data Flow Diagram (DFD); System Security &amp; Privacy Plan (SSPP); Product / project management; Data governance program.
In-scope requirement alignment: NIST SP 800-82 R3 (Moderate OT overlay): CM-12 | NIST SP 800-53B Moderate: CM-12.
Validation: Annual conformity validation; evidence artifacts E-AST-23; PPTDF applicability: Data.</t>
  </si>
  <si>
    <t xml:space="preserve">CM-12</t>
  </si>
  <si>
    <t xml:space="preserve">∙ IT Asset Management (ITAM) program
∙ Data classification program
∙ Sensitive data inventories
∙ Data Flow Diagram (DFD)
∙ System Security &amp; Privacy Plan (SSPP)
∙ Product / project management
∙ Data governance program</t>
  </si>
  <si>
    <t xml:space="preserve">DCH-24.1</t>
  </si>
  <si>
    <t xml:space="preserve">Automated Tools to Support Information Location</t>
  </si>
  <si>
    <t xml:space="preserve">Automated mechanisms exist to identify by data classification type to ensure adequate security, compliance and resilience controls are in place to protect organizational information and individual data protection.</t>
  </si>
  <si>
    <t xml:space="preserve">Does the organization use automated mechanisms to identify by data classification type to ensure adequate security, compliance and resilience controls are in place to protect organizational information and individual data protection?</t>
  </si>
  <si>
    <t xml:space="preserve">The organization implements and operates automated mechanisms to identify by data classification type to ensure adequate security, compliance and resilience controls are in place to protect organizational information and individual data protection.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</si>
  <si>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information to be protected is defined by information type;
b. Ensuring system components where the information is located are defined;
c. Ensuring automated tools are used to identify information by information type on system components to ensure that controls are in place to protect organizational information and individual privacy;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</si>
  <si>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Rights Management (DRM) solution.
In-scope requirement alignment: NIST SP 800-82 R3 (Moderate OT overlay): CM-12(01) | NIST SP 800-53B Moderate: CM-12(01).
Validation: Quarterly conformity validation; evidence artifacts to be defined; PPTDF applicability: Technology.</t>
  </si>
  <si>
    <t xml:space="preserve">CM-12(01)</t>
  </si>
  <si>
    <t xml:space="preserve">NIST Tenet 4, NIST Tenet 7</t>
  </si>
  <si>
    <t xml:space="preserve">∙ Data Rights Management (DRM) solution</t>
  </si>
  <si>
    <t xml:space="preserve">DCH-25</t>
  </si>
  <si>
    <t xml:space="preserve">Transfer of Sensitive and/or Regulated Data</t>
  </si>
  <si>
    <t xml:space="preserve">Mechanisms exist to restrict and govern the transfer of sensitive and/or regulated data to third-countries or international organizations.</t>
  </si>
  <si>
    <t xml:space="preserve">Does the organization restrict and govern the transfer of sensitive and/or regulated data to third-countries or international organizations?</t>
  </si>
  <si>
    <t xml:space="preserve">The organization implements and operates mechanisms to restrict and govern the transfer of sensitive and/or regulated data to third-countries or international organizations.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</si>
  <si>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the statutory, regulatory and/or contractual basis restricts the transfer of sensitive and/or regulated data to third-countries or international organizations is identified;
b. Ensuring mechanisms to restrict the transfer of sensitive and/or regulated data to third-countries or international organizations are defined;
c. Ensuring mechanisms to restrict the transfer of sensitive and/or regulated data to third-countries or international organizations are implemented;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</si>
  <si>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Model contracts; Binding Corporate Rules (BCR).
In-scope requirement alignment: CSA IoT SCF: LGL-08.
Validation: Annual conformity validation; evidence artifacts to be defined; PPTDF applicability: Data.</t>
  </si>
  <si>
    <t xml:space="preserve">∙ Model contracts
∙ Binding Corporate Rules (BCR)</t>
  </si>
  <si>
    <t xml:space="preserve">EMB-01</t>
  </si>
  <si>
    <t xml:space="preserve">Embedded Technology Security Program</t>
  </si>
  <si>
    <t xml:space="preserve">Mechanisms exist to facilitate the implementation of embedded technology controls.</t>
  </si>
  <si>
    <t xml:space="preserve">Does the organization facilitate the implementation of embedded technology controls?</t>
  </si>
  <si>
    <t xml:space="preserve">E-AST-07</t>
  </si>
  <si>
    <t xml:space="preserve">CISA Cross-Sector Cybersecurity Performance Goals; DOE Cybersecurity Capability Maturity Model; CSA IoT Security Controls Framework v2; SCF Embedded Technology</t>
  </si>
  <si>
    <t xml:space="preserve">Director, IT Architecture</t>
  </si>
  <si>
    <t xml:space="preserve">AMI Platform Manager / OT Engineering Lead</t>
  </si>
  <si>
    <t xml:space="preserve">Meter manufacturer; collector / gateway supplier; firmware supplier</t>
  </si>
  <si>
    <t xml:space="preserve">The organization shall proactively manage the security, compliance and resilience risks of embedded technologies, including smart meters, collectors, gateways, field sensors and Operational Technology (OT) devices, throughout their lifecycle. Embedded devices shall be procured, configured, authenticated, monitored, updated and retired in a manner that preserves safety, reliability and the integrity of metering and control functions.</t>
  </si>
  <si>
    <t xml:space="preserve">The organization develops, implements and governs processes and documentation to facilitate the implementation of embedded technology controls, as well as associated standards, controls and procedures, across enterprise IT, Operational Technology (OT) and Advanced Metering Infrastructure (AMI) environments.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</si>
  <si>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technology controls are implemented to protect the confidentiality of Operational Technology (OT) and/or Internet of Things (IoT) technologies;
b. Ensuring embedded technology controls are implemented to protect the integrity of Operational Technology (OT) and/or Internet of Things (IoT) technologies;
c. Ensuring embedded technology controls are implemented to protect the availability of Operational Technology (OT) and/or Internet of Things (IoT) technologies;
d. Ensuring embedded technology controls are implemented to protect the safety of Operational Technology (OT) and/or Internet of Things (IoT) technologies;
e. Ensuring embedded technology management operations are conducted according to documented policies, standards, procedures and/or other organizational directives;
f. Ensuring adequate resources (e.g., people, processes, technologies, data and/or facilities) are provided to support embedded technology management operations;
g. Ensuring responsibility and authority for the performance of embedded technology management-related activities are assigned to designated personnel;
h. Ensuring personnel performing embedded technology management-related activities have the skills and knowledge needed to perform their assigned duties; and
i. Establishing an embedded technology security standard covering AMI meters, collectors, gateways and OT field devices across acquisition, deployment, operation, update and retirement.</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</si>
  <si>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IT Asset Management (ITAM) program.
In-scope requirement alignment: CISA CPG: 1.D | DOE C2M2: ARCHITECTURE-2j | CSA IoT SCF: GVN-01, GVN-02, POL-03, VLN-04.
Validation: Annual conformity validation; evidence artifacts E-AST-07; PPTDF applicability: Technology.</t>
  </si>
  <si>
    <t xml:space="preserve">1.D</t>
  </si>
  <si>
    <t xml:space="preserve">ARCHITECTURE-2j</t>
  </si>
  <si>
    <t xml:space="preserve">GVN-01, GVN-02, POL-03, VLN-04</t>
  </si>
  <si>
    <t xml:space="preserve">EMB-02</t>
  </si>
  <si>
    <t xml:space="preserve">Internet of Things (IOT)</t>
  </si>
  <si>
    <t xml:space="preserve">Mechanisms exist to proactively manage the security, compliance and resilience risks associated with Internet of Things (IoT).</t>
  </si>
  <si>
    <t xml:space="preserve">Does the organization proactively manage the security, compliance and resilience risks associated with Internet of Things (IoT)?</t>
  </si>
  <si>
    <t xml:space="preserve">SCF Embedded Technology</t>
  </si>
  <si>
    <t xml:space="preserve">The organization implements and operates mechanisms to proactively manage the security, compliance and resilience risks associated with Internet of Things (IoT).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</si>
  <si>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cybersecurity / data privacy risks associated with Internet of Things (IoT) are proactively managed;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</si>
  <si>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IT Asset Management (ITAM) program; Data classification program; Sensitive data inventories; Data Flow Diagram (DFD); System Security &amp; Privacy Plan (SSPP); Product / project management.
Validation: Quarterly conformity validation; evidence artifacts to be defined; PPTDF applicability: Technology.</t>
  </si>
  <si>
    <t xml:space="preserve">∙ Secure Baseline Configurations (SBC)
∙ IT Asset Management (ITAM) program
∙ Data classification program
∙ Sensitive data inventories
∙ Data Flow Diagram (DFD)
∙ System Security &amp; Privacy Plan (SSPP)
∙ Product / project management</t>
  </si>
  <si>
    <t xml:space="preserve">EMB-03</t>
  </si>
  <si>
    <t xml:space="preserve">Operational Technology (OT)</t>
  </si>
  <si>
    <t xml:space="preserve">Mechanisms exist to proactively manage the security, compliance and resilience risks associated with Operational Technology (OT).</t>
  </si>
  <si>
    <t xml:space="preserve">Does the organization proactively manage the security, compliance and resilience risks associated with Operational Technology (OT)?</t>
  </si>
  <si>
    <t xml:space="preserve">The organization implements and operates mechanisms to proactively manage the security, compliance and resilience risks associated with Operational Technology (OT).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</si>
  <si>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cybersecurity / data privacy risks associated with Operational Technology (OT) are proactively managed; and
b. Managing OT risks through the ISA/IEC 62443-3-2 zone and conduit risk assessment process and the IEC 62443-2-1 security program requirements.</t>
  </si>
  <si>
    <t xml:space="preserve">EMB-04</t>
  </si>
  <si>
    <t xml:space="preserve">Interface Security</t>
  </si>
  <si>
    <t xml:space="preserve">Mechanisms exist to protect embedded devices against unauthorized use of the physical factory diagnostic and test interface(s).</t>
  </si>
  <si>
    <t xml:space="preserve">Does the organization protect embedded devices against unauthorized use of the physical factory diagnostic and test interface(s)?</t>
  </si>
  <si>
    <t xml:space="preserve">CISA Cross-Sector Cybersecurity Performance Goals; CSA IoT Security Controls Framework v2; SCF Embedded Technology</t>
  </si>
  <si>
    <t xml:space="preserve">The organization implements and operates mechanisms to protect embedded devices against unauthorized use of the physical factory diagnostic and test interface(s).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</si>
  <si>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devices are protected against unauthorized use of the physical factory diagnostic and test interface(s); and
b. Disabling or protecting meter optical ports, collector diagnostic interfaces and field device test interfaces against unauthorized use, and alerting on interface access and tamper events.</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</si>
  <si>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In-scope requirement alignment: CISA CPG: 2.V | CSA IoT SCF: IOT-05, PHY-01.
Validation: Annual conformity validation; evidence artifacts to be defined; PPTDF applicability: Technology.</t>
  </si>
  <si>
    <t xml:space="preserve">IOT-05, PHY-01</t>
  </si>
  <si>
    <t xml:space="preserve">EMB-05</t>
  </si>
  <si>
    <t xml:space="preserve">Embedded Technology Configuration Monitoring</t>
  </si>
  <si>
    <t xml:space="preserve">Mechanisms exist to generate log entries on embedded devices when configuration changes or attempts to access interfaces are detected.</t>
  </si>
  <si>
    <t xml:space="preserve">Does the organization generate log entries on embedded devices when configuration changes or attempts to access interfaces are detected?</t>
  </si>
  <si>
    <t xml:space="preserve">IEC 62443-4-2:2019; CSA IoT Security Controls Framework v2; SCF Embedded Technology</t>
  </si>
  <si>
    <t xml:space="preserve">The organization implements and operates mechanisms to generate log entries on embedded devices when configuration changes or attempts to access interfaces are detected.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</si>
  <si>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devices generate log entries when configuration changes or attempts to access interfaces are detected;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</si>
  <si>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IEC 62443-4-2: EDR 3.11(1) | CSA IoT SCF: CCM-03, GVN-05, PHY-01, SNT-03.
Validation: Annual conformity validation; evidence artifacts to be defined; PPTDF applicability: Technology.</t>
  </si>
  <si>
    <t xml:space="preserve">EDR 3.11(1)</t>
  </si>
  <si>
    <t xml:space="preserve">CCM-03, GVN-05, PHY-01, SNT-03</t>
  </si>
  <si>
    <t xml:space="preserve">EMB-06</t>
  </si>
  <si>
    <t xml:space="preserve">Prevent Alterations</t>
  </si>
  <si>
    <t xml:space="preserve">Mechanisms exist to protect embedded devices by preventing the unauthorized installation and execution of software.</t>
  </si>
  <si>
    <t xml:space="preserve">Does the organization protect embedded devices by preventing the unauthorized installation and execution of software?</t>
  </si>
  <si>
    <t xml:space="preserve">The organization implements and operates mechanisms to protect embedded devices by preventing the unauthorized installation and execution of software.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</si>
  <si>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devices are protected by preventing the unauthorized installation and execution of software;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</si>
  <si>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In-scope requirement alignment: IEC 62443-4-2: EDR 3.2 | CSA IoT SCF: IOT-05.
Validation: Annual conformity validation; evidence artifacts to be defined; PPTDF applicability: Technology.</t>
  </si>
  <si>
    <t xml:space="preserve">EDR 3.2</t>
  </si>
  <si>
    <t xml:space="preserve">EMB-07</t>
  </si>
  <si>
    <t xml:space="preserve">Embedded Technology Maintenance</t>
  </si>
  <si>
    <t xml:space="preserve">Mechanisms exist to securely update software and upgrade functionality on embedded devices.</t>
  </si>
  <si>
    <t xml:space="preserve">Does the organization securely update software and upgrade functionality on embedded devices?</t>
  </si>
  <si>
    <t xml:space="preserve">The organization shall securely update software and firmware on embedded devices, including smart meters and field devices, through authenticated, integrity-protected and staged processes with rollback capability.</t>
  </si>
  <si>
    <t xml:space="preserve">The organization implements and operates mechanisms to securely update software and upgrade functionality on embedded devices.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</si>
  <si>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devices are capable of securely receiving software updates and upgraded functionality; and
b. Deploying meter and field device firmware only when cryptographically signed and integrity-verified, through staged campaigns with rollback capability and monitoring of update success.</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</si>
  <si>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Technology maintenance program; Vulnerability &amp; Patch Management Program (VPMP).
Validation: Annual conformity validation; evidence artifacts to be defined; PPTDF applicability: Technology.</t>
  </si>
  <si>
    <t xml:space="preserve">∙ Technology maintenance program
∙ Vulnerability &amp; Patch Management Program (VPMP)</t>
  </si>
  <si>
    <t xml:space="preserve">EMB-08</t>
  </si>
  <si>
    <t xml:space="preserve">Resilience To Outages</t>
  </si>
  <si>
    <t xml:space="preserve">Mechanisms exist to configure embedded technology to be resilient to data network and power outages.</t>
  </si>
  <si>
    <t xml:space="preserve">Does the organization configure embedded technology to be resilient to data network and power outages?</t>
  </si>
  <si>
    <t xml:space="preserve">CSA IoT Security Controls Framework v2; SCF Embedded Technology</t>
  </si>
  <si>
    <t xml:space="preserve">The organization implements and operates mechanisms to configure embedded technology to be resilient to data network and power outages.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</si>
  <si>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technologies are configured to be resilient to data network and power outages;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</si>
  <si>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CSA IoT SCF: SAP-03.
Validation: Annual conformity validation; evidence artifacts to be defined; PPTDF applicability: Technology.</t>
  </si>
  <si>
    <t xml:space="preserve">SAP-03</t>
  </si>
  <si>
    <t xml:space="preserve">EMB-09</t>
  </si>
  <si>
    <t xml:space="preserve">Power Level Monitoring</t>
  </si>
  <si>
    <t xml:space="preserve">Automated mechanisms exist to monitor the power levels of embedded technologies for decreased or excessive power usage, including battery drainage, to investigate for device tampering.</t>
  </si>
  <si>
    <t xml:space="preserve">Does the organization use automated mechanisms to monitor the power levels of embedded technologies for decreased or excessive power usage, including battery drainage, to investigate for device tampering?</t>
  </si>
  <si>
    <t xml:space="preserve">The organization implements and operates automated mechanisms to monitor the power levels of embedded technologies for decreased or excessive power usage, including battery drainage, to investigate for device tampering.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</si>
  <si>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power levels of embedded technologies are monitored for decreased or excessive power usage, including battery drainage;
b. Ensuring incidents of decreased or excessive power usage, including battery drainage, are investigated for device tampering;
c. Requiring AMI and OT device suppliers to meet IEC 62443-4-2 component requirements and IEC 62443-4-1 secure development practices appropriate to the target security level;
d. Protecting physical diagnostic, optical and test interfaces on meters and field devices against unauthorized use and generating alerts for tamper or interface access events; and
e.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</si>
  <si>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CSA IoT SCF: ASM-03.
Validation: Quarterly conformity validation; evidence artifacts to be defined; PPTDF applicability: Technology.</t>
  </si>
  <si>
    <t xml:space="preserve">ASM-03</t>
  </si>
  <si>
    <t xml:space="preserve">EMB-10</t>
  </si>
  <si>
    <t xml:space="preserve">Embedded Technology Reviews</t>
  </si>
  <si>
    <t xml:space="preserve">Mechanisms exist to perform evaluations of deployed embedded technologies as needed, or at least on an annual basis, to ensure that necessary updates to mitigate the risks associated with legacy embedded technologies are identified and implemented.</t>
  </si>
  <si>
    <t xml:space="preserve">Does the organization perform evaluations of deployed embedded technologies as needed, or at least on an annual basis, to ensure that necessary updates to mitigate the risks associated with legacy embedded technologies are identified and implemented?</t>
  </si>
  <si>
    <t xml:space="preserve">The organization implements and operates mechanisms to perform evaluations of deployed embedded technologies as needed, or at least on an annual basis, to ensure that necessary updates to mitigate the risks associated with legacy embedded technologies are identified and implemented.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</si>
  <si>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deployed embedded technologies are evaluated per an organization-defined interval (no less than annually) to ensure that necessary updates to mitigate the risks associated with legacy embedded technologies are identified and implemented;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</si>
  <si>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Configuration Management (CM) program; Technology maintenance program; Technology maintenance program; Vulnerability &amp; Patch Management Program (VPMP); Configuration Management Database (CMDB).
In-scope requirement alignment: CSA IoT SCF: CCM-01, IOT-08.
Validation: Annual conformity validation; evidence artifacts to be defined; PPTDF applicability: Process.</t>
  </si>
  <si>
    <t xml:space="preserve">CCM-01, IOT-08</t>
  </si>
  <si>
    <t xml:space="preserve">∙ Configuration Management (CM) program
∙ Technology maintenance program
∙ Technology maintenance program
∙ Vulnerability &amp; Patch Management Program (VPMP)
∙ Configuration Management Database (CMDB)</t>
  </si>
  <si>
    <t xml:space="preserve">EMB-11</t>
  </si>
  <si>
    <t xml:space="preserve">Message Queuing Telemetry Transport (MQTT) Security</t>
  </si>
  <si>
    <t xml:space="preserve">Mechanisms exist to enforce the security of Message Queuing Telemetry Transport (MQTT) traffic.</t>
  </si>
  <si>
    <t xml:space="preserve">Does the organization enforce the security of Message Queuing Telemetry Transport (MQTT) traffic?</t>
  </si>
  <si>
    <t xml:space="preserve">The organization implements and operates mechanisms to enforce the security of Message Queuing Telemetry Transport (MQTT) traffic.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</si>
  <si>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configurations enforce the security of Message Queuing Telemetry Transport (MQTT) traffic;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</si>
  <si>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In-scope requirement alignment: CSA IoT SCF: COM-01, COM-07.
Validation: Annual conformity validation; evidence artifacts to be defined; PPTDF applicability: Technology.</t>
  </si>
  <si>
    <t xml:space="preserve">COM-01, COM-07</t>
  </si>
  <si>
    <t xml:space="preserve">EMB-12</t>
  </si>
  <si>
    <t xml:space="preserve">Restrict Communications</t>
  </si>
  <si>
    <t xml:space="preserve">Mechanisms exist to require embedded technologies to initiate all communications and drop new, incoming communications.</t>
  </si>
  <si>
    <t xml:space="preserve">Does the organization require embedded technologies to initiate all communications and drop new, incoming communications?</t>
  </si>
  <si>
    <t xml:space="preserve">The organization implements and operates mechanisms to require embedded technologies to initiate all communications and drop new, incoming communications.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</si>
  <si>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configurations for embedded technologies require the initiation of all communications and drop new, incoming communications; and
b. Configuring meters and collectors to initiate communications to authorized head-end or collector endpoints and to reject unsolicited inbound connections where supported.</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</si>
  <si>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Network segmentation (logical and/or physical); Access Control Lists (ACL).
In-scope requirement alignment: CSA IoT SCF: CLS-08, COM-10.
Validation: Annual conformity validation; evidence artifacts to be defined; PPTDF applicability: Technology.</t>
  </si>
  <si>
    <t xml:space="preserve">CLS-08, COM-10</t>
  </si>
  <si>
    <t xml:space="preserve">∙ Secure Baseline Configurations (SBC)
∙ Network segmentation (logical and/or physical)
∙ Access Control Lists (ACL)</t>
  </si>
  <si>
    <t xml:space="preserve">EMB-13</t>
  </si>
  <si>
    <t xml:space="preserve">Authorized Communications</t>
  </si>
  <si>
    <t xml:space="preserve">Mechanisms exist to restrict embedded technologies to communicate only with authorized peers and service endpoints.</t>
  </si>
  <si>
    <t xml:space="preserve">Does the organization restrict embedded technologies to communicate only with authorized peers and service endpoints?</t>
  </si>
  <si>
    <t xml:space="preserve">The organization implements and operates mechanisms to restrict embedded technologies to communicate only with authorized peers and service endpoints.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</si>
  <si>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configurations for embedded technologies restrict communications to authorized peers and service endpoints; and
b. Restricting meter, collector and gateway communications to authorized peers and head-end endpoints through certificate-based authentication or equivalent mechanisms.</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</si>
  <si>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Network segmentation (logical and/or physical); Access Control Lists (ACL).
In-scope requirement alignment: CSA IoT SCF: CLS-08, COM-11, SNT-04.
Validation: Annual conformity validation; evidence artifacts to be defined; PPTDF applicability: Technology.</t>
  </si>
  <si>
    <t xml:space="preserve">CLS-08, COM-11, SNT-04</t>
  </si>
  <si>
    <t xml:space="preserve">EMB-14</t>
  </si>
  <si>
    <t xml:space="preserve">Operating Environment Certification</t>
  </si>
  <si>
    <t xml:space="preserve">Mechanisms exist to determine if embedded technologies are certified for secure use in the proposed operating environment.</t>
  </si>
  <si>
    <t xml:space="preserve">Does the organization determine if embedded technologies are certified for secure use in the proposed operating environment?</t>
  </si>
  <si>
    <t xml:space="preserve">The organization implements and operates mechanisms to determine if embedded technologies are certified for secure use in the proposed operating environment.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</si>
  <si>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technologies certifications are verified for use in the proposed operating environment;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</si>
  <si>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CSA IoT SCF: GVN-09, IOT-07, IOT-08, LGL-01, RSM-03.
Validation: Annual conformity validation; evidence artifacts to be defined; PPTDF applicability: Process.</t>
  </si>
  <si>
    <t xml:space="preserve">GVN-09, IOT-07, IOT-08, LGL-01, RSM-03</t>
  </si>
  <si>
    <t xml:space="preserve">EMB-15</t>
  </si>
  <si>
    <t xml:space="preserve">Safety Assessment</t>
  </si>
  <si>
    <t xml:space="preserve">Mechanisms exist to evaluate the safety aspects of embedded technologies via a fault tree analysis, or similar method, to determine possible consequences of misuse, misconfiguration and/or failure.</t>
  </si>
  <si>
    <t xml:space="preserve">Does the organization evaluate the safety aspects of embedded technologies via a fault tree analysis, or similar method, to determine possible consequences of misuse, misconfiguration and/or failure?</t>
  </si>
  <si>
    <t xml:space="preserve">IEC 62443-2-1:2024; CSA IoT Security Controls Framework v2; SCF Embedded Technology; ANSI/ISA-62443-3-2:2020</t>
  </si>
  <si>
    <t xml:space="preserve">The organization implements and operates mechanisms to evaluate the safety aspects of embedded technologies via a fault tree analysis, or similar method, to determine possible consequences of misuse, misconfiguration and/or failure.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</si>
  <si>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the safety aspects of embedded technologies are evaluated via a fault tree analysis or similar method, to determine possible consequences of misuse, misconfiguration and/or failure; and
b. Evaluating the safety aspects of remote disconnect, load control and other embedded functions through fault tree analysis or equivalent methods and designating safety-related zones accordingly (ISA/IEC 62443-3-2 ZCR 3.3).</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</si>
  <si>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IoT / OT safety assessment; Data Protection Impact Assessment (DPIA).
In-scope requirement alignment: IEC 62443-2-1: DATA 1.3 | CSA IoT SCF: GVN-09, GVN-10, LGL-01 | ISA/IEC 62443-3-2: ZCR 2.1, ZCR 3.3.
Validation: Annual conformity validation; evidence artifacts to be defined; PPTDF applicability: Process.</t>
  </si>
  <si>
    <t xml:space="preserve">DATA 1.3</t>
  </si>
  <si>
    <t xml:space="preserve">ZCR 2.1, ZCR 3.3</t>
  </si>
  <si>
    <t xml:space="preserve">GVN-09, GVN-10, LGL-01</t>
  </si>
  <si>
    <t xml:space="preserve">∙ IoT / OT safety assessment
∙ Data Protection Impact Assessment (DPIA)</t>
  </si>
  <si>
    <t xml:space="preserve">EMB-16</t>
  </si>
  <si>
    <t xml:space="preserve">Certificate-Based Authentication</t>
  </si>
  <si>
    <t xml:space="preserve">Mechanisms exist to enforce certificate-based authentication for embedded technologies (e.g., IoT, OT, etc.) and their supporting services.</t>
  </si>
  <si>
    <t xml:space="preserve">Does the organization enforce certificate-based authentication for embedded technologies (e.g., IoT, OT, etc.) and their supporting services?</t>
  </si>
  <si>
    <t xml:space="preserve">The organization implements and operates mechanisms to enforce certificate-based authentication for embedded technologies (e.g., IoT, OT, etc.) and their supporting services.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</si>
  <si>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certificate-based authentication is enforced for embedded technologies (e.g., IoT, OT, etc.) and their supporting services; and
b. Enforcing certificate-based authentication between meters, collectors, gateways and head-end services, with certificates issued and revoked through the managed PKI.</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</si>
  <si>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IEC 62443-4-2: EDR 3.10(1), HDR 2.4(1) | CSA IoT SCF: CLS-08, IAM-03.
Validation: Annual conformity validation; evidence artifacts to be defined; PPTDF applicability: Technology.</t>
  </si>
  <si>
    <t xml:space="preserve">EDR 3.10(1), HDR 2.4(1)</t>
  </si>
  <si>
    <t xml:space="preserve">CLS-08, IAM-03</t>
  </si>
  <si>
    <t xml:space="preserve">EMB-17</t>
  </si>
  <si>
    <t xml:space="preserve">Chip-To-Cloud Security</t>
  </si>
  <si>
    <t xml:space="preserve">Mechanisms exist to implement embedded technologies that utilize pre-provisioned cloud trust anchors to support secure bootstrap and Zero Touch Provisioning (ZTP).</t>
  </si>
  <si>
    <t xml:space="preserve">Does the organization implement embedded technologies that utilize pre-provisioned cloud trust anchors to support secure bootstrap and Zero Touch Provisioning (ZTP)?</t>
  </si>
  <si>
    <t xml:space="preserve">The organization implements and operates mechanisms to implement embedded technologies that utilize pre-provisioned cloud trust anchors to support secure bootstrap and Zero Touch Provisioning (ZTP).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</si>
  <si>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technologies utilize pre-provisioned cloud trust anchors to support secure bootstrap and Zero Touch Provisioning (ZTP);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</si>
  <si>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IT Asset Management (ITAM) program; Configuration Management (CM) program; Product / project management.
In-scope requirement alignment: CSA IoT SCF: CLS-08, IOT-04.
Validation: Annual conformity validation; evidence artifacts to be defined; PPTDF applicability: Technology.</t>
  </si>
  <si>
    <t xml:space="preserve">CLS-08, IOT-04</t>
  </si>
  <si>
    <t xml:space="preserve">∙ Secure Baseline Configurations (SBC)
∙ IT Asset Management (ITAM) program
∙ Configuration Management (CM) program
∙ Product / project management</t>
  </si>
  <si>
    <t xml:space="preserve">EMB-18</t>
  </si>
  <si>
    <t xml:space="preserve">Real-Time Operating System (RTOS) Security</t>
  </si>
  <si>
    <t xml:space="preserve">Mechanisms exist to ensure embedded technologies utilize a securely configured Real-Time Operating System (RTOS).</t>
  </si>
  <si>
    <t xml:space="preserve">Does the organization ensure embedded technologies utilize a securely configured Real-Time Operating System (RTOS)?</t>
  </si>
  <si>
    <t xml:space="preserve">The organization implements and operates mechanisms to ensure embedded technologies utilize a securely configured Real-Time Operating System (RTOS).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</si>
  <si>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technologies utilize a securely configured Real-Time Operating System (RTOS);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</si>
  <si>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IT Asset Management (ITAM) program; Configuration Management (CM) program; Product / project management.
In-scope requirement alignment: CSA IoT SCF: IOT-06, IOT-07, IOT-09.
Validation: Annual conformity validation; evidence artifacts to be defined; PPTDF applicability: Technology.</t>
  </si>
  <si>
    <t xml:space="preserve">IOT-06, IOT-07, IOT-09</t>
  </si>
  <si>
    <t xml:space="preserve">EMB-19</t>
  </si>
  <si>
    <t xml:space="preserve">Safe Operations</t>
  </si>
  <si>
    <t xml:space="preserve">Mechanisms exist to continuously validate autonomous systems that trigger an automatic state change when safe operation is no longer assured.</t>
  </si>
  <si>
    <t xml:space="preserve">Does the organization continuously validate autonomous systems that trigger an automatic state change when safe operation is no longer assured?</t>
  </si>
  <si>
    <t xml:space="preserve">CSA IoT Security Controls Framework v2; SCF Embedded Technology; ANSI/ISA-62443-3-2:2020</t>
  </si>
  <si>
    <t xml:space="preserve">The organization implements and operates mechanisms to continuously validate autonomous systems that trigger an automatic state change when safe operation is no longer assured.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</si>
  <si>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autonomous systems are continuously validated to trigger an automatic state change when safe operation is no longer assured;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</si>
  <si>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IT Asset Management (ITAM) program; Configuration Management (CM) program; Product / project management.
In-scope requirement alignment: CSA IoT SCF: SAP-02, SAP-09 | ISA/IEC 62443-3-2: ZCR 3.3.
Validation: Semi-Annual conformity validation; evidence artifacts to be defined; PPTDF applicability: Technology.</t>
  </si>
  <si>
    <t xml:space="preserve">ZCR 3.3</t>
  </si>
  <si>
    <t xml:space="preserve">SAP-02, SAP-09</t>
  </si>
  <si>
    <t xml:space="preserve">END-01</t>
  </si>
  <si>
    <t xml:space="preserve">Endpoint Device Management (EDM)</t>
  </si>
  <si>
    <t xml:space="preserve">Endpoint Security</t>
  </si>
  <si>
    <t xml:space="preserve">END</t>
  </si>
  <si>
    <t xml:space="preserve">Mechanisms exist to facilitate the implementation of Endpoint Device Management (EDM) controls.</t>
  </si>
  <si>
    <t xml:space="preserve">Does the organization facilitate the implementation of Endpoint Device Management (EDM) controls?</t>
  </si>
  <si>
    <t xml:space="preserve">E-AST-01, E-END-01</t>
  </si>
  <si>
    <t xml:space="preserve">NIST SP 800-82 R3 - Moderate OT Overlay; NERC CIP; NIST Cybersecurity Framework 2.0; DOE Cybersecurity Capability Maturity Model; NIST SP 800-53B R5 - Privacy baseline</t>
  </si>
  <si>
    <t xml:space="preserve">Manager, Endpoint Engineering</t>
  </si>
  <si>
    <t xml:space="preserve">OT Engineering Lead (HMI, engineering workstations, servers)</t>
  </si>
  <si>
    <t xml:space="preserve">Endpoint protection vendor; OT equipment manufacturers</t>
  </si>
  <si>
    <t xml:space="preserve">The organization shall harden and centrally manage endpoint devices, including OT servers, Human-Machine Interfaces (HMIs), engineering workstations and AMI head-end hosts, to protect against malicious code, unauthorized software and misuse. Endpoint protections for OT shall be validated with manufacturers and deployed so that they do not impair safety or control functions.</t>
  </si>
  <si>
    <t xml:space="preserve">The organization develops, implements and governs processes and documentation to facilitate the implementation of Endpoint Device Management (EDM) controls, as well as associated standards, controls and procedures, across enterprise IT, Operational Technology (OT) and Advanced Metering Infrastructure (AMI) environments.
Within the OT and AMI environment, this objective hardens OT endpoints such as HMIs, engineering workstations, historians and head-end servers using manufacturer-validated protections (e.g., application allow-listing) that do not impair control functions.</t>
  </si>
  <si>
    <t xml:space="preserve">The Chief Information Security Officer (CISO), in coordination with the OT Security Lead, is responsible for:
a. Ensuring security configuration settings for information technology products employed in the system are established and included in the baseline configuration;
b. Ensuring endpoint security management operations are conducted according to documented policies, standards, procedures and/or other organizational directives;
c. Ensuring adequate resources (e.g., people, processes, technologies, data and/or facilities) are provided to support endpoint security management operations;
d. Ensuring responsibility and authority for the performance of endpoint security management-related activities are assigned to designated personnel;
e. Ensuring a current baseline configuration for systems, applications and services is developed and documented;
f. Ensuring the baseline configuration includes hardware, software, firmware and documentation;
g. Ensuring the baseline configuration is maintained (reviewed / updated) throughout the system development life cycle under configuration control;
h. Ensuring security configuration settings for information technology products employed in the system are enforced;
i. Deploying manufacturer-validated endpoint protection (e.g., application allow-listing, anti-malware with controlled updates, file integrity monitoring) on OT servers, HMIs, engineering workstations and head-end hosts; and
j.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</si>
  <si>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IT Asset Management (ITAM) program; Configuration Management (CM) program; Change control program.
In-scope requirement alignment: NIST SP 800-82 R3 (Moderate OT overlay): MP-02 | NERC CIP: CIP-011-3 1.2 | DOE C2M2: ARCHITECTURE-3b | NIST CSF 2.0: DE.CM-09 | NIST SP 800-53B Privacy: MP-02.
Validation: Annual conformity validation; evidence artifacts E-AST-01, E-END-01; PPTDF applicability: Technology.</t>
  </si>
  <si>
    <t xml:space="preserve">ARCHITECTURE-3b</t>
  </si>
  <si>
    <t xml:space="preserve">7.7, 8.1, 8.5</t>
  </si>
  <si>
    <t xml:space="preserve">∙ Secure Baseline Configurations (SBC)
∙ IT Asset Management (ITAM) program
∙ Configuration Management (CM) program
∙ Change control program</t>
  </si>
  <si>
    <t xml:space="preserve">END-02</t>
  </si>
  <si>
    <t xml:space="preserve">Endpoint Protection Measures</t>
  </si>
  <si>
    <t xml:space="preserve">Mechanisms exist to protect the confidentiality, integrity, availability and safety of endpoint devices.</t>
  </si>
  <si>
    <t xml:space="preserve">Does the organization protect the confidentiality, integrity, availability and safety of endpoint devices?</t>
  </si>
  <si>
    <t xml:space="preserve">NIST SP 800-82 R3 - Moderate OT Overlay; NIST SP 800-53B R5 - Moderate baseline; DOE Cybersecurity Capability Maturity Model; NIST SP 800-53B R5 - Privacy baseline</t>
  </si>
  <si>
    <t xml:space="preserve">The organization implements and operates mechanisms to protect the confidentiality, integrity, availability and safety of endpoint devices.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</si>
  <si>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the confidentiality and integrity of sensitive / regulated data at rest is protected;
b. Ensuring information at rest requiring protection is defined;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</si>
  <si>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IT Asset Management (ITAM) program; Configuration Management (CM) program; Change control program.
In-scope requirement alignment: NIST SP 800-82 R3 (Moderate OT overlay): SC-28 | DOE C2M2: ARCHITECTURE-3f, ARCHITECTURE-3h | NIST SP 800-53B Moderate: SC-28 | NIST SP 800-53B Privacy: SC-28.
Validation: Annual conformity validation; evidence artifacts to be defined; PPTDF applicability: Technology.</t>
  </si>
  <si>
    <t xml:space="preserve">SC-28</t>
  </si>
  <si>
    <t xml:space="preserve">ARCHITECTURE-3f, ARCHITECTURE-3h</t>
  </si>
  <si>
    <t xml:space="preserve">8.1, 8.5</t>
  </si>
  <si>
    <t xml:space="preserve">END-03</t>
  </si>
  <si>
    <t xml:space="preserve">Prohibit Installation Without Privileged Status</t>
  </si>
  <si>
    <t xml:space="preserve">Automated mechanisms exist to prohibit software installations without explicitly assigned privileged status.</t>
  </si>
  <si>
    <t xml:space="preserve">Does the organization use automated mechanisms to prohibit software installations without explicitly assigned privileged status?</t>
  </si>
  <si>
    <t xml:space="preserve">NIST Cybersecurity Framework 2.0; NIST SP 800-161 R1 - C-SCRM Baseline; NIST SP 800-53B R5 - Privacy baseline</t>
  </si>
  <si>
    <t xml:space="preserve">The organization implements and operates automated mechanisms to prohibit software installations without explicitly assigned privileged status.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</si>
  <si>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user installation of software is allowed only with explicit privileged status;
b. Ensuring policies governing the installation of software by users are established;
c. Ensuring methods used to enforce software installation policies are defined;
d. Ensuring the frequency with which to monitor compliance is defined;
e. Ensuring software installation policies are enforced through methods;
f. Ensuring compliance with policies is monitored frequency;
g. Deploying manufacturer-validated endpoint protection (e.g., application allow-listing, anti-malware with controlled updates, file integrity monitoring) on OT servers, HMIs, engineering workstations and head-end hosts; and
h.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</si>
  <si>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Role Based Access Control (RBAC); Separation of Duties (SoD); Privileged Account Management (PAM).
In-scope requirement alignment: NIST CSF 2.0: PR.PS-05 | NIST SP 800-161 R1 C-SCRM: CM-11 | NIST SP 800-53B Privacy: CM-11, CM-11(02).
Validation: Quarterly conformity validation; evidence artifacts E-IAM-02; PPTDF applicability: Technology.</t>
  </si>
  <si>
    <t xml:space="preserve">8.19</t>
  </si>
  <si>
    <t xml:space="preserve">∙ Role Based Access Control (RBAC)
∙ Separation of Duties (SoD)
∙ Privileged Account Management (PAM)</t>
  </si>
  <si>
    <t xml:space="preserve">END-03.1</t>
  </si>
  <si>
    <t xml:space="preserve">Software Installation Alerts</t>
  </si>
  <si>
    <t xml:space="preserve">Mechanisms exist to generate an alert when new software is detected.</t>
  </si>
  <si>
    <t xml:space="preserve">Does the organization generate an alert when new software is detected?</t>
  </si>
  <si>
    <t xml:space="preserve">The organization implements and operates mechanisms to generate an alert when new software is detected.
Within the OT and AMI environment, this objective hardens OT endpoints such as HMIs, engineering workstations, historians and head-end servers using manufacturer-validated protections (e.g., application allow-listing) that do not impair control functions.</t>
  </si>
  <si>
    <t xml:space="preserve">The Managed Security Service Provider (MSSP), under the oversight of the Security Operations function and with OT visibility requirements, is responsible for:
a. Ensuring compliance with software installation policies is monitored using organization-defined automated mechanisms;
b. Ensuring automated mechanisms used to detect the presence of unauthorized hardware, software and/or firmware within the system are defined;
c. Ensuring the presence of unauthorized hardware, software and/or firmware within the system is detected using automated mechanisms frequency;
d. Ensuring the frequency at which automated mechanisms are used to detect the presence of unauthorized hardware, software and/or firmware within the system is defined;
e. Ensuring automated mechanisms disable network access by unauthorized components, isolate unauthorized components and/or notify organization-defined personnel or roles;
f. Ensuring personnel or roles to be notified when unauthorized components are detected is/are defined;
g. Ensuring organization-defined actions are taken when unauthorized hardware, software and/or firmware is detected;
h. Deploying manufacturer-validated endpoint protection (e.g., application allow-listing, anti-malware with controlled updates, file integrity monitoring) on OT servers, HMIs, engineering workstations and head-end hosts; and
i.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</si>
  <si>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CimTrak Integrity Suite; Netwrix Auditor.
In-scope requirement alignment: NIST SP 800-82 R3 (Moderate OT overlay): CM-08(03) | NIST SP 800-53B Moderate: CM-08(03) | NIST SP 800-53B Privacy: CM-08(03), CM-11(03).
Validation: Annual conformity validation; evidence artifacts to be defined; PPTDF applicability: Technology.</t>
  </si>
  <si>
    <t xml:space="preserve">END-03.2</t>
  </si>
  <si>
    <t xml:space="preserve">Governing Access Restriction for Change</t>
  </si>
  <si>
    <t xml:space="preserve">Mechanisms exist to define, document, approve and enforce access restrictions associated with changes to Technology Assets, Applications and/or Services (TAAS).</t>
  </si>
  <si>
    <t xml:space="preserve">Does the organization define, document, approve and enforce access restrictions associated with changes to Technology Assets, Applications and/or Services (TAAS)?</t>
  </si>
  <si>
    <t xml:space="preserve">The organization implements and operates mechanisms to define, document, approve and enforce access restrictions associated with changes to Technology Assets, Applications and/or Services (TAAS).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</si>
  <si>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physical access restrictions associated with changes to the system are defined and documented;
b. Ensuring physical access restrictions associated with changes to the system are approved;
c. Ensuring physical access restrictions associated with changes to the system are enforced;
d. Ensuring logical access restrictions associated with changes to the system are defined and documented;
e. Ensuring logical access restrictions associated with changes to the system are approved;
f. Ensuring logical access restrictions associated with changes to the system are enforced;
g. Deploying manufacturer-validated endpoint protection (e.g., application allow-listing, anti-malware with controlled updates, file integrity monitoring) on OT servers, HMIs, engineering workstations and head-end hosts; and
h.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</si>
  <si>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Role Based Access Control (RBAC); Separation of Duties (SoD); Privileged Account Management (PAM).
In-scope requirement alignment: NIST SP 800-82 R3 (Moderate OT overlay): CM-05 | NIST SP 800-161 R1 C-SCRM: CM-5 | NIST SP 800-53B Privacy: CM-05.
Validation: Annual conformity validation; evidence artifacts to be defined; PPTDF applicability: Process.</t>
  </si>
  <si>
    <t xml:space="preserve">END-04</t>
  </si>
  <si>
    <t xml:space="preserve">Malicious Code Protection (Anti-Malware)</t>
  </si>
  <si>
    <t xml:space="preserve">Mechanisms exist to utilize antimalware technologies to detect and eradicate malicious code.</t>
  </si>
  <si>
    <t xml:space="preserve">Does the organization utilize antimalware technologies to detect and eradicate malicious code?</t>
  </si>
  <si>
    <t xml:space="preserve">E-END-01, E-MON-02</t>
  </si>
  <si>
    <t xml:space="preserve">IEC 62443-2-1:2024; IEC 62443-3-3:2013; IEC 62443-4-2:2019; NIST SP 800-82 R3 - Moderate OT Overlay; NERC CIP; NIST Cybersecurity Framework 2.0; CSA IoT Security Controls Framework v2; NIST SP 800-161 R1 - C-SCRM Baseline; NIST SP 800-53B R5 - Privacy baseline</t>
  </si>
  <si>
    <t xml:space="preserve">MSP</t>
  </si>
  <si>
    <t xml:space="preserve">The organization implements and operates mechanisms to utilize antimalware technologies to detect and eradicate malicious code.
Within the OT and AMI environment, this objective hardens OT endpoints such as HMIs, engineering workstations, historians and head-end servers using manufacturer-validated protections (e.g., application allow-listing) that do not impair control functions.</t>
  </si>
  <si>
    <t xml:space="preserve">Managed Service Providers (MSPs), under the oversight of IT and OT Operations, are responsible for:
a. Ensuring the frequency for malicious code scans is defined;
b. Ensuring malicious code scans are performed with the defined frequency;
c. Ensuring malicious code protection mechanisms are configured to perform real-time scans of files from external sources as the files are downloaded, opened or executed;
d. Ensuring designated locations for malicious code protection are identified;
e. Ensuring protection from malicious code at designated locations is provided;
f. Ensuring malicious code protection mechanisms are implemented at system entry and exit points to detect malicious code;
g. Ensuring malicious code protection mechanisms are implemented at system entry and exit points to eradicate malicious code;
h. Ensuring malicious code protection mechanisms are configured to block malicious code, quarantine malicious code, or take other actions in response to malicious code detection; and
i. Deploying manufacturer-validated anti-malware or application allow-listing on OT servers, HMIs, engineering workstations and head-end hosts, with signature and policy updates tested and deployed under change control.</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</si>
  <si>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Antimalware software.
In-scope requirement alignment: IEC 62443-2-1: COMP 2.2 | IEC 62443-3-3: SR 3.2, SR 3.2 RE 1 | IEC 62443-4-2: SAR 3.2, HDR 3.2, NDR 3.2 | NIST SP 800-82 R3 (Moderate OT overlay): SI-03 | NERC CIP: CIP-007-6 3.1, CIP-007-6 3.2, CIP-007-6 3.3, CIP-007-6 4.2.1 | NIST CSF 2.0: DE.CM-09 | NIST SP 800-161 R1 C-SCRM: SI-3 | CSA IoT SCF: CLS-14 | NIST SP 800-53B Privacy: SI-03.
Validation: Annual conformity validation; evidence artifacts E-END-01, E-MON-02; PPTDF applicability: Technology.</t>
  </si>
  <si>
    <t xml:space="preserve">COMP 2.2</t>
  </si>
  <si>
    <t xml:space="preserve">SR 3.2, SR 3.2 RE 1</t>
  </si>
  <si>
    <t xml:space="preserve">SAR 3.2, HDR 3.2, NDR 3.2</t>
  </si>
  <si>
    <t xml:space="preserve">SI-03</t>
  </si>
  <si>
    <t xml:space="preserve">CIP-007-6 3.1, CIP-007-6 3.2, CIP-007-6 3.3, CIP-007-6 4.2.1</t>
  </si>
  <si>
    <t xml:space="preserve">SI-3</t>
  </si>
  <si>
    <t xml:space="preserve">CLS-14</t>
  </si>
  <si>
    <t xml:space="preserve">8.7</t>
  </si>
  <si>
    <t xml:space="preserve">∙ Antimalware software</t>
  </si>
  <si>
    <t xml:space="preserve">END-04.1</t>
  </si>
  <si>
    <t xml:space="preserve">Automatic Antimalware Signature Updates</t>
  </si>
  <si>
    <t xml:space="preserve">Automated mechanisms exist to update antimalware technologies, including signature definitions.</t>
  </si>
  <si>
    <t xml:space="preserve">Does the organization use automated mechanisms to update antimalware technologies, including signature definitions?</t>
  </si>
  <si>
    <t xml:space="preserve">E-END-02</t>
  </si>
  <si>
    <t xml:space="preserve">IEC 62443-2-1:2024; NIST SP 800-82 R3 - Moderate OT Overlay; NIST SP 800-161 R1 - C-SCRM Baseline; NIST SP 800-53B R5 - Privacy baseline</t>
  </si>
  <si>
    <t xml:space="preserve">The organization implements and operates automated mechanisms to update antimalware technologies, including signature definitions.
Within the OT and AMI environment, this objective hardens OT endpoints such as HMIs, engineering workstations, historians and head-end servers using manufacturer-validated protections (e.g., application allow-listing) that do not impair control functions.</t>
  </si>
  <si>
    <t xml:space="preserve">Managed Service Providers (MSPs), under the oversight of IT and OT Operations, are responsible for:
a. Ensuring malicious code protection mechanisms are updated as new releases are available;
b. Ensuring malicious code protection mechanisms are updated when new releases are available;
c. Ensuring malicious code protection mechanisms are updated as new releases are available in accordance with configuration management policy and procedures;
d. Deploying manufacturer-validated endpoint protection (e.g., application allow-listing, anti-malware with controlled updates, file integrity monitoring) on OT servers, HMIs, engineering workstations and head-end hosts; and
e.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</si>
  <si>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In-scope requirement alignment: IEC 62443-2-1: COMP 2.3 | NIST SP 800-82 R3 (Moderate OT overlay): SI-02, SI-03 | NIST SP 800-161 R1 C-SCRM: SI-2, SI-3 | NIST SP 800-53B Privacy: SI-02, SI-03.
Validation: Quarterly conformity validation; evidence artifacts E-END-02; PPTDF applicability: Technology.</t>
  </si>
  <si>
    <t xml:space="preserve">COMP 2.3</t>
  </si>
  <si>
    <t xml:space="preserve">SI-02, SI-03</t>
  </si>
  <si>
    <t xml:space="preserve">SI-2, SI-3</t>
  </si>
  <si>
    <t xml:space="preserve">END-04.3</t>
  </si>
  <si>
    <t xml:space="preserve">Centralized Management of Antimalware Technologies</t>
  </si>
  <si>
    <t xml:space="preserve">Mechanisms exist to centrally-manage antimalware technologies.</t>
  </si>
  <si>
    <t xml:space="preserve">Does the organization centrally-manage antimalware technologies?</t>
  </si>
  <si>
    <t xml:space="preserve">E-END-03, E-MON-02</t>
  </si>
  <si>
    <t xml:space="preserve">IEC 62443-3-3:2013; IEC 62443-4-2:2019; NIST SP 800-53B R5 - Privacy baseline</t>
  </si>
  <si>
    <t xml:space="preserve">The organization implements and operates mechanisms to centrally-manage antimalware technologies.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</si>
  <si>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antimalware controls and related processes to be centrally managed are defined;
b. Ensuring antimalware controls and related processes are centrally managed;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</si>
  <si>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Antimalware software.
In-scope requirement alignment: IEC 62443-3-3: SR 3.2 RE 2 | IEC 62443-4-2: HDR 3.2(1) | NIST SP 800-53B Privacy: PL-09.
Validation: Quarterly conformity validation; evidence artifacts E-END-03, E-MON-02; PPTDF applicability: Technology.</t>
  </si>
  <si>
    <t xml:space="preserve">SR 3.2 RE 2</t>
  </si>
  <si>
    <t xml:space="preserve">HDR 3.2(1)</t>
  </si>
  <si>
    <t xml:space="preserve">END-04.4</t>
  </si>
  <si>
    <t xml:space="preserve">Heuristic / Nonsignature-Based Detection</t>
  </si>
  <si>
    <t xml:space="preserve">Mechanisms exist to utilize heuristic / nonsignature-based antimalware detection capabilities.</t>
  </si>
  <si>
    <t xml:space="preserve">Does the organization utilize heuristic / nonsignature-based antimalware detection capabilities?</t>
  </si>
  <si>
    <t xml:space="preserve">NIST SP 800-82 R3 - Moderate OT Overlay; NERC CIP; NIST SP 800-161 R1 - C-SCRM Baseline; NIST SP 800-53B R5 - Privacy baseline</t>
  </si>
  <si>
    <t xml:space="preserve">The organization implements and operates mechanisms to utilize heuristic / nonsignature-based antimalware detection capabilities.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</si>
  <si>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malicious code protection mechanisms are implemented at system entry and exit points to detect malicious code;
b. Ensuring malicious code protection mechanisms are updated automatically as new releases are available in accordance with organizational configuration management policy and procedures;
c. Ensuring malicious code protection mechanisms are configured to perform periodic scans of the system frequency;
d. Ensuring malicious code protection mechanisms are configured to perform real-time scans of files from external sources as the files are downloaded, opened or executed in accordance with organizational policy;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</si>
  <si>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Antimalware software.
In-scope requirement alignment: NIST SP 800-82 R3 (Moderate OT overlay): SI-03 | NERC CIP: CIP-007-6 3.3 | NIST SP 800-161 R1 C-SCRM: SI-3 | NIST SP 800-53B Privacy: SI-03.
Validation: Annual conformity validation; evidence artifacts to be defined; PPTDF applicability: Technology.</t>
  </si>
  <si>
    <t xml:space="preserve">CIP-007-6 3.3</t>
  </si>
  <si>
    <t xml:space="preserve">END-04.5</t>
  </si>
  <si>
    <t xml:space="preserve">Malware Protection Mechanism Testing</t>
  </si>
  <si>
    <t xml:space="preserve">Mechanisms exist to test antimalware technologies by introducing a known benign, non-spreading test case into the system and subsequently verifying that both detection of the test case and associated incident reporting occurs.</t>
  </si>
  <si>
    <t xml:space="preserve">Does the organization test antimalware technologies by introducing a known benign, non-spreading test case into the system and subsequently verifying that both detection of the test case and associated incident reporting occurs?</t>
  </si>
  <si>
    <t xml:space="preserve">The organization implements and operates mechanisms to test antimalware technologies by introducing a known benign, non-spreading test case into the system and subsequently verifying that both detection of the test case and associated incident reporting occurs.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</si>
  <si>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the frequency at which to test malicious code protection mechanisms is defined;
b. Ensuring malicious code protection mechanisms are tested frequently by introducing known benign code into the system;
c. Ensuring the detection of (benign test) code occurs;
d. Ensuring the associated incident reporting occurs;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</si>
  <si>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EICAR test file.
In-scope requirement alignment: IEC 62443-2-1: COMP 2.3.
Validation: Annual conformity validation; evidence artifacts to be defined; PPTDF applicability: Process.</t>
  </si>
  <si>
    <t xml:space="preserve">SI-03(06)</t>
  </si>
  <si>
    <t xml:space="preserve">∙ EICAR test file</t>
  </si>
  <si>
    <t xml:space="preserve">END-04.7</t>
  </si>
  <si>
    <t xml:space="preserve">Always On Protection</t>
  </si>
  <si>
    <t xml:space="preserve">Mechanisms exist to ensure that anti-malware technologies are continuously running in real-time and cannot be disabled or altered by non-privileged users, unless specifically authorized by management on a case-by-case basis for a limited time period.</t>
  </si>
  <si>
    <t xml:space="preserve">Does the organization ensure that anti-malware technologies are continuously running in real-time and cannot be disabled or altered by non-privileged users, unless specifically authorized by management on a case-by-case basis for a limited time period?</t>
  </si>
  <si>
    <t xml:space="preserve">The organization implements and operates mechanisms to ensure that anti-malware technologies are continuously running in real-time and cannot be disabled or altered by non-privileged users, unless specifically authorized by management on a case-by-case basis for a limited time period.
Within the OT and AMI environment, this objective hardens OT endpoints such as HMIs, engineering workstations, historians and head-end servers using manufacturer-validated protections (e.g., application allow-listing) that do not impair control functions.</t>
  </si>
  <si>
    <t xml:space="preserve">The Managed Security Service Provider (MSSP), under the oversight of the Security Operations function and with OT visibility requirements, is responsible for:
a. Ensuring malicious code protection mechanisms are configured to perform real-time scans of files from external sources as the files are downloaded, opened or executed;
b. Ensuring real-time malicious code scans of files from external sources as files are downloaded, opened, or executed are performed;
c. Ensuring malicious code protection mechanisms are configured to perform real-time scans of files from external sources at endpoints or system entry and exit points as the files are downloaded, opened, or executed;
d. Ensuring malicious code protection mechanisms are configured to perform scans of the system per an organization-defined frequency;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</si>
  <si>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Antimalware software.
In-scope requirement alignment: IEC 62443-2-1: COMP 2.1.
Validation: Quarterly conformity validation; evidence artifacts to be defined; PPTDF applicability: Technology.</t>
  </si>
  <si>
    <t xml:space="preserve">COMP 2.1</t>
  </si>
  <si>
    <t xml:space="preserve">END-06</t>
  </si>
  <si>
    <t xml:space="preserve">Endpoint File Integrity Monitoring (FIM)</t>
  </si>
  <si>
    <t xml:space="preserve">Mechanisms exist to utilize File Integrity Monitor (FIM), or similar technologies, to detect and report on unauthorized changes to selected files and configuration settings.</t>
  </si>
  <si>
    <t xml:space="preserve">Does the organization utilize File Integrity Monitor (FIM), or similar technologies, to detect and report on unauthorized changes to selected files and configuration settings?</t>
  </si>
  <si>
    <t xml:space="preserve">E-END-01</t>
  </si>
  <si>
    <t xml:space="preserve">IEC 62443-4-2:2019; NIST SP 800-82 R3 - Moderate OT Overlay; NIST Cybersecurity Framework 2.0; NIST SP 800-53B R5 - Moderate baseline; IEC 62443-4-1:2018; CSA IoT Security Controls Framework v2; NIST SP 800-161 R1 - C-SCRM Baseline; NIST Privacy Framework 1.0; NIST SP 800-53B R5 - Privacy baseline</t>
  </si>
  <si>
    <t xml:space="preserve">The organization implements and operates mechanisms to utilize File Integrity Monitor (FIM), or similar technologies, to detect and report on unauthorized changes to selected files and configuration settings.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</si>
  <si>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are jointly responsible for:
a. Ensuring software, firmware and/or information requiring integrity verification tools to be employed to detect unauthorized changes is defined;
b. Ensuring actions to be taken when unauthorized changes to software, firmware and/or information are detected are defined;
c. Ensuring integrity verification tools are employed to detect unauthorized changes to software, firmware and/or information;
d. Ensuring actions are taken when unauthorized changes to the software, firmware and/or information are detected;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</si>
  <si>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File Integrity Monitor (FIM); ManageEngine Endpoint Central; CimTrak Integrity Suite; Netwrix Auditor.
In-scope requirement alignment: IEC 62443-4-1: SM-6 | IEC 62443-4-2: CR 3.4 | NIST SP 800-82 R3 (Moderate OT overlay): SI-07 | NIST CSF 2.0: DE.CM-09 | NIST SP 800-53B Moderate: SI-07 | NIST SP 800-161 R1 C-SCRM: SI-7 | CSA IoT SCF: SAP-06 | NIST Privacy Framework: PR.DS-P6 | NIST SP 800-53B Privacy: SI-07.
Validation: Annual conformity validation; evidence artifacts E-END-01; PPTDF applicability: Technology.</t>
  </si>
  <si>
    <t xml:space="preserve">SM-6</t>
  </si>
  <si>
    <t xml:space="preserve">CR 3.4</t>
  </si>
  <si>
    <t xml:space="preserve">SI-07</t>
  </si>
  <si>
    <t xml:space="preserve">SI-7</t>
  </si>
  <si>
    <t xml:space="preserve">∙ File Integrity Monitor (FIM)
∙ ManageEngine Endpoint Central (https://manageengine.com)
∙ CimTrak Integrity Suite (https://cimcor.com/cimtrak)
∙ Netwrix Auditor (https://netrix.com)</t>
  </si>
  <si>
    <t xml:space="preserve">END-06.1</t>
  </si>
  <si>
    <t xml:space="preserve">Integrity Checks</t>
  </si>
  <si>
    <t xml:space="preserve">Mechanisms exist to validate configurations through integrity checking of software and firmware.</t>
  </si>
  <si>
    <t xml:space="preserve">Does the organization validate configurations through integrity checking of software and firmware?</t>
  </si>
  <si>
    <t xml:space="preserve">IEC 62443-3-3:2013; NIST SP 800-82 R3 - Moderate OT Overlay; NIST SP 800-53B R5 - Moderate baseline; CSA IoT Security Controls Framework v2; NIST Privacy Framework 1.0</t>
  </si>
  <si>
    <t xml:space="preserve">The organization implements and operates mechanisms to validate configurations through integrity checking of software and firmware.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</si>
  <si>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software, firmware and/or information on which an integrity check is to be performed is defined;
b. Ensuring an integrity check of software, firmware and/or information is performed per an organization-defined time period;
c. Ensuring transitional states or security-relevant events requiring integrity checks software, firmware and/or information are defined;
d. Ensuring the frequency with which to perform an integrity check software, firmware and/or information is defined;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</si>
  <si>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CimTrak Integrity Suite; Netwrix Auditor; File Integrity Monitor (FIM).
In-scope requirement alignment: IEC 62443-3-3: SR 2.4 RE 1 | NIST SP 800-82 R3 (Moderate OT overlay): SI-07(01) | NIST SP 800-53B Moderate: SI-07(01) | CSA IoT SCF: IOT-03 | NIST Privacy Framework: PR.DS-P6, PR.DS-P8.
Validation: Annual conformity validation; evidence artifacts to be defined; PPTDF applicability: Technology.</t>
  </si>
  <si>
    <t xml:space="preserve">SR 2.4 RE 1</t>
  </si>
  <si>
    <t xml:space="preserve">SI-07(01)</t>
  </si>
  <si>
    <t xml:space="preserve">IOT-03</t>
  </si>
  <si>
    <t xml:space="preserve">PR.DS-P6, PR.DS-P8</t>
  </si>
  <si>
    <t xml:space="preserve">∙ CimTrak Integrity Suite (https://cimcor.com/cimtrak)
∙ Netwrix Auditor (https://netrix.com)
∙ File Integrity Monitor (FIM)</t>
  </si>
  <si>
    <t xml:space="preserve">END-06.2</t>
  </si>
  <si>
    <t xml:space="preserve">Endpoint Detection &amp; Response (EDR)</t>
  </si>
  <si>
    <t xml:space="preserve">Mechanisms exist to detect and respond to unauthorized configuration changes as cybersecurity incidents.</t>
  </si>
  <si>
    <t xml:space="preserve">Does the organization detect and respond to unauthorized configuration changes as cybersecurity incidents?</t>
  </si>
  <si>
    <t xml:space="preserve">The organization implements and operates mechanisms to detect and respond to unauthorized configuration changes as cybersecurity incidents.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</si>
  <si>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security-relevant changes to the system are defined;
b. Ensuring the detection of changes is incorporated into the organizational incident response capability;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</si>
  <si>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CimTrak Integrity Suite; Netwrix Auditor.
In-scope requirement alignment: NIST SP 800-82 R3 (Moderate OT overlay): SI-07(07) | NIST SP 800-53B Moderate: SI-07(07).
Validation: Semi-Annual conformity validation; evidence artifacts to be defined; PPTDF applicability: Technology.</t>
  </si>
  <si>
    <t xml:space="preserve">SI-07(07)</t>
  </si>
  <si>
    <t xml:space="preserve">END-06.3</t>
  </si>
  <si>
    <t xml:space="preserve">Automated Notifications of Integrity Violations</t>
  </si>
  <si>
    <t xml:space="preserve">Automated mechanisms exist to alert incident response personnel upon discovering discrepancies during integrity verification.</t>
  </si>
  <si>
    <t xml:space="preserve">Does the organization use automated mechanisms to alert incident response personnel upon discovering discrepancies during integrity verification?</t>
  </si>
  <si>
    <t xml:space="preserve">The organization implements and operates automated mechanisms to alert incident response personnel upon discovering discrepancies during integrity verification.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</si>
  <si>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personnel or roles to whom notification is to be provided upon discovering discrepancies during integrity verification is/are defined;
b. Ensuring automated tools that provide notification to personnel or roles upon discovering discrepancies during integrity verification are employed;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</si>
  <si>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Enterprise EDR/XDR platform (e.g., CrowdStrike, SentinelOne); UEM (e.g., Microsoft Intune, JAMF); Zero-trust endpoint controls.
In-scope requirement alignment: NIST Privacy Framework: PR.DS-P6.
Validation: Quarterly conformity validation; evidence artifacts to be defined; PPTDF applicability: Technology.</t>
  </si>
  <si>
    <t xml:space="preserve">SI-07(02)</t>
  </si>
  <si>
    <t xml:space="preserve">∙ Enterprise EDR/XDR platform (e.g., CrowdStrike, SentinelOne)
∙ UEM (e.g., Microsoft Intune, JAMF)
∙ Zero-trust endpoint controls</t>
  </si>
  <si>
    <t xml:space="preserve">END-06.5</t>
  </si>
  <si>
    <t xml:space="preserve">Boot Process Integrity</t>
  </si>
  <si>
    <t xml:space="preserve">Automated mechanisms exist to verify the integrity of the boot process of systems.</t>
  </si>
  <si>
    <t xml:space="preserve">Does the organization use automated mechanisms to verify the integrity of the boot process of systems?</t>
  </si>
  <si>
    <t xml:space="preserve">The organization implements and operates automated mechanisms to verify the integrity of the boot process of systems.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</si>
  <si>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system components requiring integrity verification of the boot process are defined;
b. Ensuring the integrity of the boot process of system components is verified;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</si>
  <si>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UEFI Secure Boot.
In-scope requirement alignment: IEC 62443-4-2: CR 3.14, EDR 3.14, HDR 3.14, NDR 3.14.
Validation: Quarterly conformity validation; evidence artifacts to be defined; PPTDF applicability: Technology.</t>
  </si>
  <si>
    <t xml:space="preserve">CR 3.14, EDR 3.14, HDR 3.14, NDR 3.14</t>
  </si>
  <si>
    <t xml:space="preserve">SI-07(09)</t>
  </si>
  <si>
    <t xml:space="preserve">∙ UEFI Secure Boot</t>
  </si>
  <si>
    <t xml:space="preserve">END-06.6</t>
  </si>
  <si>
    <t xml:space="preserve">Protection of Boot Firmware</t>
  </si>
  <si>
    <t xml:space="preserve">Automated mechanisms exist to protect the integrity of boot firmware in systems.</t>
  </si>
  <si>
    <t xml:space="preserve">Does the organization use automated mechanisms to protect the integrity of boot firmware in systems?</t>
  </si>
  <si>
    <t xml:space="preserve">The organization implements and operates automated mechanisms to protect the integrity of boot firmware in systems.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</si>
  <si>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mechanisms to be implemented to protect the integrity of boot firmware in system components are defined;
b. Ensuring system components requiring mechanisms to protect the integrity of boot firmware are defined;
c. Ensuring mechanisms are implemented to protect the integrity of boot firmware in system components;
d. Deploying manufacturer-validated endpoint protection (e.g., application allow-listing, anti-malware with controlled updates, file integrity monitoring) on OT servers, HMIs, engineering workstations and head-end hosts; and
e.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</si>
  <si>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UEFI Secure Boot.
In-scope requirement alignment: IEC 62443-4-2: EDR 3.14(1), HDR 3.14(1), NDR 3.14(1).
Validation: Quarterly conformity validation; evidence artifacts to be defined; PPTDF applicability: Technology.</t>
  </si>
  <si>
    <t xml:space="preserve">EDR 3.14(1), HDR 3.14(1), NDR 3.14(1)</t>
  </si>
  <si>
    <t xml:space="preserve">SI-07(10)</t>
  </si>
  <si>
    <t xml:space="preserve">END-07</t>
  </si>
  <si>
    <t xml:space="preserve">Host Intrusion Detection and Prevention Systems (HIDS / HIPS)</t>
  </si>
  <si>
    <t xml:space="preserve">Mechanisms exist to utilize Host-based Intrusion Detection / Prevention Systems (HIDS / HIPS), or similar technologies, to monitor for and protect against anomalous host activity, including lateral movement across the network.</t>
  </si>
  <si>
    <t xml:space="preserve">Does the organization utilize Host-based Intrusion Detection / Prevention Systems (HIDS / HIPS), or similar technologies, to monitor for and protect against anomalous host activity, including lateral movement across the network?</t>
  </si>
  <si>
    <t xml:space="preserve">The organization implements and operates mechanisms to utilize Host-based Intrusion Detection / Prevention Systems (HIDS / HIPS), or similar technologies, to monitor for and protect against anomalous host activity, including lateral movement across the network.
Within the OT and AMI environment, this objective hardens OT endpoints such as HMIs, engineering workstations, historians and head-end servers using manufacturer-validated protections (e.g., application allow-listing) that do not impair control functions.</t>
  </si>
  <si>
    <t xml:space="preserve">The Managed Security Service Provider (MSSP), under the oversight of the Security Operations function and with OT visibility requirements, is responsible for:
a. Ensuring Host-based Intrusion Detection / Prevention Systems (HIDS / HIPS), or a similar technology, is deployed on business-critical systems;
b. Ensuring Host-based Intrusion Detection / Prevention Systems (HIDS / HIPS), or a similar technology, is deployed on systems that store, process and/or transmit sensitive / regulated data;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</si>
  <si>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Host-based Intrusion Detection / Prevention Systems (HIDS / HIPS).
In-scope requirement alignment: CSA IoT SCF: CLS-14, SAP-06.
Validation: Annual conformity validation; evidence artifacts to be defined; PPTDF applicability: Technology.</t>
  </si>
  <si>
    <t xml:space="preserve">CLS-14, SAP-06</t>
  </si>
  <si>
    <t xml:space="preserve">∙ Host-based Intrusion Detection / Prevention Systems (HIDS / HIPS)</t>
  </si>
  <si>
    <t xml:space="preserve">END-08</t>
  </si>
  <si>
    <t xml:space="preserve">Phishing &amp; Spam Protection</t>
  </si>
  <si>
    <t xml:space="preserve">Mechanisms exist to utilize anti-phishing and spam protection technologies to detect and take action on unsolicited messages transported by electronic mail.</t>
  </si>
  <si>
    <t xml:space="preserve">Does the organization utilize anti-phishing and spam protection technologies to detect and take action on unsolicited messages transported by electronic mail?</t>
  </si>
  <si>
    <t xml:space="preserve">The organization implements and operates mechanisms to utilize anti-phishing and spam protection technologies to detect and take action on unsolicited messages transported by electronic mail.
Within the OT and AMI environment, this objective hardens OT endpoints such as HMIs, engineering workstations, historians and head-end servers using manufacturer-validated protections (e.g., application allow-listing) that do not impair control functions.</t>
  </si>
  <si>
    <t xml:space="preserve">The Managed Security Service Provider (MSSP), under the oversight of the Security Operations function and with OT visibility requirements, is responsible for:
a. Ensuring spam protection mechanisms are employed at system entry points to detect unsolicited messages;
b. Ensuring spam protection mechanisms are employed at system entry points to act on unsolicited messages;
c. Ensuring spam protection mechanisms are employed at system exit points to detect unsolicited messages;
d. Ensuring spam protection mechanisms are employed at system exit points to act on unsolicited messages;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</si>
  <si>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Anti-spam / phishing solution.
In-scope requirement alignment: NIST SP 800-82 R3 (Moderate OT overlay): SI-08 | NIST SP 800-53B Moderate: SI-08.
Validation: Annual conformity validation; evidence artifacts to be defined; PPTDF applicability: Technology.</t>
  </si>
  <si>
    <t xml:space="preserve">SI-08</t>
  </si>
  <si>
    <t xml:space="preserve">∙ Anti-spam / phishing solution</t>
  </si>
  <si>
    <t xml:space="preserve">END-08.1</t>
  </si>
  <si>
    <t xml:space="preserve">Phishing &amp; Spam Protection Centralized Management</t>
  </si>
  <si>
    <t xml:space="preserve">Mechanisms exist to centrally manage anti-phishing and spam protection technologies.</t>
  </si>
  <si>
    <t xml:space="preserve">Does the organization centrally manage anti-phishing and spam protection technologies?</t>
  </si>
  <si>
    <t xml:space="preserve">The organization implements and operates mechanisms to centrally manage anti-phishing and spam protection technologies.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</si>
  <si>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endpoint security controls and related processes to be centrally managed are defined;
b. Ensuring endpoint security controls and related processes are centrally managed;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</si>
  <si>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Enterprise EDR/XDR platform (e.g., CrowdStrike, SentinelOne); UEM (e.g., Microsoft Intune, JAMF); Zero-trust endpoint controls.
In-scope requirement alignment: NIST SP 800-53B Privacy: PL-09.
Validation: Annual conformity validation; evidence artifacts to be defined; PPTDF applicability: Technology.</t>
  </si>
  <si>
    <t xml:space="preserve">END-08.2</t>
  </si>
  <si>
    <t xml:space="preserve">Automatic Spam and Phishing Protection Updates</t>
  </si>
  <si>
    <t xml:space="preserve">Mechanisms exist to automatically update anti-phishing and spam protection technologies when new releases are available in accordance with configuration and change management practices.</t>
  </si>
  <si>
    <t xml:space="preserve">Does the organization automatically update anti-phishing and spam protection technologies when new releases are available in accordance with configuration and change management practices?</t>
  </si>
  <si>
    <t xml:space="preserve">The organization implements and operates mechanisms to automatically update anti-phishing and spam protection technologies when new releases are available in accordance with configuration and change management practices.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</si>
  <si>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the frequency at which to automatically update spam protection mechanisms is defined;
b. Ensuring spam protection mechanisms are automatically updated frequently;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</si>
  <si>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Enterprise EDR/XDR platform (e.g., CrowdStrike, SentinelOne); UEM (e.g., Microsoft Intune, JAMF); Zero-trust endpoint controls.
In-scope requirement alignment: NIST SP 800-53B Moderate: SI-08(02).
Validation: Annual conformity validation; evidence artifacts to be defined; PPTDF applicability: Technology.</t>
  </si>
  <si>
    <t xml:space="preserve">SI-08(02)</t>
  </si>
  <si>
    <t xml:space="preserve">END-10</t>
  </si>
  <si>
    <t xml:space="preserve">Mobile Code</t>
  </si>
  <si>
    <t xml:space="preserve">Mechanisms exist to address mobile code / operating system-independent applications.</t>
  </si>
  <si>
    <t xml:space="preserve">Does the organization address mobile code / operating system-independent applications?</t>
  </si>
  <si>
    <t xml:space="preserve">E-AST-32</t>
  </si>
  <si>
    <t xml:space="preserve">IEC 62443-3-3:2013; IEC 62443-4-2:2019; NIST SP 800-82 R3 - Moderate OT Overlay; CISA Cross-Sector Cybersecurity Performance Goals; NIST SP 800-53B R5 - Moderate baseline; NIST SP 800-53B R5 - Privacy baseline</t>
  </si>
  <si>
    <t xml:space="preserve">The organization implements and operates mechanisms to address mobile code / operating system-independent applications.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</si>
  <si>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acceptable mobile code technologies are defined;
b. Ensuring unacceptable mobile code technologies are defined;
c. Ensuring the use of mobile code is authorized, monitored and controlled;
d. Ensuring the download of unacceptable mobile code is prevented;
e. Ensuring the execution of unacceptable mobile code is prevented;
f. Ensuring corrective actions to be taken when unacceptable mobile code is identified are defined;
g. Ensuring corrective actions are taken if unacceptable mobile code is identified;
h. Ensuring acceptable mobile code is defined;
i. Deploying manufacturer-validated endpoint protection (e.g., application allow-listing, anti-malware with controlled updates, file integrity monitoring) on OT servers, HMIs, engineering workstations and head-end hosts; and
j.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</si>
  <si>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Configuration Management (CM) program.
In-scope requirement alignment: IEC 62443-3-3: SR 2.4, SR 2.4(a), SR 2.4(b), SR 2.4(c), SR 2.4(d) | IEC 62443-4-2: SAR 2.4, SAR 2.4(a), SAR 2.4(b), SAR 2.4(c), SAR 2.4(1), EDR 2.4, EDR 2.4(a), EDR 2.4(b), EDR 2.4(c), HDR 2.4, HDR 2.4(a), HDR 2.4(b), HDR 2.4(c), NDR 2.4, NDR 2.4(a), NDR 2.4(b), NDR 2.4(c), NDR 2.4(1) | NIST SP 800-82 R3 (Moderate OT overlay): SC-18 | CISA CPG: 2.N | NIST SP 800-53B Moderate: SC-18 | NIST SP 800-53B Privacy: SC-18(01), SC-18(02), SC-18(03), SC-18(04).
Validation: Annual conformity validation; evidence artifacts E-AST-32; PPTDF applicability: Technology.</t>
  </si>
  <si>
    <t xml:space="preserve">SR 2.4, SR 2.4(a), SR 2.4(b), SR 2.4(c), SR 2.4(d)</t>
  </si>
  <si>
    <t xml:space="preserve">SAR 2.4, SAR 2.4(a), SAR 2.4(b), SAR 2.4(c), SAR 2.4(1), EDR 2.4, EDR 2.4(a), EDR 2.4(b), EDR 2.4(c), HDR 2.4, HDR 2.4(a), HDR 2.4(b), HDR 2.4(c), NDR 2.4, NDR 2.4(a), NDR 2.4(b), NDR 2.4(c), NDR 2.4(1)</t>
  </si>
  <si>
    <t xml:space="preserve">SC-18, SC-18(01), SC-18(02), SC-18(03), SC-18(04), SC-27</t>
  </si>
  <si>
    <t xml:space="preserve">SC-18</t>
  </si>
  <si>
    <t xml:space="preserve">2.N</t>
  </si>
  <si>
    <t xml:space="preserve">SC-18(01), SC-18(02), SC-18(03), SC-18(04)</t>
  </si>
  <si>
    <t xml:space="preserve">∙ Secure Baseline Configurations (SBC)
∙ Configuration Management (CM) program</t>
  </si>
  <si>
    <t xml:space="preserve">END-12</t>
  </si>
  <si>
    <t xml:space="preserve">Port &amp; Input / Output (I/O) Device Access</t>
  </si>
  <si>
    <t xml:space="preserve">Mechanisms exist to physically disable or remove unnecessary connection ports or input/output devices from sensitive systems.</t>
  </si>
  <si>
    <t xml:space="preserve">Does the organization physically disable or remove unnecessary connection ports or input/output devices from sensitive systems?</t>
  </si>
  <si>
    <t xml:space="preserve">NIST SP 800-82 R3 - Moderate OT Overlay; NERC CIP</t>
  </si>
  <si>
    <t xml:space="preserve">The organization implements and operates mechanisms to physically disable or remove unnecessary connection ports or input/output devices from sensitive systems.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</si>
  <si>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connection ports or input/output devices to be disabled or removed are defined;
b. Ensuring systems or system components with connection ports or input/output devices to be disabled or removed are defined;
c. Ensuring connection ports or input/output devices that are prohibited are disabled or removed on systems or system components;
d. Deploying manufacturer-validated endpoint protection (e.g., application allow-listing, anti-malware with controlled updates, file integrity monitoring) on OT servers, HMIs, engineering workstations and head-end hosts; and
e.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</si>
  <si>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Configuration Management (CM) program.
In-scope requirement alignment: NIST SP 800-82 R3 (Moderate OT overlay): SC-41 | NERC CIP: CIP-007-6 1.2.
Validation: Annual conformity validation; evidence artifacts to be defined; PPTDF applicability: Technology.</t>
  </si>
  <si>
    <t xml:space="preserve">SC-41</t>
  </si>
  <si>
    <t xml:space="preserve">CIP-007-6 1.2</t>
  </si>
  <si>
    <t xml:space="preserve">END-13.3</t>
  </si>
  <si>
    <t xml:space="preserve">Collection Minimization</t>
  </si>
  <si>
    <t xml:space="preserve">Mechanisms exist to utilize sensors that are configured to minimize the collection of information about individuals.</t>
  </si>
  <si>
    <t xml:space="preserve">Does the organization utilize sensors that are configured to minimize the collection of information about individuals?</t>
  </si>
  <si>
    <t xml:space="preserve">The organization implements and operates mechanisms to utilize sensors that are configured to minimize the collection of information about individuals.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</si>
  <si>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processes that implement the privacy principle of minimization are defined;
b. Ensuring the privacy principle of minimization is implemented using organization-defined processes;
c. Ensuring the sensors that are configured to minimize the collection of unneeded information about individuals are defined;
d. Ensuring sensors configured to minimize the collection of information about individuals that is not needed are employed;
e. Ensuring the frequency for reviewing / updating policies that address the use of Personal Data (PD) for internal testing, training and research is defined;
f. Ensuring policies that address the use of Personal Data (PD) for internal testing, training and research are developed and documented;
g. Ensuring procedures that address the use of Personal Data (PD) for internal testing, training and research are developed and documented;
h. Ensuring policies that address the use of Personal Data (PD) for internal testing, training and research are implemented;
i. Deploying manufacturer-validated endpoint protection (e.g., application allow-listing, anti-malware with controlled updates, file integrity monitoring) on OT servers, HMIs, engineering workstations and head-end hosts; and
j.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</si>
  <si>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Data Protection Impact Assessment (DPIA); Product / project management.
In-scope requirement alignment: NIST SP 800-82 R3 (Moderate OT overlay): PM-25 | NIST SP 800-53B Privacy: PM-25, SA-08(33).
Validation: Annual conformity validation; evidence artifacts to be defined; PPTDF applicability: Technology.</t>
  </si>
  <si>
    <t xml:space="preserve">PM-25, SA-08(33), SC-42(05)</t>
  </si>
  <si>
    <t xml:space="preserve">PM-25, SA-08(33)</t>
  </si>
  <si>
    <t xml:space="preserve">SG.PM Security Program Management; SG.SA Smart Grid Information System and Services Acquisition; SG.SC Smart Grid Information System and Communication Protection</t>
  </si>
  <si>
    <t xml:space="preserve">∙ Secure Baseline Configurations (SBC)
∙ Data Protection Impact Assessment (DPIA)
∙ Product / project management</t>
  </si>
  <si>
    <t xml:space="preserve">END-14</t>
  </si>
  <si>
    <t xml:space="preserve">Collaborative Computing Devices</t>
  </si>
  <si>
    <t xml:space="preserve">Mechanisms exist to unplug or prohibit the remote activation of collaborative computing devices with the following exceptions: 
(1) Networked whiteboards; 
(2) Video teleconference cameras; and 
(3) Teleconference microphones.</t>
  </si>
  <si>
    <t xml:space="preserve">Does the organization unplug or prohibit the remote activation of collaborative computing devices with the following exceptions: 
 (1) Networked whiteboards; 
 (2) Video teleconference cameras; and 
 (3) Teleconference microphones?</t>
  </si>
  <si>
    <t xml:space="preserve">The organization implements and operates mechanisms to unplug or prohibit the remote activation of collaborative computing devices with the following exceptions: (1) Networked whiteboards; (2) Video teleconference cameras; and (3) Teleconference microphones.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</si>
  <si>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collaborative computing devices are identified;
b. Ensuring collaborative computing devices provide indication to users of devices in use;
c. Ensuring remote activation of collaborative computing devices is prohibited;
d. Ensuring exceptions where remote activation is to be allowed are defined;
e. Ensuring the remote activation of collaborative computing devices and applications is prohibited with organization-defined exceptions;
f. Ensuring an explicit indication of use is provided to users physically present at the devices;
g. Ensuring collaborative computing devices are logically or physically disconnected;
h. Ensuring disconnect of collaborative computing devices is/are provided in a manner that supports ease of use;
i. Deploying manufacturer-validated endpoint protection (e.g., application allow-listing, anti-malware with controlled updates, file integrity monitoring) on OT servers, HMIs, engineering workstations and head-end hosts; and
j.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</si>
  <si>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Configuration Management (CM) program; Data Protection Impact Assessment (DPIA); Product / project management.
In-scope requirement alignment: NIST SP 800-82 R3 (Moderate OT overlay): SC-15.
Validation: Annual conformity validation; evidence artifacts to be defined; PPTDF applicability: Technology.</t>
  </si>
  <si>
    <t xml:space="preserve">SC-15, SC-15(01)</t>
  </si>
  <si>
    <t xml:space="preserve">SC-15</t>
  </si>
  <si>
    <t xml:space="preserve">∙ Secure Baseline Configurations (SBC)
∙ Configuration Management (CM) program
∙ Data Protection Impact Assessment (DPIA)
∙ Product / project management</t>
  </si>
  <si>
    <t xml:space="preserve">END-14.5</t>
  </si>
  <si>
    <t xml:space="preserve">Malicious Link &amp; File Protections</t>
  </si>
  <si>
    <t xml:space="preserve">Automated mechanisms exist to detect malicious links and/or files in communications and prevent users from accessing those malicious links and/or files.</t>
  </si>
  <si>
    <t xml:space="preserve">Does the organization use automated mechanisms to detect malicious links and/or files in communications and prevent users from accessing those malicious links and/or files?</t>
  </si>
  <si>
    <t xml:space="preserve">The organization implements and operates automated mechanisms to detect malicious links and/or files in communications and prevent users from accessing those malicious links and/or files.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</si>
  <si>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antimalware technologies can detect malicious links and/or files in communications;
b. Ensuring antimalware technologies can prevent users from accessing malicious links and/or files sent in communications;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</si>
  <si>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Antimalware software.
In-scope requirement alignment: NERC CIP: CIP-007-6 3.1.
Validation: Quarterly conformity validation; evidence artifacts to be defined; PPTDF applicability: Technology.</t>
  </si>
  <si>
    <t xml:space="preserve">CIP-007-6 3.1</t>
  </si>
  <si>
    <t xml:space="preserve">∙ Secure Baseline Configurations (SBC)
∙ Antimalware software</t>
  </si>
  <si>
    <t xml:space="preserve">END-16</t>
  </si>
  <si>
    <t xml:space="preserve">Restrict Access To Security Functions</t>
  </si>
  <si>
    <t xml:space="preserve">Mechanisms exist to ensure security functions are restricted to authorized individuals and enforce least privilege control requirements for necessary job functions.</t>
  </si>
  <si>
    <t xml:space="preserve">Does the organization ensure security functions are restricted to authorized individuals and enforce least privilege control requirements for necessary job functions?</t>
  </si>
  <si>
    <t xml:space="preserve">The organization implements and operates mechanisms to ensure security functions are restricted to authorized individuals and enforce least privilege control requirements for necessary job functions.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</si>
  <si>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system configurations isolate security functions from non-security functions;
b. Deploying manufacturer-validated endpoint protection (e.g., application allow-listing, anti-malware with controlled updates, file integrity monitoring) on OT servers, HMIs, engineering workstations and head-end hosts; and
c.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</si>
  <si>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Role Based Access Control (RBAC); Separation of Duties (SoD); Privileged Account Management (PAM).
In-scope requirement alignment: NIST SP 800-53B Privacy: SC-03.
Validation: Annual conformity validation; evidence artifacts to be defined; PPTDF applicability: Technology.</t>
  </si>
  <si>
    <t xml:space="preserve">SC-03</t>
  </si>
  <si>
    <t xml:space="preserve">∙ Secure Baseline Configurations (SBC)
∙ Role Based Access Control (RBAC)
∙ Separation of Duties (SoD)
∙ Privileged Account Management (PAM)</t>
  </si>
  <si>
    <t xml:space="preserve">HRS-01</t>
  </si>
  <si>
    <t xml:space="preserve">Human Resources Security Management</t>
  </si>
  <si>
    <t xml:space="preserve">Human Resources Security</t>
  </si>
  <si>
    <t xml:space="preserve">HRS</t>
  </si>
  <si>
    <t xml:space="preserve">Mechanisms exist to facilitate the implementation of personnel security controls.</t>
  </si>
  <si>
    <t xml:space="preserve">Does the organization facilitate the implementation of personnel security controls?</t>
  </si>
  <si>
    <t xml:space="preserve">E-HRS-01, E-HRS-15, E-HRS-27</t>
  </si>
  <si>
    <t xml:space="preserve">HR</t>
  </si>
  <si>
    <t xml:space="preserve">Director, Human Resources</t>
  </si>
  <si>
    <t xml:space="preserve">Manager, Field &amp; Operations Workforce</t>
  </si>
  <si>
    <t xml:space="preserve">Staffing agencies; contractors and field service providers</t>
  </si>
  <si>
    <t xml:space="preserve">The organization shall apply security-informed personnel practices, including screening, role definition, access agreements, separation of duties and termination procedures, to all personnel, contractors and vendors with access to enterprise IT, OT and AMI assets. Personnel with privileged or physical access to control systems, substations, meter shops and AMI head-end systems shall be subject to risk-appropriate screening and ongoing accountability.</t>
  </si>
  <si>
    <t xml:space="preserve">The organization develops, implements and governs processes and documentation to facilitate the implementation of personnel security controls, as well as associated standards, controls and procedures, across enterprise IT, Operational Technology (OT) and Advanced Metering Infrastructure (AMI) environments.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</si>
  <si>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personnel security procedures to facilitate the implementation of the personnel security policy and associated personnel security controls are developed and documented;
b. Ensuring an official to manage the personnel security policy and procedures is defined;
c. Ensuring personnel management operations are conducted according to documented policies, standards, procedures and/or other organizational directives;
d. Ensuring adequate resources (e.g., people, processes, technologies, data and/or facilities) are provided to support personnel management operations;
e. Ensuring responsibility and authority for the performance of personnel management-related activities are assigned to designated personnel;
f. Ensuring the organization's personnel security policy addresses compliance;
g. Ensuring the organization's personnel security policy is consistent with applicable laws, Executive Orders, directives, regulations, policies, standards, and guidelines;
h. Ensuring information security-related duties, roles, and responsibilities are defined;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</si>
  <si>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PS-01 | NERC CIP: CIP-003-8 1.1.1, CIP-004-7 R3 | DOE C2M2: WORKFORCE-1g, WORKFORCE-3e, WORKFORCE-3f | NIST CSF 2.0: GV.RR-04, ID.AM | NIST SP 800-161 R1 C-SCRM: PS-1 | NIST Privacy Framework: PR.PO-P9 | NIST SP 800-53B Privacy: PS-01.
Validation: Annual conformity validation; evidence artifacts E-HRS-01, E-HRS-15, E-HRS-27; PPTDF applicability: Process.</t>
  </si>
  <si>
    <t xml:space="preserve">PS-01</t>
  </si>
  <si>
    <t xml:space="preserve">CIP-003-8 1.1.1, CIP-004-7 R3</t>
  </si>
  <si>
    <t xml:space="preserve">WORKFORCE-1g, WORKFORCE-3e, WORKFORCE-3f</t>
  </si>
  <si>
    <t xml:space="preserve">GV.RR-04, ID.AM</t>
  </si>
  <si>
    <t xml:space="preserve">PS-1</t>
  </si>
  <si>
    <t xml:space="preserve">PR.PO-P9</t>
  </si>
  <si>
    <t xml:space="preserve">SG.PS Personnel Security</t>
  </si>
  <si>
    <t xml:space="preserve">7.2(d), 7.3, 7.3(a), 7.3(b), 7.3(c)</t>
  </si>
  <si>
    <t xml:space="preserve">5.4</t>
  </si>
  <si>
    <t xml:space="preserve">∙ Enterprise HR security framework
∙ Background screening platform
∙ Integrated HR/IAM offboarding
∙ Continuous monitoring</t>
  </si>
  <si>
    <t xml:space="preserve">HRS-01.1</t>
  </si>
  <si>
    <t xml:space="preserve">Onboarding, Transferring &amp; Offboarding Personnel</t>
  </si>
  <si>
    <t xml:space="preserve">Mechanisms exist to proactively govern the following personnel management actions:
(1) Onboarding new personnel (e.g., new hires);
(2) Transferring personnel into new roles within the organization; and 
(3) Offboarding personnel (e.g., termination of employment).</t>
  </si>
  <si>
    <t xml:space="preserve">Does the organization proactively govern the following personnel management actions:
(1) Onboarding new personnel (e.g., new hires);
(2) Transferring personnel into new roles within the organization; and 
(3) Offboarding personnel (e.g., termination of employment)?</t>
  </si>
  <si>
    <t xml:space="preserve">The organization implements and operates mechanisms to proactively govern the following personnel management actions: (1) Onboarding new personnel (e.g., new hires); (2) Transferring personnel into new roles within the organization; and (3) Offboarding personnel (e.g., termination of employment).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</si>
  <si>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the organization proactively governs secure practices to address personnel onboarding, transfers and offboarding actions;
b. Applying risk-based personnel screening and access agreements to personnel, contractors and vendors with access to OT and AMI assets; and
c.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</si>
  <si>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IEC 62443-2-1: ORG 1.4 | NERC CIP: CIP-004-7 5.3, CIP-004-7 5.4, CIP-004-7 6.3.
Validation: Quarterly conformity validation; evidence artifacts to be defined; PPTDF applicability: Process.</t>
  </si>
  <si>
    <t xml:space="preserve">ORG 1.4</t>
  </si>
  <si>
    <t xml:space="preserve">CIP-004-7 5.3, CIP-004-7 5.4, CIP-004-7 6.3</t>
  </si>
  <si>
    <t xml:space="preserve">HRS-02</t>
  </si>
  <si>
    <t xml:space="preserve">Position Categorization</t>
  </si>
  <si>
    <t xml:space="preserve">Mechanisms exist to manage personnel security risk by assigning a risk designation to all positions and establishing screening criteria for individuals filling those positions.</t>
  </si>
  <si>
    <t xml:space="preserve">Does the organization manage personnel security risk by assigning a risk designation to all positions and establishing screening criteria for individuals filling those positions?</t>
  </si>
  <si>
    <t xml:space="preserve">E-HRS-01, E-HRS-02, E-HRS-03, E-HRS-04, E-HRS-11, E-HRS-22</t>
  </si>
  <si>
    <t xml:space="preserve">The organization implements and operates mechanisms to manage personnel security risk by assigning a risk designation to all positions and establishing screening criteria for individuals filling those positions.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</si>
  <si>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the frequency at which to review / update position risk designations is defined;
b. Ensuring a risk designation is assigned to all organizational positions;
c. Ensuring screening criteria are established for individuals filling organizational positions;
d. Ensuring position risk designations are reviewed / updated per an organization-defined frequency;
e. Applying risk-based personnel screening and access agreements to personnel, contractors and vendors with access to OT and AMI assets; and
f.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</si>
  <si>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PS-02 | DOE C2M2: ACCESS-3h, WORKFORCE-3a | NIST CSF 2.0: GV.RR-02, PR.AA-05 | NIST SP 800-53B Privacy: PS-02.
Validation: Annual conformity validation; evidence artifacts E-HRS-01, E-HRS-02, E-HRS-03, E-HRS-04, E-HRS-11, E-HRS-22; PPTDF applicability: People.</t>
  </si>
  <si>
    <t xml:space="preserve">PS-02</t>
  </si>
  <si>
    <t xml:space="preserve">ACCESS-3h, WORKFORCE-3a</t>
  </si>
  <si>
    <t xml:space="preserve">GV.RR-02, PR.AA-05</t>
  </si>
  <si>
    <t xml:space="preserve">7.2(a)</t>
  </si>
  <si>
    <t xml:space="preserve">HRS-02.1</t>
  </si>
  <si>
    <t xml:space="preserve">Users With Elevated Privileges</t>
  </si>
  <si>
    <t xml:space="preserve">Mechanisms exist to ensure that every user accessing Technology Assets, Applications and/or Services (TAAS) that process, store and/or transmit sensitive and/or regulated data is cleared and regularly trained to handle the information in question.</t>
  </si>
  <si>
    <t xml:space="preserve">Does the organization ensure that every user accessing Technology Assets, Applications and/or Services (TAAS) that process, store and/or transmit sensitive and/or regulated data is cleared and regularly trained to handle the information in question?</t>
  </si>
  <si>
    <t xml:space="preserve">E-HRS-02, E-HRS-03, E-HRS-04, E-HRS-11, E-HRS-22</t>
  </si>
  <si>
    <t xml:space="preserve">The organization implements and operates mechanisms to ensure that every user accessing Technology Assets, Applications and/or Services (TAAS) that process, store and/or transmit sensitive and/or regulated data is cleared and regularly trained to handle the information in question.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</si>
  <si>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every user accessing a system, application or service that processes, stores or transmits sensitive / regulated information is cleared and regularly trained to handle the information in question;
b. Applying risk-based personnel screening and access agreements to personnel, contractors and vendors with access to OT and AMI assets; and
c.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</si>
  <si>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DOE C2M2: ACCESS-3h.
Validation: Quarterly conformity validation; evidence artifacts E-HRS-02, E-HRS-03, E-HRS-04, E-HRS-11, E-HRS-22; PPTDF applicability: Process.</t>
  </si>
  <si>
    <t xml:space="preserve">ACCESS-3h</t>
  </si>
  <si>
    <t xml:space="preserve">HRS-03</t>
  </si>
  <si>
    <t xml:space="preserve">Defined Roles &amp; Responsibilities</t>
  </si>
  <si>
    <t xml:space="preserve">Mechanisms exist to define cybersecurity roles &amp; responsibilities for all personnel.</t>
  </si>
  <si>
    <t xml:space="preserve">Does the organization define cybersecurity roles &amp; responsibilities for all personnel?</t>
  </si>
  <si>
    <t xml:space="preserve">E-HRS-01, E-HRS-02, E-HRS-03, E-HRS-04, E-HRS-11, E-HRS-13, E-HRS-18, E-HRS-22, E-HRS-28</t>
  </si>
  <si>
    <t xml:space="preserve">IEC 62443-2-1:2024; NIST SP 800-82 R3 - Moderate OT Overlay; NERC CIP; NIST Cybersecurity Framework 2.0; DOE Cybersecurity Capability Maturity Model; IEC 62443-4-1:2018; CSA IoT Security Controls Framework v2; NIST Privacy Framework 1.0; NIST SP 800-53B R5 - Privacy baseline</t>
  </si>
  <si>
    <t xml:space="preserve">The organization implements and operates mechanisms to define cybersecurity roles &amp; responsibilities for all personnel.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</si>
  <si>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cybersecurity / data privacy roles and responsibilities are incorporated into organizational position descriptions;
b. Ensuring the incident response plan is protected from unauthorized disclosure;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</si>
  <si>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NIST NICE cybersecurity workforce framework alignment; Responsible, Accountable, Supporting, Consulted and Informed (RASCI) matrix.
In-scope requirement alignment: IEC 62443-2-1: ORG 1.3 | IEC 62443-4-1: SM-2 | NIST SP 800-82 R3 (Moderate OT overlay): PM-13, PS-09 | NERC CIP: CIP-008-6 1.3, CIP-009-6 1.2 | DOE C2M2: THREAT-2a, RESPONSE-3a, WORKFORCE-3a, WORKFORCE-3b, WORKFORCE-3c, WORKFORCE-3d | NIST CSF 2.0: GV.RM-05, GV.RR, GV.RR-02, ID.AM | CSA IoT SCF: GVN-01 | NIST Privacy Framework: GV.PO-P2, GV.PO-P3, CM.PO-P2 | NIST SP 800-53B Privacy: PM-13.
Validation: Annual conformity validation; evidence artifacts E-HRS-01, E-HRS-02, E-HRS-03, E-HRS-04, E-HRS-11, E-HRS-13, E-HRS-18, E-HRS-22, E-HRS-28; PPTDF applicability: People.</t>
  </si>
  <si>
    <t xml:space="preserve">ORG 1.3</t>
  </si>
  <si>
    <t xml:space="preserve">SM-2</t>
  </si>
  <si>
    <t xml:space="preserve">PM-13, PS-09</t>
  </si>
  <si>
    <t xml:space="preserve">CIP-008-6 1.3, CIP-009-6 1.2</t>
  </si>
  <si>
    <t xml:space="preserve">THREAT-2a, RESPONSE-3a, WORKFORCE-3a, WORKFORCE-3b, WORKFORCE-3c, WORKFORCE-3d</t>
  </si>
  <si>
    <t xml:space="preserve">GV.RM-05, GV.RR, GV.RR-02, ID.AM</t>
  </si>
  <si>
    <t xml:space="preserve">GV.PO-P2, GV.PO-P3, CM.PO-P2</t>
  </si>
  <si>
    <t xml:space="preserve">PM-13</t>
  </si>
  <si>
    <t xml:space="preserve">SG.PM Security Program Management; SG.PS Personnel Security</t>
  </si>
  <si>
    <t xml:space="preserve">5.3, 7.3, 7.3(b)</t>
  </si>
  <si>
    <t xml:space="preserve">∙ NIST NICE cybersecurity workforce framework alignment
∙ Responsible, Accountable, Supporting, Consulted and Informed (RASCI) matrix</t>
  </si>
  <si>
    <t xml:space="preserve">HRS-03.1</t>
  </si>
  <si>
    <t xml:space="preserve">User Awareness</t>
  </si>
  <si>
    <t xml:space="preserve">Mechanisms exist to communicate with users about their roles and responsibilities to maintain a safe and secure working environment.</t>
  </si>
  <si>
    <t xml:space="preserve">Does the organization communicate with users about their roles and responsibilities to maintain a safe and secure working environment?</t>
  </si>
  <si>
    <t xml:space="preserve">E-HRS-01, E-HRS-13, E-HRS-16, E-HRS-18</t>
  </si>
  <si>
    <t xml:space="preserve">The organization implements and operates mechanisms to communicate with users about their roles and responsibilities to maintain a safe and secure working environment.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</si>
  <si>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users are formally made aware of their roles and responsibilities to maintain a safe and secure working environment;
b. Ensuring acknowledgement of user awareness is maintained by the organization;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</si>
  <si>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NERC CIP: CIP-004-7 R2, CIP-004-7 2.2 | DOE C2M2: WORKFORCE-1e, WORKFORCE-2a | NIST CSF 2.0: GV.RR-04 | NIST Privacy Framework: GV.PO-P2.
Validation: Annual conformity validation; evidence artifacts E-HRS-01, E-HRS-13, E-HRS-16, E-HRS-18; PPTDF applicability: People.</t>
  </si>
  <si>
    <t xml:space="preserve">CIP-004-7 R2, CIP-004-7 2.2</t>
  </si>
  <si>
    <t xml:space="preserve">WORKFORCE-1e, WORKFORCE-2a</t>
  </si>
  <si>
    <t xml:space="preserve">GV.RR-04</t>
  </si>
  <si>
    <t xml:space="preserve">7.3, 7.3(a), 7.3(b), 7.3(c)</t>
  </si>
  <si>
    <t xml:space="preserve">∙ Formal onboarding training
∙ Acceptable Use / Rules of Behavior (RoB)</t>
  </si>
  <si>
    <t xml:space="preserve">HRS-03.2</t>
  </si>
  <si>
    <t xml:space="preserve">Competency Requirements for Security-Related Positions</t>
  </si>
  <si>
    <t xml:space="preserve">Mechanisms exist to ensure that all security-related positions are staffed by qualified individuals who have the necessary skill set.</t>
  </si>
  <si>
    <t xml:space="preserve">Does the organization ensure that all security-related positions are staffed by qualified individuals who have the necessary skill set?</t>
  </si>
  <si>
    <t xml:space="preserve">E-HRS-21, E-HRS-23</t>
  </si>
  <si>
    <t xml:space="preserve">NIST SP 800-82 R3 - Moderate OT Overlay; DOE Cybersecurity Capability Maturity Model; NIST SP 800-53B R5 - Privacy baseline</t>
  </si>
  <si>
    <t xml:space="preserve">The organization implements and operates mechanisms to ensure that all security-related positions are staffed by qualified individuals who have the necessary skill set.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</si>
  <si>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defined competency requirements ensure that all cybersecurity / data privacy-related positions are staffed by qualified individuals who have the necessary skill set;
b. Ensuring a risk designation is assigned to all organizational positions;
c. Ensuring the frequency at which to review / update position risk designations is defined;
d. Ensuring screening criteria are established for individuals filling organizational positions;
e. Ensuring position risk designations are reviewed / updated per an organization-defined frequency;
f. Applying risk-based personnel screening and access agreements to personnel, contractors and vendors with access to OT and AMI assets; and
g.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</si>
  <si>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Demonstrated Subject Matter Expert (SME) experience; Professional references; Education / certification transcripts.
In-scope requirement alignment: NIST SP 800-82 R3 (Moderate OT overlay): PS-02 | DOE C2M2: ASSET-5e, THREAT-3e, RISK-5e, ACCESS-4e, SITUATION-4e, RESPONSE-5e, THIRD-PARTIES-3e, WORKFORCE-5e, ARCHITECTURE-6e, PROGRAM-3e | NIST SP 800-53B Privacy: PS-02.
Validation: Annual conformity validation; evidence artifacts E-HRS-21, E-HRS-23; PPTDF applicability: People.</t>
  </si>
  <si>
    <t xml:space="preserve">ASSET-5e, THREAT-3e, RISK-5e, ACCESS-4e, SITUATION-4e, RESPONSE-5e, THIRD-PARTIES-3e, WORKFORCE-5e, ARCHITECTURE-6e, PROGRAM-3e</t>
  </si>
  <si>
    <t xml:space="preserve">7.2, 7.2(a), 7.2(b), 7.2(c), 7.2(d)</t>
  </si>
  <si>
    <t xml:space="preserve">∙ Demonstrated Subject Matter Expert (SME) experience
∙ Professional references
∙ Education / certification transcripts</t>
  </si>
  <si>
    <t xml:space="preserve">HRS-04</t>
  </si>
  <si>
    <t xml:space="preserve">Personnel Screening</t>
  </si>
  <si>
    <t xml:space="preserve">Mechanisms exist to manage personnel security risk by screening individuals prior to authorizing access.</t>
  </si>
  <si>
    <t xml:space="preserve">Does the organization manage personnel security risk by screening individuals prior to authorizing access?</t>
  </si>
  <si>
    <t xml:space="preserve">E-HRS-17, E-HRS-21</t>
  </si>
  <si>
    <t xml:space="preserve">IEC 62443-2-1:2024; NIST SP 800-82 R3 - Moderate OT Overlay; NERC CIP; DOE Cybersecurity Capability Maturity Model; NIST SP 800-161 R1 - C-SCRM Baseline</t>
  </si>
  <si>
    <t xml:space="preserve">The organization implements and operates mechanisms to manage personnel security risk by screening individuals prior to authorizing access.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</si>
  <si>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conditions that require the rescreening of individuals are defined;
b. Ensuring the frequency of rescreening individuals where it is so indicated is defined;
c. Ensuring individuals are screened prior to authorizing access to the system;
d. Ensuring individuals are rescreened in accordance with organization-defined conditions;
e. Ensuring individuals are screened prior to authorizing access to organizational systems;
f. Ensuring upon individual reassignment or transfer to other positions in the organization, the ongoing operational need for current logical and physical access authorizations to the system and facility is reviewed;
g. Ensuring where rescreening is so indicated, individuals are rescreened per organization-defined frequency; and
h. Applying risk-based screening to personnel, contractors and vendor personnel with authorized logical or unescorted physical access to OT and AMI assets.</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</si>
  <si>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Criminal, education and employment background checks; Professional references; Education / certification transcripts.
In-scope requirement alignment: IEC 62443-2-1: ORG 1.2 | NIST SP 800-82 R3 (Moderate OT overlay): PS-03 | NERC CIP: CIP-004-7 3.1, CIP-004-7 3.2, CIP-004-7 3.2.1, CIP-004-7 3.2.2, CIP-004-7 3.3, CIP-004-7 3.4, CIP-004-7 3.5 | DOE C2M2: WORKFORCE-1a, WORKFORCE-1b, WORKFORCE-1c, WORKFORCE-1f | NIST SP 800-161 R1 C-SCRM: PS-3.
Validation: Annual conformity validation; evidence artifacts E-HRS-17, E-HRS-21; PPTDF applicability: People.</t>
  </si>
  <si>
    <t xml:space="preserve">ORG 1.2</t>
  </si>
  <si>
    <t xml:space="preserve">PS-03</t>
  </si>
  <si>
    <t xml:space="preserve">CIP-004-7 3.1, CIP-004-7 3.2, CIP-004-7 3.2.1, CIP-004-7 3.2.2, CIP-004-7 3.3, CIP-004-7 3.4, CIP-004-7 3.5</t>
  </si>
  <si>
    <t xml:space="preserve">WORKFORCE-1a, WORKFORCE-1b, WORKFORCE-1c, WORKFORCE-1f</t>
  </si>
  <si>
    <t xml:space="preserve">PS-3</t>
  </si>
  <si>
    <t xml:space="preserve">7.2(b), 7.2(c)</t>
  </si>
  <si>
    <t xml:space="preserve">6.1</t>
  </si>
  <si>
    <t xml:space="preserve">∙ Criminal, education and employment background checks
∙ Professional references
∙ Education / certification transcripts</t>
  </si>
  <si>
    <t xml:space="preserve">HRS-04.1</t>
  </si>
  <si>
    <t xml:space="preserve">Roles With Special Protection Measures</t>
  </si>
  <si>
    <t xml:space="preserve">Mechanisms exist to ensure that individuals accessing a system that stores, transmits or processes information requiring special protection satisfy organization-defined personnel screening criteria.</t>
  </si>
  <si>
    <t xml:space="preserve">Does the organization ensure that individuals accessing a system that stores, transmits or processes information requiring special protection satisfy organization-defined personnel screening criteria?</t>
  </si>
  <si>
    <t xml:space="preserve">The organization implements and operates mechanisms to ensure that individuals accessing a system that stores, transmits or processes information requiring special protection satisfy organization-defined personnel screening criteria.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</si>
  <si>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enhanced personnel screening for individuals is defined;
b. Ensuring the frequency with which to reassess individual positions and access to sensitive / regulated data is defined;
c. Ensuring individuals that require enhanced personnel screening are identified;
d. Ensuring positions that require access to sensitive / regulated data are identified;
e. Ensuring enhanced personnel screening is conducted for individuals;
f. Ensuring conditions that require the rescreening of individuals are defined;
g. Ensuring individual positions and access to sensitive / regulated data is reassessed per an organization-defined frequency;
h. Ensuring individuals with access to sensitive / regulated data are identified;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</si>
  <si>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Criminal, education and employment background checks.
In-scope requirement alignment: DOE C2M2: ACCESS-3h, WORKFORCE-1f | NIST Privacy Framework: CM.PO-P2.
Validation: Annual conformity validation; evidence artifacts E-HRS-17, E-HRS-21; PPTDF applicability: People.</t>
  </si>
  <si>
    <t xml:space="preserve">PS-03(01), PS-03(03)</t>
  </si>
  <si>
    <t xml:space="preserve">ACCESS-3h, WORKFORCE-1f</t>
  </si>
  <si>
    <t xml:space="preserve">CM.PO-P2</t>
  </si>
  <si>
    <t xml:space="preserve">5.2, 6.1</t>
  </si>
  <si>
    <t xml:space="preserve">∙ Criminal, education and employment background checks</t>
  </si>
  <si>
    <t xml:space="preserve">HRS-04.2</t>
  </si>
  <si>
    <t xml:space="preserve">Formal Indoctrination</t>
  </si>
  <si>
    <t xml:space="preserve">Mechanisms exist to formally educate authorized users on proper data handling practices for all the relevant types of data to which they have access.</t>
  </si>
  <si>
    <t xml:space="preserve">Does the organization formally educate authorized users on proper data handling practices for all the relevant types of data to which they have access?</t>
  </si>
  <si>
    <t xml:space="preserve">E-HRS-18</t>
  </si>
  <si>
    <t xml:space="preserve">The organization implements and operates mechanisms to formally educate authorized users on proper data handling practices for all the relevant types of data to which they have access.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</si>
  <si>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individuals accessing a system, application or service processing, storing or transmitting types of sensitive / regulated data that require formal indoctrination are formally indoctrinated for all of the relevant types of information to which they have access on the system;
b. Applying risk-based personnel screening and access agreements to personnel, contractors and vendors with access to OT and AMI assets; and
c.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</si>
  <si>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In-scope requirement alignment: DOE C2M2: WORKFORCE-1e, WORKFORCE-2a.
Validation: Annual conformity validation; evidence artifacts E-HRS-18; PPTDF applicability: People.</t>
  </si>
  <si>
    <t xml:space="preserve">PS-03(02)</t>
  </si>
  <si>
    <t xml:space="preserve">∙ Formal onboarding training</t>
  </si>
  <si>
    <t xml:space="preserve">HRS-05</t>
  </si>
  <si>
    <t xml:space="preserve">Terms of Employment</t>
  </si>
  <si>
    <t xml:space="preserve">Mechanisms exist to require all employees and contractors to apply cybersecurity and data protection principles in their daily work to enable secure, compliant and resilient capabilities.</t>
  </si>
  <si>
    <t xml:space="preserve">Does the organization require all employees and contractors to apply cybersecurity and data protection principles in their daily work to enable secure, compliant and resilient capabilities?</t>
  </si>
  <si>
    <t xml:space="preserve">E-HRS-16, E-HRS-22</t>
  </si>
  <si>
    <t xml:space="preserve">The organization implements and operates mechanisms to require all employees and contractors to apply cybersecurity and data protection principles in their daily work to enable secure, compliant and resilient capabilities.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</si>
  <si>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through terms of employment, all employees and contractors are required to apply cybersecurity / data privacy principles in their daily work;
b. Ensuring rules are provided to individuals who require access to the system;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</si>
  <si>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NIST SP 800-82 R3 (Moderate OT overlay): PL-04 | DOE C2M2: WORKFORCE-1e | NIST CSF 2.0: ID.AM | NIST SP 800-161 R1 C-SCRM: PL-4 | NIST SP 800-53B Privacy: PL-04.
Validation: Annual conformity validation; evidence artifacts E-HRS-16, E-HRS-22; PPTDF applicability: People.</t>
  </si>
  <si>
    <t xml:space="preserve">PL-04</t>
  </si>
  <si>
    <t xml:space="preserve">WORKFORCE-1e</t>
  </si>
  <si>
    <t xml:space="preserve">PL-4</t>
  </si>
  <si>
    <t xml:space="preserve">5.4, 5.14, 6.2</t>
  </si>
  <si>
    <t xml:space="preserve">HRS-05.1</t>
  </si>
  <si>
    <t xml:space="preserve">Rules of Behavior</t>
  </si>
  <si>
    <t xml:space="preserve">Mechanisms exist to define acceptable and unacceptable rules of behavior for the use of technologies, including consequences for unacceptable behavior.</t>
  </si>
  <si>
    <t xml:space="preserve">Does the organization define acceptable and unacceptable rules of behavior for the use of technologies, including consequences for unacceptable behavior?</t>
  </si>
  <si>
    <t xml:space="preserve">E-HRS-22</t>
  </si>
  <si>
    <t xml:space="preserve">The organization implements and operates mechanisms to define acceptable and unacceptable rules of behavior for the use of technologies, including consequences for unacceptable behavior.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</si>
  <si>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rules that describe responsibilities and expected behavior for system usage and protecting sensitive / regulated data are established;
b. Ensuring before authorizing access to information and the system, a documented acknowledgement from such individuals indicating that they have read, understand and agree to abide by the rules of behavior is received;
c. Ensuring the frequency at which the rules of behavior are reviewed and updated is defined;
d. Ensuring the rules of behavior are reviewed / updated per an organization-defined frequency;
e. Ensuring the frequency for individuals to read and re-acknowledge the rules of behavior is defined;
f. Ensuring individuals who have acknowledged a previous version of the rules of behavior are required to read and reacknowledge the organization's current rules of behavior;
g. Applying risk-based personnel screening and access agreements to personnel, contractors and vendors with access to OT and AMI assets; and
h.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</si>
  <si>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NIST SP 800-82 R3 (Moderate OT overlay): PL-04 | DOE C2M2: WORKFORCE-1e | NIST CSF 2.0: ID.AM | NIST SP 800-161 R1 C-SCRM: PL-4 | NIST SP 800-53B Privacy: PL-04.
Validation: Annual conformity validation; evidence artifacts E-HRS-22; PPTDF applicability: People.</t>
  </si>
  <si>
    <t xml:space="preserve">5.4, 5.10, 5.14, 6.2</t>
  </si>
  <si>
    <t xml:space="preserve">HRS-05.2</t>
  </si>
  <si>
    <t xml:space="preserve">Social Media &amp; Social Networking Restrictions</t>
  </si>
  <si>
    <t xml:space="preserve">Mechanisms exist to define rules of behavior that contain explicit restrictions on the use of social media and networking sites, posting information on commercial websites and sharing account information.</t>
  </si>
  <si>
    <t xml:space="preserve">Does the organization define rules of behavior that contain explicit restrictions on the use of social media and networking sites, posting information on commercial websites and sharing account information?</t>
  </si>
  <si>
    <t xml:space="preserve">E-DCH-11, E-HRS-22</t>
  </si>
  <si>
    <t xml:space="preserve">The organization implements and operates mechanisms to define rules of behavior that contain explicit restrictions on the use of social media and networking sites, posting information on commercial websites and sharing account information.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</si>
  <si>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the rules of behavior include restrictions on the use of social media, social networking sites and external sites/applications;
b. Ensuring the rules of behavior include restrictions on posting organizational information on public websites;
c. Ensuring the rules of behavior include restrictions on the use of organization-provided identifiers (e.g., email addresses) and authentication secrets (e.g., passwords) for creating accounts on external sites/applications;
d. Ensuring rules that describe responsibilities and expected behavior for system usage and protecting sensitive / regulated data are established;
e. Applying risk-based personnel screening and access agreements to personnel, contractors and vendors with access to OT and AMI assets; and
f.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</si>
  <si>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NIST SP 800-82 R3 (Moderate OT overlay): PL-04(01) | DOE C2M2: WORKFORCE-1e | NIST SP 800-53B Privacy: PL-04(01).
Validation: Annual conformity validation; evidence artifacts E-DCH-11, E-HRS-22; PPTDF applicability: People.</t>
  </si>
  <si>
    <t xml:space="preserve">PL-04(01)</t>
  </si>
  <si>
    <t xml:space="preserve">5.4, 5.10, 6.2</t>
  </si>
  <si>
    <t xml:space="preserve">HRS-05.3</t>
  </si>
  <si>
    <t xml:space="preserve">Technology Use Restrictions</t>
  </si>
  <si>
    <t xml:space="preserve">Mechanisms exist to establish usage restrictions and implementation guidance for organizational technologies based on the potential to cause damage to Technology Assets, Applications and/or Services (TAAS), if used maliciously.</t>
  </si>
  <si>
    <t xml:space="preserve">Does the organization establish usage restrictions and implementation guidance for organizational technologies based on the potential to cause damage to Technology Assets, Applications and/or Services (TAAS), if used maliciously?</t>
  </si>
  <si>
    <t xml:space="preserve">NIST SP 800-82 R3 - Moderate OT Overlay; DOE Cybersecurity Capability Maturity Model; NIST SP 800-161 R1 - C-SCRM Baseline; NIST SP 800-53B R5 - Privacy baseline</t>
  </si>
  <si>
    <t xml:space="preserve">The organization implements and operates mechanisms to establish usage restrictions and implementation guidance for organizational technologies based on the potential to cause damage to Technology Assets, Applications and/or Services (TAAS), if used maliciously.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</si>
  <si>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rules that describe responsibilities and expected behavior for system usage and protecting sensitive / regulated data are established;
b. Ensuring before authorizing access to information and the system, a documented acknowledgement from such individuals indicating that they have read, understand and agree to abide by the rules of behavior is received;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</si>
  <si>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NIST SP 800-82 R3 (Moderate OT overlay): PL-04 | DOE C2M2: WORKFORCE-1e | NIST SP 800-161 R1 C-SCRM: PL-4 | NIST SP 800-53B Privacy: PL-04.
Validation: Annual conformity validation; evidence artifacts E-HRS-22; PPTDF applicability: People.</t>
  </si>
  <si>
    <t xml:space="preserve">HRS-05.4</t>
  </si>
  <si>
    <t xml:space="preserve">Use of Critical Technologies</t>
  </si>
  <si>
    <t xml:space="preserve">Mechanisms exist to govern usage policies for critical technologies.</t>
  </si>
  <si>
    <t xml:space="preserve">Does the organization govern usage policies for critical technologies?</t>
  </si>
  <si>
    <t xml:space="preserve">The organization implements and operates mechanisms to govern usage policies for critical technologies.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</si>
  <si>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rules that describe responsibilities and expected behavior for information and system usage, cybersecurity / data privacy are established for individuals requiring access to the system;
b. Ensuring before authorizing access to information and the system, a documented acknowledgement from such individuals indicating that they have read, understand and agree to abide by the rules of behavior is received;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</si>
  <si>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DOE C2M2: WORKFORCE-1e | NIST Privacy Framework: ID.BE-P3.
Validation: Annual conformity validation; evidence artifacts E-HRS-22; PPTDF applicability: People.</t>
  </si>
  <si>
    <t xml:space="preserve">HRS-05.5</t>
  </si>
  <si>
    <t xml:space="preserve">Use of Mobile Devices</t>
  </si>
  <si>
    <t xml:space="preserve">Mechanisms exist to manage business risks associated with permitting mobile device access to organizational resources.</t>
  </si>
  <si>
    <t xml:space="preserve">Does the organization manage business risks associated with permitting mobile device access to organizational resources?</t>
  </si>
  <si>
    <t xml:space="preserve">The organization implements and operates mechanisms to manage business risks associated with permitting mobile device access to organizational resources.
Within the OT and AMI environment, this objective extends personnel security to employees, contractors and vendor personnel with logical or physical access to OT and AMI assets, including field crews and meter technicians.</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</si>
  <si>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DOE C2M2: WORKFORCE-1e.
Validation: Annual conformity validation; evidence artifacts E-HRS-22; PPTDF applicability: People.</t>
  </si>
  <si>
    <t xml:space="preserve">6.2</t>
  </si>
  <si>
    <t xml:space="preserve">HRS-05.7</t>
  </si>
  <si>
    <t xml:space="preserve">Policy Familiarization &amp; Acknowledgement</t>
  </si>
  <si>
    <t xml:space="preserve">Mechanisms exist to ensure personnel receive recurring familiarization with the organization's security, compliance and resilience policies and provide acknowledgement.</t>
  </si>
  <si>
    <t xml:space="preserve">Does the organization ensure personnel receive recurring familiarization with its security, compliance and resilience policies and provide acknowledgement?</t>
  </si>
  <si>
    <t xml:space="preserve">E-HRS-18, E-SAT-02, E-SAT-04</t>
  </si>
  <si>
    <t xml:space="preserve">The organization implements and operates mechanisms to ensure personnel receive recurring familiarization with the organization's security, compliance and resilience policies and provide acknowledgement.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</si>
  <si>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personnel receive recurring familiarization with the organization's cybersecurity / data privacy policies;
b. Ensuring a documented acknowledgement from individuals indicating that they have read, understand, and agree to abide by the rules of behavior is received before authorizing access to sensitive / regulated data and the system;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</si>
  <si>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Written policy acknowledgement.
In-scope requirement alignment: DOE C2M2: WORKFORCE-1e | NIST CSF 2.0: GV.PO, GV.PO-01, GV.PO-02.
Validation: Annual conformity validation; evidence artifacts E-HRS-18, E-SAT-02, E-SAT-04; PPTDF applicability: People.</t>
  </si>
  <si>
    <t xml:space="preserve">GV.PO, GV.PO-01, GV.PO-02</t>
  </si>
  <si>
    <t xml:space="preserve">7.3, 7.3(c)</t>
  </si>
  <si>
    <t xml:space="preserve">∙ Formal onboarding training
∙ Written policy acknowledgement</t>
  </si>
  <si>
    <t xml:space="preserve">HRS-06</t>
  </si>
  <si>
    <t xml:space="preserve">Access Agreements</t>
  </si>
  <si>
    <t xml:space="preserve">Mechanisms exist to require internal and third-party users to sign appropriate access agreements prior to being granted access.</t>
  </si>
  <si>
    <t xml:space="preserve">Does the organization require internal and third-party users to sign appropriate access agreements prior to being granted access?</t>
  </si>
  <si>
    <t xml:space="preserve">E-HRS-16</t>
  </si>
  <si>
    <t xml:space="preserve">The organization implements and operates mechanisms to require internal and third-party users to sign appropriate access agreements prior to being granted access.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</si>
  <si>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access agreements are developed and documented for organizational systems;
b. Ensuring individuals requiring access to organizational information and systems sign appropriate access agreements prior to being granted access;
c. Ensuring the frequency at which to review / update access agreements is defined;
d. Ensuring the access agreements are reviewed / updated frequently;
e. Ensuring individuals requiring access to organizational information and systems re-sign access agreements to maintain access to organizational systems when access agreements have been updated or frequency;
f. Ensuring the frequency at which to re-sign access agreements to maintain access to organizational information is defined;
g. Applying risk-based personnel screening and access agreements to personnel, contractors and vendors with access to OT and AMI assets; and
h.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</si>
  <si>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Access agreement; Non-Disclosure Agreements (NDAs).
In-scope requirement alignment: NIST SP 800-82 R3 (Moderate OT overlay): PS-06 | DOE C2M2: WORKFORCE-1e | NIST SP 800-161 R1 C-SCRM: PS-6 | NIST SP 800-53B Privacy: PS-06, PS-06(02).
Validation: Annual conformity validation; evidence artifacts E-HRS-16; PPTDF applicability: People.</t>
  </si>
  <si>
    <t xml:space="preserve">PS-06, PS-06(02)</t>
  </si>
  <si>
    <t xml:space="preserve">PS-06</t>
  </si>
  <si>
    <t xml:space="preserve">PS-6</t>
  </si>
  <si>
    <t xml:space="preserve">5.10, 5.14</t>
  </si>
  <si>
    <t xml:space="preserve">∙ Access agreement
∙ Non-Disclosure Agreements (NDAs)</t>
  </si>
  <si>
    <t xml:space="preserve">HRS-06.1</t>
  </si>
  <si>
    <t xml:space="preserve">Confidentiality Agreements</t>
  </si>
  <si>
    <t xml:space="preserve">Mechanisms exist to require Non-Disclosure Agreements (NDAs) or similar confidentiality agreements that reflect the needs to protect data and operational details, or both employees and third-parties.</t>
  </si>
  <si>
    <t xml:space="preserve">Does the organization require Non-Disclosure Agreements (NDAs) or similar confidentiality agreements that reflect the needs to protect data and operational details, or both employees and third-parties?</t>
  </si>
  <si>
    <t xml:space="preserve">E-HRS-20</t>
  </si>
  <si>
    <t xml:space="preserve">The organization implements and operates mechanisms to require Non-Disclosure Agreements (NDAs) or similar confidentiality agreements that reflect the needs to protect data and operational details, or both employees and third-parties.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</si>
  <si>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individuals requiring access to organizational information and systems sign appropriate access agreements prior to being granted access;
b. Ensuring individuals requiring access to organizational information and systems re-sign access agreements to maintain access to organizational systems when access agreements have been updated or frequency;
c. Ensuring the frequency at which to review / update access agreements is defined;
d. Ensuring the frequency at which to re-sign access agreements to maintain access to organizational information is defined;
e. Ensuring access agreements are developed and documented for organizational systems;
f. Ensuring the access agreements are reviewed / updated frequently;
g. Ensuring access to sensitive / regulated data requiring special protection is granted only to individuals who have a valid access authorization that is demonstrated by assigned duties;
h. Ensuring access to sensitive / regulated data requiring special protection is granted only to individuals who satisfy associated personnel security criteria;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</si>
  <si>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Access agreement; Non-Disclosure Agreements (NDAs).
In-scope requirement alignment: NIST SP 800-82 R3 (Moderate OT overlay): PS-06 | NIST SP 800-161 R1 C-SCRM: PS-6 | NIST SP 800-53B Privacy: PS-06, PS-06(02).
Validation: Annual conformity validation; evidence artifacts E-HRS-20; PPTDF applicability: People.</t>
  </si>
  <si>
    <t xml:space="preserve">5.14, 6.6</t>
  </si>
  <si>
    <t xml:space="preserve">HRS-07</t>
  </si>
  <si>
    <t xml:space="preserve">Personnel Sanctions</t>
  </si>
  <si>
    <t xml:space="preserve">Mechanisms exist to sanction personnel failing to comply with established security policies, standards and procedures.</t>
  </si>
  <si>
    <t xml:space="preserve">Does the organization sanction personnel failing to comply with established security policies, standards and procedures?</t>
  </si>
  <si>
    <t xml:space="preserve">E-HRS-27, E-HRS-29</t>
  </si>
  <si>
    <t xml:space="preserve">NIST SP 800-82 R3 - Moderate OT Overlay; NIST Cybersecurity Framework 2.0; DOE Cybersecurity Capability Maturity Model</t>
  </si>
  <si>
    <t xml:space="preserve">The organization implements and operates mechanisms to sanction personnel failing to comply with established security policies, standards and procedures.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</si>
  <si>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a formal sanctions process is employed for individuals failing to comply with established cybersecurity / data privacy policies and procedures;
b. Ensuring criteria and/or process for terminating system access authorization and any credentials coincide with personnel actions is established;
c. Ensuring personnel or roles to be notified when a formal employee sanctions process is initiated is/are defined;
d. Ensuring the time period within which organization-defined personnel or roles must be notified when a formal employee sanctions process is initiated is defined;
e. Ensuring personnel or roles is/are notified within an organization-defined time period when a formal employee sanctions process is initiated, identifying the individual sanctioned and the reason for the sanction;
f. Ensuring system access and credentials are terminated consistent with personnel actions such as termination or transfer;
g. Ensuring the system is protected during and after personnel transfer actions;
h. Ensuring individuals with access to sensitive / regulated data are identified;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</si>
  <si>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PS-08 | DOE C2M2: WORKFORCE-1g | NIST CSF 2.0: GV.PO, GV.PO-01, GV.PO-02.
Validation: Annual conformity validation; evidence artifacts E-HRS-27, E-HRS-29; PPTDF applicability: People.</t>
  </si>
  <si>
    <t xml:space="preserve">PS-08</t>
  </si>
  <si>
    <t xml:space="preserve">WORKFORCE-1g</t>
  </si>
  <si>
    <t xml:space="preserve">6.4</t>
  </si>
  <si>
    <t xml:space="preserve">HRS-07.1</t>
  </si>
  <si>
    <t xml:space="preserve">Workplace Investigations</t>
  </si>
  <si>
    <t xml:space="preserve">Mechanisms exist to conduct employee misconduct investigations when there is reasonable assurance that a policy has been violated.</t>
  </si>
  <si>
    <t xml:space="preserve">Does the organization conduct employee misconduct investigations when there is reasonable assurance that a policy has been violated?</t>
  </si>
  <si>
    <t xml:space="preserve">The organization implements and operates mechanisms to conduct employee misconduct investigations when there is reasonable assurance that a policy has been violated.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</si>
  <si>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individuals with access to sensitive / regulated data are identified;
b. Ensuring adverse information about individuals with access to sensitive / regulated data is defined;
c. Ensuring organizational systems to which individuals have access are identified;
d. Ensuring mechanisms are in place to protect organizational systems if adverse information develops or is obtained about individuals with access to sensitive / regulated data;
e. Applying risk-based personnel screening and access agreements to personnel, contractors and vendors with access to OT and AMI assets; and
f.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</si>
  <si>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DOE C2M2: WORKFORCE-1g.
Validation: Annual conformity validation; evidence artifacts to be defined; PPTDF applicability: People.</t>
  </si>
  <si>
    <t xml:space="preserve">HRS-08</t>
  </si>
  <si>
    <t xml:space="preserve">Personnel Transfer</t>
  </si>
  <si>
    <t xml:space="preserve">Mechanisms exist to adjust logical and physical access authorizations to Technology Assets, Applications and/or Services (TAAS) and facilities upon personnel reassignment or transfer, in a timely manner.</t>
  </si>
  <si>
    <t xml:space="preserve">Does the organization adjust logical and physical access authorizations to Technology Assets, Applications and/or Services (TAAS) and facilities upon personnel reassignment or transfer, in a timely manner?</t>
  </si>
  <si>
    <t xml:space="preserve">E-HRS-29</t>
  </si>
  <si>
    <t xml:space="preserve">NIST SP 800-82 R3 - Moderate OT Overlay; CISA Cross-Sector Cybersecurity Performance Goals; DOE Cybersecurity Capability Maturity Model</t>
  </si>
  <si>
    <t xml:space="preserve">The organization implements and operates mechanisms to adjust logical and physical access authorizations to Technology Assets, Applications and/or Services (TAAS) and facilities upon personnel reassignment or transfer, in a timely manner.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</si>
  <si>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criteria and/or process for terminating system access authorization and any credentials coincide with personnel actions is established;
b. Ensuring system access and credentials are terminated consistent with personnel actions such as termination or transfer;
c. Ensuring the system is protected during and after personnel transfer actions;
d. Ensuring the time period within which to disable system access is defined;
e. Ensuring upon individual reassignment or transfer to other positions in the organization, the ongoing operational need for current logical and physical access authorizations to the system and facility is reviewed;
f. Ensuring upon individual reassignment or transfer to other positions in the organization, the ongoing operational need for current logical and physical access authorizations to the system and facility is confirmed;
g. Ensuring upon individual reassignment or transfer to other positions in the organization, access authorization is modified to correspond with any changes in operational need;
h. Ensuring transfer or reassignment actions to be initiated following transfer or reassignment are defined;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</si>
  <si>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PS-05 | CISA CPG: 2.D | DOE C2M2: WORKFORCE-1d.
Validation: Annual conformity validation; evidence artifacts E-HRS-29; PPTDF applicability: People.</t>
  </si>
  <si>
    <t xml:space="preserve">PS-05</t>
  </si>
  <si>
    <t xml:space="preserve">2.D</t>
  </si>
  <si>
    <t xml:space="preserve">WORKFORCE-1d</t>
  </si>
  <si>
    <t xml:space="preserve">6.5</t>
  </si>
  <si>
    <t xml:space="preserve">HRS-09</t>
  </si>
  <si>
    <t xml:space="preserve">Personnel Termination</t>
  </si>
  <si>
    <t xml:space="preserve">Mechanisms exist to govern the termination of individual employment.</t>
  </si>
  <si>
    <t xml:space="preserve">Does the organization govern the termination of individual employment?</t>
  </si>
  <si>
    <t xml:space="preserve">E-HRS-19, E-HRS-29</t>
  </si>
  <si>
    <t xml:space="preserve">The organization implements and operates mechanisms to govern the termination of individual employment.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</si>
  <si>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criteria and/or process for terminating system access authorization and any credentials coincide with personnel actions is established;
b. Ensuring system access and credentials are terminated consistent with personnel actions such as termination or transfer;
c. Ensuring the system is protected during and after personnel transfer actions;
d. Ensuring the time period within which to disable system access is defined;
e. Ensuring upon termination of individual employment, authenticators associated with the individual are terminated or revoked;
f. Ensuring upon termination of individual employment, credentials associated with the individual are terminated or revoked;
g. Ensuring upon termination of individual employment, security-related system property is retrieved;
h. Ensuring cybersecurity topics to be discussed when conducting exit interviews are defined;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</si>
  <si>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PS-04 | CISA CPG: 2.D | DOE C2M2: WORKFORCE-1d, WORKFORCE-1g.
Validation: Annual conformity validation; evidence artifacts E-HRS-19, E-HRS-29; PPTDF applicability: People.</t>
  </si>
  <si>
    <t xml:space="preserve">PS-04</t>
  </si>
  <si>
    <t xml:space="preserve">WORKFORCE-1d, WORKFORCE-1g</t>
  </si>
  <si>
    <t xml:space="preserve">HRS-09.2</t>
  </si>
  <si>
    <t xml:space="preserve">High-Risk Terminations</t>
  </si>
  <si>
    <t xml:space="preserve">Mechanisms exist to expedite the process of removing "high risk" individual’s access to Technology Assets, Applications, Services and/or Data (TAASD) upon termination, as determined by management.</t>
  </si>
  <si>
    <t xml:space="preserve">Does the organization expedite the process of removing "high risk" individual’s access to Technology Assets, Applications, Services and/or Data (TAASD) upon termination, as determined by management?</t>
  </si>
  <si>
    <t xml:space="preserve">E-HRS-19</t>
  </si>
  <si>
    <t xml:space="preserve">The organization implements and operates mechanisms to expedite the process of removing "high risk" individual’s access to Technology Assets, Applications, Services and/or Data (TAASD) upon termination, as determined by management.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</si>
  <si>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time period within which to disable accounts of individuals who are discovered to pose significant risk is defined;
b. Ensuring significant risks leading to disabling accounts are defined;
c. Ensuring accounts of individuals are disabled within an organization-defined time period of discovery of organization-defined significant risks;
d. Ensuring mechanisms are in place to protect organizational systems if adverse information develops or is obtained about individuals with access to sensitive / regulated data;
e. Ensuring individuals with access to sensitive / regulated data are identified;
f. Ensuring adverse information about individuals with access to sensitive / regulated data is defined;
g. Ensuring organizational systems to which individuals have access are identified;
h. Applying risk-based personnel screening and access agreements to personnel, contractors and vendors with access to OT and AMI assets; and
i.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</si>
  <si>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AC-02(13) | NIST SP 800-53B Moderate: AC-02(13) | NIST SP 800-53B Privacy: AC-02(13).
Validation: Annual conformity validation; evidence artifacts E-HRS-19; PPTDF applicability: People.</t>
  </si>
  <si>
    <t xml:space="preserve">AC-02(13)</t>
  </si>
  <si>
    <t xml:space="preserve">HRS-10</t>
  </si>
  <si>
    <t xml:space="preserve">Third-Party Personnel</t>
  </si>
  <si>
    <t xml:space="preserve">Mechanisms exist to govern third-party personnel by reviewing and monitoring third-party security, compliance and/or resilience roles and responsibilities.</t>
  </si>
  <si>
    <t xml:space="preserve">Does the organization govern third-party personnel by reviewing and monitoring third-party security, compliance and/or resilience roles and responsibilities?</t>
  </si>
  <si>
    <t xml:space="preserve">E-HRS-16, E-HRS-18, E-HRS-22</t>
  </si>
  <si>
    <t xml:space="preserve">The organization implements and operates mechanisms to govern third-party personnel by reviewing and monitoring third-party security, compliance and/or resilience roles and responsibilities.
Within the OT and AMI environment, this objective extends personnel security to employees, contractors and vendor personnel with logical or physical access to OT and AMI assets, including field crews and meter technicians.</t>
  </si>
  <si>
    <t xml:space="preserve">The Governance, Risk &amp; Compliance (GRC) function is responsible for:
a. Ensuring personnel or roles to be notified of any personnel transfers or terminations of external personnel who possess organizational credentials and/or badges or who have system privileges is/are defined;
b. Ensuring time period within which third-party providers are required to notify organization-defined personnel or roles of any personnel transfers or terminations of external personnel who possess organizational credentials and/or badges or who have system privileges is defined;
c. Ensuring personnel security requirements are established, including security roles and responsibilities for external providers;
d. Ensuring external providers are required to comply with personnel security policies and procedures established by the organization;
e. Ensuring external providers are required to notify personnel or roles of any personnel transfers or terminations of external personnel who possess organizational credentials and/or badges or who have system privileges within an organization-defined time period;
f. Ensuring personnel security requirements are documented;
g. Ensuring provider compliance with personnel security requirements is monitored;
h. Applying risk-based personnel screening and access agreements to personnel, contractors and vendors with access to OT and AMI assets; and
i.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</si>
  <si>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Contract Statement of Work (SOW) review; Responsible, Accountable, Supporting, Consulted and Informed (RASCI) matrix.
In-scope requirement alignment: NIST SP 800-82 R3 (Moderate OT overlay): PS-07 | NIST SP 800-161 R1 C-SCRM: PS-7.
Validation: Annual conformity validation; evidence artifacts E-HRS-16, E-HRS-18, E-HRS-22; PPTDF applicability: People.</t>
  </si>
  <si>
    <t xml:space="preserve">PS-07</t>
  </si>
  <si>
    <t xml:space="preserve">PS-7</t>
  </si>
  <si>
    <t xml:space="preserve">∙ Contract Statement of Work (SOW) review.
∙ Responsible, Accountable, Supporting, Consulted and Informed (RASCI) matrix</t>
  </si>
  <si>
    <t xml:space="preserve">HRS-11</t>
  </si>
  <si>
    <t xml:space="preserve">Separation of Duties (SoD)</t>
  </si>
  <si>
    <t xml:space="preserve">Mechanisms exist to implement and maintain Separation of Duties (SoD) to prevent potential inappropriate activity without collusion.</t>
  </si>
  <si>
    <t xml:space="preserve">Does the organization implement and maintain Separation of Duties (SoD) to prevent potential inappropriate activity without collusion?</t>
  </si>
  <si>
    <t xml:space="preserve">E-HRS-25</t>
  </si>
  <si>
    <t xml:space="preserve">IEC 62443-2-1:2024; NIST SP 800-82 R3 - Moderate OT Overlay; NIST Cybersecurity Framework 2.0; NIST SP 800-53B R5 - Moderate baseline; DOE Cybersecurity Capability Maturity Model; NIST Privacy Framework 1.0; NIST SP 800-53B R5 - Privacy baseline</t>
  </si>
  <si>
    <t xml:space="preserve">The organization implements and operates mechanisms to implement and maintain Separation of Duties (SoD) to prevent potential inappropriate activity without collusion.
Within the OT and AMI environment, this objective extends personnel security to employees, contractors and vendor personnel with logical or physical access to OT and AMI assets, including field crews and meter technicians.</t>
  </si>
  <si>
    <t xml:space="preserve">Line management across IT, OT and field operations is responsible for:
a. Ensuring the duties of individuals requiring separation to reduce the risk of malevolent activity are defined;
b. Ensuring responsibilities for duties that require separation are assigned to separate individuals;
c. Ensuring separate accounts for individuals whose duties and accesses must be separated to reduce the risk of malevolent activity or collusion are established;
d. Applying risk-based personnel screening and access agreements to personnel, contractors and vendors with access to OT and AMI assets; and
e.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</si>
  <si>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Documented / assigned Separation of Duties (SoD).
In-scope requirement alignment: IEC 62443-2-1: USER 2.2 | NIST SP 800-82 R3 (Moderate OT overlay): AC-05 | DOE C2M2: ACCESS-2e, ACCESS-3f | NIST CSF 2.0: PR.AA-05 | NIST SP 800-53B Moderate: AC-05 | NIST Privacy Framework: PR.AC-P4 | NIST SP 800-53B Privacy: AC-05.
Validation: Annual conformity validation; evidence artifacts E-HRS-25; PPTDF applicability: People.</t>
  </si>
  <si>
    <t xml:space="preserve">USER 2.2</t>
  </si>
  <si>
    <t xml:space="preserve">ACCESS-2e, ACCESS-3f</t>
  </si>
  <si>
    <t xml:space="preserve">PR.AA-05</t>
  </si>
  <si>
    <t xml:space="preserve">PR.AC-P4</t>
  </si>
  <si>
    <t xml:space="preserve">5.3, 5.18</t>
  </si>
  <si>
    <t xml:space="preserve">∙ Documented / assigned Separation of Duties (SoD)</t>
  </si>
  <si>
    <t xml:space="preserve">HRS-12.1</t>
  </si>
  <si>
    <t xml:space="preserve">Two-Person Rule</t>
  </si>
  <si>
    <t xml:space="preserve">Mechanisms exist to enforce a two-person rule for implementing changes to sensitive Technology Assets, Applications and/or Services (TAAS).</t>
  </si>
  <si>
    <t xml:space="preserve">Does the organization enforce a two-person rule for implementing changes to sensitive Technology Assets, Applications and/or Services (TAAS)?</t>
  </si>
  <si>
    <t xml:space="preserve">The organization implements and operates mechanisms to enforce a two-person rule for implementing changes to sensitive Technology Assets, Applications and/or Services (TAAS).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</si>
  <si>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privileged commands and/or other actions requiring dual authorization are defined;
b. Ensuring dual authorization is enforced for organization-defined privileged commands and/or other actions;
c. Ensuring critical or sensitive system and organizational operations for which dual authorization is to be enforced are identified;
d. Ensuring dual authorization is employed to execute critical or sensitive system and organizational operations;
e. Applying risk-based personnel screening and access agreements to personnel, contractors and vendors with access to OT and AMI assets; and
f.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</si>
  <si>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800-53B Privacy: AC-03(02).
Validation: Annual conformity validation; evidence artifacts to be defined; PPTDF applicability: People.</t>
  </si>
  <si>
    <t xml:space="preserve">AC-03(02)</t>
  </si>
  <si>
    <t xml:space="preserve">HRS-13</t>
  </si>
  <si>
    <t xml:space="preserve">Identify Critical Skills &amp; Gaps</t>
  </si>
  <si>
    <t xml:space="preserve">Mechanisms exist to evaluate the critical security, compliance and resilience skills needed to support the organization's mission and identify gaps that exist.</t>
  </si>
  <si>
    <t xml:space="preserve">Does the organization evaluate the critical security, compliance and resilience skills needed to support its mission and identify gaps that exist?</t>
  </si>
  <si>
    <t xml:space="preserve">E-HRS-23, E-HRS-24</t>
  </si>
  <si>
    <t xml:space="preserve">The organization implements and operates mechanisms to evaluate the critical security, compliance and resilience skills needed to support the organization's mission and identify gaps that exist.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</si>
  <si>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critical cybersecurity / data privacy skills needed to support the organization's mission are defined;
b. Ensuring gaps / shortfalls in identified critical cybersecurity / data privacy skills needed to support the organization's mission are identified;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</si>
  <si>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Identification of critical skills per team/department; Formal assessment to identify skills gaps.
In-scope requirement alignment: DOE C2M2: WORKFORCE-4b, WORKFORCE-4c.
Validation: Annual conformity validation; evidence artifacts E-HRS-23, E-HRS-24; PPTDF applicability: Process.</t>
  </si>
  <si>
    <t xml:space="preserve">WORKFORCE-4b, WORKFORCE-4c</t>
  </si>
  <si>
    <t xml:space="preserve">∙ Identification of critical skills per team/department
∙ Formal assessment to identify skills gaps</t>
  </si>
  <si>
    <t xml:space="preserve">IAC-01</t>
  </si>
  <si>
    <t xml:space="preserve">Identity &amp; Access Management (IAM)</t>
  </si>
  <si>
    <t xml:space="preserve">Identification &amp; Authentication</t>
  </si>
  <si>
    <t xml:space="preserve">IAC</t>
  </si>
  <si>
    <t xml:space="preserve">Mechanisms exist to facilitate the implementation of identification and access management controls.</t>
  </si>
  <si>
    <t xml:space="preserve">Does the organization facilitate the implementation of identification and access management controls?</t>
  </si>
  <si>
    <t xml:space="preserve">E-AST-01, E-IAM-05, E-IAM-12, E-MON-11</t>
  </si>
  <si>
    <t xml:space="preserve">Identity &amp; Access Management (IAM) Lead</t>
  </si>
  <si>
    <t xml:space="preserve">OT Identity &amp; Remote Access Lead</t>
  </si>
  <si>
    <t xml:space="preserve">Identity provider; AMI vendor; remote-access / PAM vendor</t>
  </si>
  <si>
    <t xml:space="preserve">The organization shall implement the principle of least privilege through identity and access management controls across enterprise IT, OT and AMI environments. Access to control systems, AMI head-end functions, field devices and remote-access paths shall be uniquely identified, strongly authenticated, authorized for a defined purpose and periodically reviewed, with compensating controls documented where OT constraints prevent individual accountability.</t>
  </si>
  <si>
    <t xml:space="preserve">The organization develops, implements and governs processes and documentation to facilitate the implementation of identification and access management controls, as well as associated standards, controls and procedures, across enterprise IT, Operational Technology (OT) and Advanced Metering Infrastructure (AMI) environments.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</si>
  <si>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 capability to govern logical identification and access management controls is implemented;
b. Ensuring the Identity &amp; Access Management (IAM) program is organization-wide;
c. Ensuring Identity and Access Management (IAM) operations are conducted according to documented policies, standards, procedures and/or other organizational directives;
d. Ensuring adequate resources (e.g., people, processes, technologies, data and/or facilities) are provided to support Identity and Access Management (IAM) operations;
e. Ensuring responsibility and authority for the performance of Identity and Access Management (IAM)-related activities are assigned to designated personnel;
f. Ensuring personnel performing Identity and Access Management (IAM)-related activities have the skills and knowledge needed to perform their assigned duties;
g. Governing identity and access management for OT and AMI environments, including head-end operator roles, engineering access, device and service accounts and vendor access, under the enterprise IAM program with OT-specific standards; and
h. Documenting compensating controls where OT or AMI components cannot support unique identification or centralized authentication.</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</si>
  <si>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Identity &amp; Access Management (IAM) program.
In-scope requirement alignment: IEC 62443-2-1: USER 1.1 | IEC 62443-4-2: CR 1.3 | NIST SP 800-82 R3 (Moderate OT overlay): AC-01, IA-01 | NERC CIP: CIP-003-8 1.1.2, CIP-003-8 1.2.3, CIP-004-7 R4, CIP-004-7 4.1.1, CIP-004-7 R6, CIP-007-6 5.1 | CISA CPG: 2.E, 2.L | DOE C2M2: ACCESS-2a, ACCESS-2c, ACCESS-2f, ARCHITECTURE-3a | NIST CSF 2.0: PR.AA, PR.AA-05 | NIST SP 800-161 R1 C-SCRM: AC-1, IA-1 | CSA IoT SCF: IAM-17 | NIST Privacy Framework: PR.AC-P, PR.AC-P1 | NIST SP 800-53B Privacy: AC-01, IA-01.
Validation: Annual conformity validation; evidence artifacts E-AST-01, E-IAM-05, E-IAM-12, E-MON-11; PPTDF applicability: Technology.</t>
  </si>
  <si>
    <t xml:space="preserve">USER 1.1</t>
  </si>
  <si>
    <t xml:space="preserve">CR 1.3</t>
  </si>
  <si>
    <t xml:space="preserve">AC-01, IA-01</t>
  </si>
  <si>
    <t xml:space="preserve">CIP-003-8 1.1.2, CIP-003-8 1.2.3, CIP-004-7 R4, CIP-004-7 4.1.1, CIP-004-7 R6, CIP-007-6 5.1</t>
  </si>
  <si>
    <t xml:space="preserve">2.E, 2.L</t>
  </si>
  <si>
    <t xml:space="preserve">ACCESS-2a, ACCESS-2c, ACCESS-2f, ARCHITECTURE-3a</t>
  </si>
  <si>
    <t xml:space="preserve">PR.AA, PR.AA-05</t>
  </si>
  <si>
    <t xml:space="preserve">AC-1, IA-1</t>
  </si>
  <si>
    <t xml:space="preserve">IAM-17</t>
  </si>
  <si>
    <t xml:space="preserve">PR.AC-P, PR.AC-P1</t>
  </si>
  <si>
    <t xml:space="preserve">SG.AC Access Control; SG.IA Identification and Authentication</t>
  </si>
  <si>
    <t xml:space="preserve">5.15, 5.18</t>
  </si>
  <si>
    <t xml:space="preserve">∙ Identity &amp; Access Management (IAM) program</t>
  </si>
  <si>
    <t xml:space="preserve">IAC-01.2</t>
  </si>
  <si>
    <t xml:space="preserve">Authenticate, Authorize and Audit (AAA)</t>
  </si>
  <si>
    <t xml:space="preserve">Mechanisms exist to strictly govern the use of Authenticate, Authorize and Audit (AAA) solutions, both on-premises and those hosted by an External Service Provider (ESP).</t>
  </si>
  <si>
    <t xml:space="preserve">Does the organization strictly govern the use of Authenticate, Authorize and Audit (AAA) solutions, both on-premises and those hosted by an External Service Provider (ESP)?</t>
  </si>
  <si>
    <t xml:space="preserve">E-IAM-06</t>
  </si>
  <si>
    <t xml:space="preserve">IEC 62443-2-1:2024; IEC 62443-3-3:2013; NIST SP 800-82 R3 - Moderate OT Overlay; NERC CIP; NIST Cybersecurity Framework 2.0; NIST SP 800-53B R5 - Moderate baseline; DOE Cybersecurity Capability Maturity Model; CSA IoT Security Controls Framework v2; NIST SP 800-161 R1 - C-SCRM Baseline; NIST SP 800-53B R5 - Privacy baseline</t>
  </si>
  <si>
    <t xml:space="preserve">The organization implements and operates mechanisms to strictly govern the use of Authenticate, Authorize and Audit (AAA) solutions, both on-premises and those hosted by an External Service Provider (ESP).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</si>
  <si>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The Chief Information Security Officer (CISO), in coordination with the OT Security Lead, is responsible for:
a. Ensuring access to the system is authorized based on a valid access authorization;
b. Ensuring system users are uniquely identified;
c. Ensuring system users are authenticated;
d. Ensuring an inventory of Authenticate, Authorize and Audit (AAA) solutions exists, including instances on-premises and hosted by an External Service Provider (ESP);
e. Ensuring procedures exist to govern on-premises Authenticate, Authorize and Audit (AAA) solutions by assigned stakeholders;
f. Ensuring contracts with External Service Providers (ESPs) contain explicit governance requirements for ESP-controlled Authenticate, Authorize and Audit (AAA) solutions;
g. Ensuring access to the system is authorized based on intended system usage;
h. Ensuring each type of wireless access to the system is authorized prior to establishing such connections;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</si>
  <si>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1.4, USER 1.6, USER 1.7 | IEC 62443-3-3: SR 1.1 RE 1, SR 1.5(h), SR 1.5(i), SR 1.5(j), SR 1.5(k) | NIST SP 800-82 R3 (Moderate OT overlay): IA-04, IA-04(04) | NERC CIP: CIP-007-6 5.1 | DOE C2M2: ACCESS-1b | NIST CSF 2.0: PR.AA, PR.AA-03, PR.AA-04, PR.AA-05 | NIST SP 800-53B Moderate: IA-04(04) | NIST SP 800-161 R1 C-SCRM: IA-4 | CSA IoT SCF: CLS-09 | NIST SP 800-53B Privacy: IA-04, IA-04(04).
Validation: Annual conformity validation; evidence artifacts E-IAM-06; PPTDF applicability: Technology.</t>
  </si>
  <si>
    <t xml:space="preserve">USER 1.4, USER 1.6, USER 1.7</t>
  </si>
  <si>
    <t xml:space="preserve">SR 1.1 RE 1, SR 1.5(h), SR 1.5(i), SR 1.5(j), SR 1.5(k)</t>
  </si>
  <si>
    <t xml:space="preserve">IA-04, IA-04(04)</t>
  </si>
  <si>
    <t xml:space="preserve">CIP-007-6 5.1</t>
  </si>
  <si>
    <t xml:space="preserve">ACCESS-1b</t>
  </si>
  <si>
    <t xml:space="preserve">PR.AA, PR.AA-03, PR.AA-04, PR.AA-05</t>
  </si>
  <si>
    <t xml:space="preserve">IA-04(04)</t>
  </si>
  <si>
    <t xml:space="preserve">IA-4</t>
  </si>
  <si>
    <t xml:space="preserve">CLS-09</t>
  </si>
  <si>
    <t xml:space="preserve">NIST Tenet 2, NIST Tenet 3, NIST Tenet 4, NIST Tenet 6</t>
  </si>
  <si>
    <t xml:space="preserve">∙ Microsoft Active Directory (https://microsoft.com)
∙ Microsoft Entra (https://microsoft.com)
∙ AWS IAM (https://aws.amazon.com)</t>
  </si>
  <si>
    <t xml:space="preserve">IAC-01.3</t>
  </si>
  <si>
    <t xml:space="preserve">User &amp; Service Account Inventories</t>
  </si>
  <si>
    <t xml:space="preserve">Mechanisms exist to maintain a current list of authorized users and service accounts.</t>
  </si>
  <si>
    <t xml:space="preserve">Does the organization maintain a current list of authorized users and service accounts?</t>
  </si>
  <si>
    <t xml:space="preserve">E-IAM-04, E-IAM-10, E-IAM-11</t>
  </si>
  <si>
    <t xml:space="preserve">The organization implements and operates mechanisms to maintain a current list of authorized users and service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</si>
  <si>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 current list of authorized users and services is maintained;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</si>
  <si>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NERC CIP: CIP-007-6 5.2.
Validation: Annual conformity validation; evidence artifacts E-IAM-04, E-IAM-10, E-IAM-11; PPTDF applicability: Process.</t>
  </si>
  <si>
    <t xml:space="preserve">CIP-007-6 5.2</t>
  </si>
  <si>
    <t xml:space="preserve">IAC-02</t>
  </si>
  <si>
    <t xml:space="preserve">Identification &amp; Authentication for Organizational Users</t>
  </si>
  <si>
    <t xml:space="preserve">Mechanisms exist to uniquely identify and centrally Authenticate, Authorize and Audit (AAA) organizational users and processes acting on behalf of organizational users.</t>
  </si>
  <si>
    <t xml:space="preserve">Does the organization uniquely identify and centrally Authenticate, Authorize and Audit (AAA) organizational users and processes acting on behalf of organizational users?</t>
  </si>
  <si>
    <t xml:space="preserve">E-IAM-05, E-IAM-06, E-IAM-13</t>
  </si>
  <si>
    <t xml:space="preserve">IEC 62443-2-1:2024; IEC 62443-3-3:2013; IEC 62443-4-2:2019; NIST SP 800-82 R3 - Moderate OT Overlay; NIST Cybersecurity Framework 2.0; NIST SP 800-161 R1 - C-SCRM Baseline; NIST Privacy Framework 1.0</t>
  </si>
  <si>
    <t xml:space="preserve">The organization implements and operates mechanisms to uniquely identify and centrally Authenticate, Authorize and Audit (AAA) organizational users and processes acting on behalf of organizational users.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</si>
  <si>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system, application and service users are identified;
b. Ensuring the identity of each user is authenticated or verified as a prerequisite to system access;
c. Ensuring processes acting on behalf of users are associated with uniquely identified and authenticated system users;
d. Ensuring the identity of each process acting on behalf of a user is authenticated or verified as a prerequisite to system access;
e. Ensuring the identity of each device accessing or connecting to the system is authenticated or verified as a prerequisite to system access;
f. Ensuring devices accessing the system are identified;
g. Ensuring the unique identification of authenticated organizational users is associated with processes acting on behalf of those users;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</si>
  <si>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 | IEC 62443-3-3: SR 1.1, SR 1.1 RE 1 | IEC 62443-4-2: CR 1.1 | NIST SP 800-82 R3 (Moderate OT overlay): IA-02 | NIST CSF 2.0: PR.AA-01, PR.AA-03, PR.AA-05 | NIST SP 800-161 R1 C-SCRM: IA-2 | NIST Privacy Framework: PR.AC-P6.
Validation: Annual conformity validation; evidence artifacts E-IAM-05, E-IAM-06, E-IAM-13; PPTDF applicability: Technology.</t>
  </si>
  <si>
    <t xml:space="preserve">SR 1.1, SR 1.1 RE 1</t>
  </si>
  <si>
    <t xml:space="preserve">CR 1.1</t>
  </si>
  <si>
    <t xml:space="preserve">IA-02</t>
  </si>
  <si>
    <t xml:space="preserve">PR.AA-01, PR.AA-03, PR.AA-05</t>
  </si>
  <si>
    <t xml:space="preserve">IA-2</t>
  </si>
  <si>
    <t xml:space="preserve">PR.AC-P6</t>
  </si>
  <si>
    <t xml:space="preserve">5.15</t>
  </si>
  <si>
    <t xml:space="preserve">NIST Tenet 3</t>
  </si>
  <si>
    <t xml:space="preserve">IAC-02.2</t>
  </si>
  <si>
    <t xml:space="preserve">Replay-Resistant Authentication</t>
  </si>
  <si>
    <t xml:space="preserve">Automated mechanisms exist to employ replay-resistant authentication.</t>
  </si>
  <si>
    <t xml:space="preserve">Does the organization use automated mechanisms to employ replay-resistant authentication?</t>
  </si>
  <si>
    <t xml:space="preserve">E-AST-01, E-IAM-05, E-IAM-06</t>
  </si>
  <si>
    <t xml:space="preserve">The organization implements and operates automated mechanisms to employ replay-resistant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</si>
  <si>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replay-resistant authentication mechanisms for access to privileged accounts are implemented;
b. Ensuring replay-resistant authentication mechanisms for access to non-privileged accounts are implemented;
c. Ensuring replay resistance is implemented in the establishment of nonlocal maintenance and diagnostic sessions;
d. Ensuring systems and system components to identify and authenticate are defined;
e. Ensuring bidirectional authentication that is cryptographically-based is implemented;
f. Ensuring bidirectional authentication that is replay-resistant is implemented;
g. Ensuring systems and system components are identified and authenticated before establishing a network connection using bidirectional authentication that is cryptographically-based and replay- resistant;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</si>
  <si>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IA-02(08) | NIST CSF 2.0: PR.AA-04.
Validation: Quarterly conformity validation; evidence artifacts E-AST-01, E-IAM-05, E-IAM-06; PPTDF applicability: Technology.</t>
  </si>
  <si>
    <t xml:space="preserve">IA-02(08)</t>
  </si>
  <si>
    <t xml:space="preserve">PR.AA-04</t>
  </si>
  <si>
    <t xml:space="preserve">∙ Secure Baseline Configurations (SBC)
∙ Identity &amp; Access Management (IAM) program</t>
  </si>
  <si>
    <t xml:space="preserve">IAC-02.3</t>
  </si>
  <si>
    <t xml:space="preserve">Acceptance of PIV Credentials</t>
  </si>
  <si>
    <t xml:space="preserve">Mechanisms exist to accept and electronically verify organizational Personal Identity Verification (PIV) credentials.</t>
  </si>
  <si>
    <t xml:space="preserve">Does the organization accept and electronically verify organizational Personal Identity Verification (PIV) credentials?</t>
  </si>
  <si>
    <t xml:space="preserve">The organization implements and operates mechanisms to accept and electronically verify organizational Personal Identity Verification (PIV) credentials.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</si>
  <si>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Personal Identity Verification (PIV)-compliant credentials are accepted and electronically verified;
b. Ensuring organizational controls for using federated or PKI credentials are defined;
c. Ensuring federated or PKI credentials that meet policy are accepted;
d. Ensuring federated or PKI credentials that meet policy are verified;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</si>
  <si>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IA-02(12).
Validation: Annual conformity validation; evidence artifacts to be defined; PPTDF applicability: Technology.</t>
  </si>
  <si>
    <t xml:space="preserve">IA-02(12), IA-08(05)</t>
  </si>
  <si>
    <t xml:space="preserve">IA-02(12)</t>
  </si>
  <si>
    <t xml:space="preserve">IAC-03</t>
  </si>
  <si>
    <t xml:space="preserve">Identification &amp; Authentication for Non-Organizational Users</t>
  </si>
  <si>
    <t xml:space="preserve">Mechanisms exist to uniquely identify and centrally Authenticate, Authorize and Audit (AAA) third-party users and processes that provide services to the organization.</t>
  </si>
  <si>
    <t xml:space="preserve">Does the organization uniquely identify and centrally Authenticate, Authorize and Audit (AAA) third-party users and processes that provide services to the organization?</t>
  </si>
  <si>
    <t xml:space="preserve">E-IAM-05, E-IAM-06</t>
  </si>
  <si>
    <t xml:space="preserve">The organization implements and operates mechanisms to uniquely identify and centrally Authenticate, Authorize and Audit (AAA) third-party users and processes that provide services to the organization.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</si>
  <si>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non-organizational users or processes acting on behalf of non-organizational users are uniquely identified and authenticated;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</si>
  <si>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 | IEC 62443-3-3: SR 1.1, SR 1.1 RE 1 | IEC 62443-4-2: CR 1.1, CR 1.1(1) | NIST SP 800-82 R3 (Moderate OT overlay): IA-08 | NIST CSF 2.0: PR.AA-01, PR.AA-03, PR.AA-05 | NIST SP 800-161 R1 C-SCRM: IA-8 | NIST Privacy Framework: PR.AC-P6.
Validation: Annual conformity validation; evidence artifacts E-IAM-05, E-IAM-06; PPTDF applicability: Technology.</t>
  </si>
  <si>
    <t xml:space="preserve">CR 1.1, CR 1.1(1)</t>
  </si>
  <si>
    <t xml:space="preserve">IA-08</t>
  </si>
  <si>
    <t xml:space="preserve">IA-8</t>
  </si>
  <si>
    <t xml:space="preserve">5.16</t>
  </si>
  <si>
    <t xml:space="preserve">IAC-03.1</t>
  </si>
  <si>
    <t xml:space="preserve">Acceptance of PIV Credentials from Other Organizations</t>
  </si>
  <si>
    <t xml:space="preserve">Mechanisms exist to accept and electronically verify Personal Identity Verification (PIV) credentials from third-parties.</t>
  </si>
  <si>
    <t xml:space="preserve">Does the organization accept and electronically verify Personal Identity Verification (PIV) credentials from third-parties?</t>
  </si>
  <si>
    <t xml:space="preserve">The organization implements and operates mechanisms to accept and electronically verify Personal Identity Verification (PIV) credentials from third-parties.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</si>
  <si>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Personal Identity Verification (PIV)-compliant credentials from other federal agencies are accepted;
b. Ensuring Personal Identity Verification (PIV)-compliant credentials from other federal agencies are electronically verified;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</si>
  <si>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IA-08(01).
Validation: Annual conformity validation; evidence artifacts to be defined; PPTDF applicability: Technology.</t>
  </si>
  <si>
    <t xml:space="preserve">IA-08(01)</t>
  </si>
  <si>
    <t xml:space="preserve">IAC-03.2</t>
  </si>
  <si>
    <t xml:space="preserve">Acceptance of Third-Party Credentials</t>
  </si>
  <si>
    <t xml:space="preserve">Automated mechanisms exist to accept Federal Identity, Credential and Access Management (FICAM)-approved third-party credentials.</t>
  </si>
  <si>
    <t xml:space="preserve">Does the organization use automated mechanisms to accept Federal Identity, Credential and Access Management (FICAM)-approved third-party credentials?</t>
  </si>
  <si>
    <t xml:space="preserve">The organization implements and operates automated mechanisms to accept Federal Identity, Credential and Access Management (FICAM)-approved third-party credentials.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</si>
  <si>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only external authenticators that are NIST-compliant are accepted;
b. Ensuring a list of accepted external authenticators is documented;
c. Ensuring a list of accepted external authenticators is maintained;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</si>
  <si>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IA-08(02).
Validation: Quarterly conformity validation; evidence artifacts to be defined; PPTDF applicability: Technology.</t>
  </si>
  <si>
    <t xml:space="preserve">IA-08(02)</t>
  </si>
  <si>
    <t xml:space="preserve">IAC-03.3</t>
  </si>
  <si>
    <t xml:space="preserve">Use of FICAM-Issued Profiles</t>
  </si>
  <si>
    <t xml:space="preserve">Mechanisms exist to conform systems to Federal Identity, Credential and Access Management (FICAM)-issued profiles.</t>
  </si>
  <si>
    <t xml:space="preserve">Does the organization conform systems to Federal Identity, Credential and Access Management (FICAM)-issued profiles?</t>
  </si>
  <si>
    <t xml:space="preserve">The organization implements and operates mechanisms to conform systems to Federal Identity, Credential and Access Management (FICAM)-issued profiles.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</si>
  <si>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identity management profiles are defined;
b. Ensuring there is conformance with identity management profiles for identity management;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</si>
  <si>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IA-08(04).
Validation: Annual conformity validation; evidence artifacts to be defined; PPTDF applicability: Technology.</t>
  </si>
  <si>
    <t xml:space="preserve">IA-08(04)</t>
  </si>
  <si>
    <t xml:space="preserve">IAC-03.5</t>
  </si>
  <si>
    <t xml:space="preserve">Acceptance of External Authenticators</t>
  </si>
  <si>
    <t xml:space="preserve">Mechanisms exist to restrict the use of external authenticators to those that are National Institute of Standards and Technology (NIST)-compliant and maintain a list of accepted external authenticators.</t>
  </si>
  <si>
    <t xml:space="preserve">Does the organization restrict the use of external authenticators to those that are National Institute of Standards and Technology (NIST)-compliant and maintain a list of accepted external authenticators?</t>
  </si>
  <si>
    <t xml:space="preserve">The organization implements and operates mechanisms to restrict the use of external authenticators to those that are National Institute of Standards and Technology (NIST)-compliant and maintain a list of accepted external authenticators.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</si>
  <si>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use of external authenticators is restricted to those that are National Institute of Standards and Technology (NIST)-compliant and maintain a list of accepted external authenticators;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</si>
  <si>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CSF 2.0: PR.AA-04.
Validation: Annual conformity validation; evidence artifacts E-IAM-05, E-IAM-06; PPTDF applicability: Technology.</t>
  </si>
  <si>
    <t xml:space="preserve">IAC-04</t>
  </si>
  <si>
    <t xml:space="preserve">Identification &amp; Authentication for Devices</t>
  </si>
  <si>
    <t xml:space="preserve">Mechanisms exist to uniquely identify and centrally Authenticate, Authorize and Audit (AAA) devices before establishing a connection using bidirectional authentication that is cryptographically- based and replay resistant.</t>
  </si>
  <si>
    <t xml:space="preserve">Does the organization uniquely identify and centrally Authenticate, Authorize and Audit (AAA) devices before establishing a connection using bidirectional authentication that is cryptographically- based and replay resistant?</t>
  </si>
  <si>
    <t xml:space="preserve">IEC 62443-2-1:2024; IEC 62443-3-3:2013; IEC 62443-4-2:2019; NIST SP 800-82 R3 - Moderate OT Overlay; NERC CIP; NIST Cybersecurity Framework 2.0; NIST SP 800-53B R5 - Moderate baseline; CSA IoT Security Controls Framework v2; NIST Privacy Framework 1.0; NIST SP 800-53B R5 - Privacy baseline</t>
  </si>
  <si>
    <t xml:space="preserve">The organization implements and operates mechanisms to uniquely identify and centrally Authenticate, Authorize and Audit (AAA) devices before establishing a connection using bidirectional authentication that is cryptographically- based and replay resistant.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</si>
  <si>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devices or types of devices to be uniquely identified and authenticated before establishing a connection are defined;
b. Ensuring organization-defined devices or types of devices are authenticated before establishing a system connection;
c. Ensuring devices and/or types of devices are uniquely identified and authenticated before establishing a local connection;
d. Ensuring devices and/or types of devices are uniquely identified and authenticated before establishing a remote connection;
e. Ensuring device identification and authentication are handled based on attestation by configuration management process;
f. Ensuring devices and/or types of devices requiring use of cryptographically based, bidirectional authentication to authenticate before establishing one or more connections are defined;
g. Ensuring devices and/or types of devices are authenticated before establishing a local connection using bidirectional authentication that is cryptographically based;
h. Ensuring devices and/or types of devices are authenticated before establishing a remote connection using bidirectional authentication that is cryptographically based;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</si>
  <si>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 USER 1.19 | IEC 62443-3-3: SR 1.2, SR 1.2 RE 1 | IEC 62443-4-2: CR 1.2, CR 1.2(1) | NIST SP 800-82 R3 (Moderate OT overlay): IA-03 | NERC CIP: CIP-005-7 1.4 | NIST CSF 2.0: PR.AA-01, PR.AA-03, PR.AA-05 | NIST SP 800-53B Moderate: IA-03 | CSA IoT SCF: IAM-17 | NIST Privacy Framework: PR.AC-P6 | NIST SP 800-53B Privacy: IA-03(04).
Validation: Annual conformity validation; evidence artifacts E-IAM-05, E-IAM-06; PPTDF applicability: Technology.</t>
  </si>
  <si>
    <t xml:space="preserve">USER 1.1, USER 1.19</t>
  </si>
  <si>
    <t xml:space="preserve">SR 1.2, SR 1.2 RE 1</t>
  </si>
  <si>
    <t xml:space="preserve">CR 1.2, CR 1.2(1)</t>
  </si>
  <si>
    <t xml:space="preserve">IA-03, IA-03(01), IA-03(04)</t>
  </si>
  <si>
    <t xml:space="preserve">IA-03</t>
  </si>
  <si>
    <t xml:space="preserve">CIP-005-7 1.4</t>
  </si>
  <si>
    <t xml:space="preserve">IA-03(04)</t>
  </si>
  <si>
    <t xml:space="preserve">NIST Tenet 2, NIST Tenet 3, NIST Tenet 4</t>
  </si>
  <si>
    <t xml:space="preserve">IAC-04.1</t>
  </si>
  <si>
    <t xml:space="preserve">Device Attestation</t>
  </si>
  <si>
    <t xml:space="preserve">Mechanisms exist to ensure device identification and authentication is accurate by centrally-managing the joining of systems to the domain as part of the initial asset configuration management process.</t>
  </si>
  <si>
    <t xml:space="preserve">Does the organization ensure device identification and authentication is accurate by centrally-managing the joining of systems to the domain as part of the initial asset configuration management process?</t>
  </si>
  <si>
    <t xml:space="preserve">The organization implements and operates mechanisms to ensure device identification and authentication is accurate by centrally-managing the joining of systems to the domain as part of the initial asset configuration management process.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</si>
  <si>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configuration management process to be employed to handle device identification and authentication based on attestation is defined;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</si>
  <si>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Entra; AWS IAM.
In-scope requirement alignment: NIST SP 800-53B Privacy: IA-03(04).
Validation: Annual conformity validation; evidence artifacts to be defined; PPTDF applicability: Technology.</t>
  </si>
  <si>
    <t xml:space="preserve">∙ Microsoft Entra (https://microsoft.com)
∙ AWS IAM (https://aws.amazon.com)</t>
  </si>
  <si>
    <t xml:space="preserve">IAC-05</t>
  </si>
  <si>
    <t xml:space="preserve">Identification &amp; Authentication for Third-Party Technology Assets, Applications and/or Services (TAAS)</t>
  </si>
  <si>
    <t xml:space="preserve">Mechanisms exist to identify and authenticate third-party Technology Assets, Applications and/or Services (TAAS).</t>
  </si>
  <si>
    <t xml:space="preserve">Does the organization identify and authenticate third-party Technology Assets, Applications and/or Services (TAAS)?</t>
  </si>
  <si>
    <t xml:space="preserve">The organization implements and operates mechanisms to identify and authenticate third-party Technology Assets, Applications and/or Services (TAAS).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</si>
  <si>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system services and applications to be uniquely identified and authenticated are defined;
b. Ensuring system services and applications are uniquely identified and authenticated before establishing communications with devices, users or other services or applications;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</si>
  <si>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 USER 1.6 | IEC 62443-3-3: SR 1.2, SR 1.2 RE 1 | NIST CSF 2.0: PR.AA-01, PR.AA-03, PR.AA-05.
Validation: Annual conformity validation; evidence artifacts E-IAM-05, E-IAM-06; PPTDF applicability: Technology.</t>
  </si>
  <si>
    <t xml:space="preserve">USER 1.1, USER 1.6</t>
  </si>
  <si>
    <t xml:space="preserve">IA-09</t>
  </si>
  <si>
    <t xml:space="preserve">IAC-06</t>
  </si>
  <si>
    <t xml:space="preserve">Multi-Factor Authentication (MFA)</t>
  </si>
  <si>
    <t xml:space="preserve">Automated mechanisms exist to enforce Multi-Factor Authentication (MFA) for:
(1) Remote network access; 
(2) Third-party Technology Assets, Applications and/or Services (TAAS); and/ or
(3) Non-console access to critical TAAS that store, transmit and/or process sensitive and/or regulated data.</t>
  </si>
  <si>
    <t xml:space="preserve">Does the organization use automated mechanisms to enforce Multi-Factor Authentication (MFA) for:
 (1) Remote network access; 
 (2) Third-party Technology Assets, Applications and/or Services (TAAS); and/ or
 (3) Non-console access to critical TAAS that store, transmit and/or process sensitive and/or regulated data?</t>
  </si>
  <si>
    <t xml:space="preserve">IEC 62443-2-1:2024; IEC 62443-3-3:2013; IEC 62443-4-2:2019; NIST SP 800-82 R3 - Moderate OT Overlay; NERC CIP; CISA Cross-Sector Cybersecurity Performance Goals; DOE Cybersecurity Capability Maturity Model; CSA IoT Security Controls Framework v2; NIST SP 800-53B R5 - Privacy baseline</t>
  </si>
  <si>
    <t xml:space="preserve">The organization implements and operates automated mechanisms to enforce Multi-Factor Authentication (MFA) for: (1) Remote network access; (2) Third-party Technology Assets, Applications and/or Services (TAAS); and/ or (3) Non-console access to critical TAAS that store, transmit and/or process sensitive and/or regulated data.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</si>
  <si>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multi-factor authentication for access to privileged accounts is implemented;
b. Ensuring multi-factor authentication for access to non-privileged accounts is implemented;
c. Ensuring system components that are known, authenticated, in a properly configured state or in a trust profile are identified;
d. Ensuring automated or manual/procedural mechanisms to prohibit system components from connecting to organizational systems are identified;
e. Ensuring automated or manual/procedural mechanisms are employed to prohibit system components from connecting to organizational systems unless the components are known, authenticated, in a properly configured state or in a trust profile;
f. Ensuring multi-factor authentication is implemented in the establishment of nonlocal maintenance and diagnostic sessions;
g. Enforcing multi-factor authentication for all remote access to OT and AMI environments and for privileged access to head-end, control system and engineering functions; and
h. Documenting compensating controls (e.g., physical access controls, jump hosts, session monitoring) where OT components cannot natively support multi-factor authentication.</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</si>
  <si>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Yubico; Duo.
In-scope requirement alignment: IEC 62443-2-1: USER 1.9 | IEC 62443-3-3: SR 1.1 RE 2 | IEC 62443-4-2: CR 1.1(2) | NIST SP 800-82 R3 (Moderate OT overlay): IA-02(01), IA-02(02) | NERC CIP: CIP-005-7 2.3 | CISA CPG: 2.H | DOE C2M2: ACCESS-1h, ACCESS-1i | CSA IoT SCF: CLS-11 | NIST SP 800-53B Privacy: IA-02(01), IA-02(02).
Validation: Quarterly conformity validation; evidence artifacts to be defined; PPTDF applicability: Technology.</t>
  </si>
  <si>
    <t xml:space="preserve">USER 1.9</t>
  </si>
  <si>
    <t xml:space="preserve">SR 1.1 RE 2</t>
  </si>
  <si>
    <t xml:space="preserve">CR 1.1(2)</t>
  </si>
  <si>
    <t xml:space="preserve">IA-02(01), IA-02(02)</t>
  </si>
  <si>
    <t xml:space="preserve">CIP-005-7 2.3</t>
  </si>
  <si>
    <t xml:space="preserve">2.H</t>
  </si>
  <si>
    <t xml:space="preserve">ACCESS-1h, ACCESS-1i</t>
  </si>
  <si>
    <t xml:space="preserve">CLS-11</t>
  </si>
  <si>
    <t xml:space="preserve">∙ Microsoft Active Directory (https://microsoft.com)
∙ Microsoft Entra (https://microsoft.com)
∙ AWS IAM (https://aws.amazon.com)
∙ Yubico (https://yubico.com)
∙ Duo (https://duo.com)</t>
  </si>
  <si>
    <t xml:space="preserve">IAC-06.1</t>
  </si>
  <si>
    <t xml:space="preserve">Network Access to Privileged Accounts</t>
  </si>
  <si>
    <t xml:space="preserve">Mechanisms exist to utilize Multi-Factor Authentication (MFA) to authenticate network access for privileged accounts.</t>
  </si>
  <si>
    <t xml:space="preserve">Does the organization utilize Multi-Factor Authentication (MFA) to authenticate network access for privileged accounts?</t>
  </si>
  <si>
    <t xml:space="preserve">The organization implements and operates mechanisms to utilize Multi-Factor Authentication (MFA) to authenticate network access for privileged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</si>
  <si>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accounts are identified;
b. Ensuring multifactor authentication is implemented for network access to privileged accounts;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</si>
  <si>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Yubico; Duo.
In-scope requirement alignment: NIST SP 800-82 R3 (Moderate OT overlay): IA-02(01), IA-02(02) | DOE C2M2: ACCESS-1h | NIST SP 800-53B Privacy: IA-02(01), IA-02(02).
Validation: Annual conformity validation; evidence artifacts to be defined; PPTDF applicability: Technology.</t>
  </si>
  <si>
    <t xml:space="preserve">ACCESS-1h</t>
  </si>
  <si>
    <t xml:space="preserve">IAC-06.2</t>
  </si>
  <si>
    <t xml:space="preserve">Network Access to Non-Privileged Accounts</t>
  </si>
  <si>
    <t xml:space="preserve">Mechanisms exist to utilize Multi-Factor Authentication (MFA) to authenticate network access for non-privileged accounts.</t>
  </si>
  <si>
    <t xml:space="preserve">Does the organization utilize Multi-Factor Authentication (MFA) to authenticate network access for non-privileged accounts?</t>
  </si>
  <si>
    <t xml:space="preserve">The organization implements and operates mechanisms to utilize Multi-Factor Authentication (MFA) to authenticate network access for non-privileged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</si>
  <si>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multifactor authentication is implemented for network access to non-privileged accounts;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</si>
  <si>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Yubico; Duo.
In-scope requirement alignment: NIST SP 800-82 R3 (Moderate OT overlay): IA-02(01), IA-02(02) | NIST SP 800-53B Privacy: IA-02(01), IA-02(02).
Validation: Annual conformity validation; evidence artifacts to be defined; PPTDF applicability: Technology.</t>
  </si>
  <si>
    <t xml:space="preserve">IAC-06.3</t>
  </si>
  <si>
    <t xml:space="preserve">Local Access to Privileged Accounts</t>
  </si>
  <si>
    <t xml:space="preserve">Mechanisms exist to utilize Multi-Factor Authentication (MFA) to authenticate local access for privileged accounts.</t>
  </si>
  <si>
    <t xml:space="preserve">Does the organization utilize Multi-Factor Authentication (MFA) to authenticate local access for privileged accounts?</t>
  </si>
  <si>
    <t xml:space="preserve">The organization implements and operates mechanisms to utilize Multi-Factor Authentication (MFA) to authenticate local access for privileged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</si>
  <si>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accounts are identified;
b. Ensuring multifactor authentication is implemented for local access to privileged accounts;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</si>
  <si>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IAC-06.4</t>
  </si>
  <si>
    <t xml:space="preserve">Out-of-Band Multi-Factor Authentication</t>
  </si>
  <si>
    <t xml:space="preserve">Mechanisms exist to implement Multi-Factor Authentication (MFA) for access to privileged and non-privileged accounts such that one of the factors is independently provided by a device separate from the system being accessed.</t>
  </si>
  <si>
    <t xml:space="preserve">Does the organization implement Multi-Factor Authentication (MFA) for access to privileged and non-privileged accounts such that one of the factors is independently provided by a device separate from the system being accessed?</t>
  </si>
  <si>
    <t xml:space="preserve">The organization implements and operates mechanisms to implement Multi-Factor Authentication (MFA) for access to privileged and non-privileged accounts such that one of the factors is independently provided by a device separate from the system being accessed.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</si>
  <si>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multi-factor authentication for access to privileged accounts is implemented;
b. Ensuring multi-factor authentication for access to non-privileged accounts is implemented;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</si>
  <si>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Yubico; Duo.
In-scope requirement alignment: NIST SP 800-82 R3 (Moderate OT overlay): IA-02(01), IA-02(02) | NIST SP 800-53B Privacy: IA-02(01), IA-02(02).
Validation: Annual conformity validation; evidence artifacts to be defined; PPTDF applicability: Technology.</t>
  </si>
  <si>
    <t xml:space="preserve">IA-02(01), IA-02(02), IA-02(06)</t>
  </si>
  <si>
    <t xml:space="preserve">∙ Yubico (https://yubico.com)
∙ Duo (https://duo.com)</t>
  </si>
  <si>
    <t xml:space="preserve">IAC-07</t>
  </si>
  <si>
    <t xml:space="preserve">User Provisioning &amp; De-Provisioning</t>
  </si>
  <si>
    <t xml:space="preserve">Mechanisms exist to utilize a formal user registration and de-registration process that governs the assignment of access rights.</t>
  </si>
  <si>
    <t xml:space="preserve">Does the organization utilize a formal user registration and de-registration process that governs the assignment of access rights?</t>
  </si>
  <si>
    <t xml:space="preserve">E-HRS-12, E-HRS-18, E-HRS-19</t>
  </si>
  <si>
    <t xml:space="preserve">IEC 62443-2-1:2024; NERC CIP; CISA Cross-Sector Cybersecurity Performance Goals; DOE Cybersecurity Capability Maturity Model; CSA IoT Security Controls Framework v2; NIST SP 800-53B R5 - Privacy baseline</t>
  </si>
  <si>
    <t xml:space="preserve">The organization implements and operates mechanisms to utilize a formal user registration and de-registration process that governs the assignment of access rights.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</si>
  <si>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validation and verification of identity evidence is conducted in person before a designated registration authority;
b. Ensuring authorization is received from organizational personnel or roles to assign an individual, group, role, service, or device identifier;
c. Ensuring system accounts are created in accordance with organizational policy, procedures, prerequisites, and criteria;
d. Ensuring system accounts are enabled in accordance with organizational policy, procedures, prerequisites, and criteria;
e. Ensuring system accounts are modified in accordance with organizational policy, procedures, prerequisites, and criteria;
f. Ensuring system accounts are disabled in accordance with organizational policy, procedures, prerequisites, and criteria;
g. Ensuring system accounts are removed in accordance with organizational policy, procedures, prerequisites, and criteria;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</si>
  <si>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(e.g., SailPoint, Saviynt, Microsoft Entra ID Governance); Automated lifecycle management; Role-based access provisioning.
In-scope requirement alignment: IEC 62443-2-1: USER 1.2 | NERC CIP: CIP-004-7 6.1.1, CIP-004-7 6.1.2, CIP-004-7 6.3 | CISA CPG: 2.D | DOE C2M2: ACCESS-1a, ACCESS-1c, ACCESS-1f, ACCESS-2f, ACCESS-2g | CSA IoT SCF: IAM-08 | NIST SP 800-53B Privacy: IA-12(04).
Validation: Annual conformity validation; evidence artifacts E-HRS-12, E-HRS-18, E-HRS-19; PPTDF applicability: Technology.</t>
  </si>
  <si>
    <t xml:space="preserve">USER 1.2</t>
  </si>
  <si>
    <t xml:space="preserve">IA-12(04)</t>
  </si>
  <si>
    <t xml:space="preserve">CIP-004-7 6.1.1, CIP-004-7 6.1.2, CIP-004-7 6.3</t>
  </si>
  <si>
    <t xml:space="preserve">ACCESS-1a, ACCESS-1c, ACCESS-1f, ACCESS-2f, ACCESS-2g</t>
  </si>
  <si>
    <t xml:space="preserve">IAM-08</t>
  </si>
  <si>
    <t xml:space="preserve">5.16, 5.18</t>
  </si>
  <si>
    <t xml:space="preserve">∙ Enterprise IGA platform (e.g., SailPoint, Saviynt, Microsoft Entra ID Governance)
∙ Automated lifecycle management
∙ Role-based access provisioning</t>
  </si>
  <si>
    <t xml:space="preserve">IAC-07.1</t>
  </si>
  <si>
    <t xml:space="preserve">Change of Roles &amp; Duties</t>
  </si>
  <si>
    <t xml:space="preserve">Mechanisms exist to revoke user access rights following changes in personnel roles and duties, if no longer necessary or permitted.</t>
  </si>
  <si>
    <t xml:space="preserve">Does the organization revoke user access rights following changes in personnel roles and duties, if no longer necessary or permitted?</t>
  </si>
  <si>
    <t xml:space="preserve">E-HRS-12, E-HRS-19</t>
  </si>
  <si>
    <t xml:space="preserve">The organization implements and operates mechanisms to revoke user access rights following changes in personnel roles and duties, if no longer necessary or permitted.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</si>
  <si>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user access rights are revoked following changes in personnel roles and duties, if no longer necessary or permitted;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</si>
  <si>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HR integration; Automated role-change access adjustments; Access certification.
In-scope requirement alignment: CISA CPG: 2.D | DOE C2M2: ACCESS-2f, ACCESS-2g, ACCESS-2h.
Validation: Annual conformity validation; evidence artifacts E-HRS-12, E-HRS-19; PPTDF applicability: Technology.</t>
  </si>
  <si>
    <t xml:space="preserve">ACCESS-2f, ACCESS-2g, ACCESS-2h</t>
  </si>
  <si>
    <t xml:space="preserve">5.18</t>
  </si>
  <si>
    <t xml:space="preserve">∙ Enterprise IGA platform with HR integration
∙ Automated role-change access adjustments
∙ Access certification</t>
  </si>
  <si>
    <t xml:space="preserve">IAC-07.2</t>
  </si>
  <si>
    <t xml:space="preserve">Termination of Employment</t>
  </si>
  <si>
    <t xml:space="preserve">Mechanisms exist to revoke user access rights in a timely manner, upon termination of employment or contract.</t>
  </si>
  <si>
    <t xml:space="preserve">Does the organization revoke user access rights in a timely manner, upon termination of employment or contract?</t>
  </si>
  <si>
    <t xml:space="preserve">NIST SP 800-82 R3 - Moderate OT Overlay; CISA Cross-Sector Cybersecurity Performance Goals; NIST SP 800-161 R1 - C-SCRM Baseline; NIST SP 800-53B R5 - Privacy baseline</t>
  </si>
  <si>
    <t xml:space="preserve">The organization implements and operates mechanisms to revoke user access rights in a timely manner, upon termination of employment or contract.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</si>
  <si>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prerequisites and criteria for group and role membership are defined;
b. Ensuring criteria for account creation, enabling, modification, disabling and removal are defined;
c. Ensuring personnel or roles required to approve requests to create accounts is/are defined;
d. Ensuring account managers are assigned;
e. Ensuring group and role memberships are specified;
f. Ensuring access authorizations (i.e., privileges) for each account are specified;
g. Ensuring accounts are modified in accordance with policy, procedures, prerequisites and criteria;
h. Ensuring accounts are disabled in accordance with policy, procedures, prerequisites and criteria;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</si>
  <si>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with automated offboarding; HR system integration; Immediate access revocation across all systems; Exit interview and access audit.
In-scope requirement alignment: NIST SP 800-82 R3 (Moderate OT overlay): AC-02 | CISA CPG: 2.D | NIST SP 800-161 R1 C-SCRM: AC-2 | NIST SP 800-53B Privacy: AC-02.
Validation: Annual conformity validation; evidence artifacts E-HRS-19; PPTDF applicability: Technology.</t>
  </si>
  <si>
    <t xml:space="preserve">AC-02</t>
  </si>
  <si>
    <t xml:space="preserve">AC-2</t>
  </si>
  <si>
    <t xml:space="preserve">∙ Enterprise IGA with automated offboarding
∙ HR system integration
∙ Immediate access revocation across all systems
∙ Exit interview and access audit</t>
  </si>
  <si>
    <t xml:space="preserve">IAC-08</t>
  </si>
  <si>
    <t xml:space="preserve">Role-Based Access Control (RBAC)</t>
  </si>
  <si>
    <t xml:space="preserve">Mechanisms exist to enforce Role-Based Access Control (RBAC) for Technology Assets, Applications, Services and/or Data (TAASD) to restrict access to individuals assigned specific roles with legitimate business needs.</t>
  </si>
  <si>
    <t xml:space="preserve">Does the organization enforce Role-Based Access Control (RBAC) for Technology Assets, Applications, Services and/or Data (TAASD) to restrict access to individuals assigned specific roles with legitimate business needs?</t>
  </si>
  <si>
    <t xml:space="preserve">E-HRS-12, E-IAM-02</t>
  </si>
  <si>
    <t xml:space="preserve">IEC 62443-2-1:2024; IEC 62443-3-3:2013; IEC 62443-4-2:2019; NERC CIP; CISA Cross-Sector Cybersecurity Performance Goals; NIST Cybersecurity Framework 2.0; DOE Cybersecurity Capability Maturity Model; CSA IoT Security Controls Framework v2</t>
  </si>
  <si>
    <t xml:space="preserve">The organization implements and operates mechanisms to enforce Role-Based Access Control (RBAC) for Technology Assets, Applications, Services and/or Data (TAASD) to restrict access to individuals assigned specific roles with legitimate business needs.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</si>
  <si>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organization implements a role-based access scheme or an attribute-based access scheme;
b. Ensuring privileged user accounts are established and administered in accordance with organization-defined parameters;
c. Ensuring access to sensitive / regulated data requiring special protection is granted only to individuals who have a valid access authorization that is demonstrated by assigned duties;
d. Ensuring access to sensitive / regulated data requiring special protection is granted only to individuals who satisfy associated personnel security criteria;
e. Ensuring security functions for authorized access are defined;
f. Ensuring security-relevant information for authorized access is defined;
g. Ensuring logical access restrictions associated with changes to the system are defined and documented;
h. Ensuring the incident response plan is protected from unauthorized disclosure;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</si>
  <si>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Role-Based Access Control (RBAC).
In-scope requirement alignment: IEC 62443-2-1: USER 1.5 | IEC 62443-3-3: SR 2.1 RE 2 | IEC 62443-4-2: CR 2.1, CR 2.1(1), CR 2.1(2) | NERC CIP: CIP-004-7 4.1 | CISA CPG: 2.E, 2.L | DOE C2M2: ACCESS-1g, ACCESS-2b, ARCHITECTURE-3c | NIST CSF 2.0: PR.AA-05 | CSA IoT SCF: IAM-16, MON-04.
Validation: Annual conformity validation; evidence artifacts E-HRS-12, E-IAM-02; PPTDF applicability: Technology.</t>
  </si>
  <si>
    <t xml:space="preserve">USER 1.5</t>
  </si>
  <si>
    <t xml:space="preserve">SR 2.1 RE 2</t>
  </si>
  <si>
    <t xml:space="preserve">CR 2.1, CR 2.1(1), CR 2.1(2)</t>
  </si>
  <si>
    <t xml:space="preserve">AC-02(07)</t>
  </si>
  <si>
    <t xml:space="preserve">CIP-004-7 4.1</t>
  </si>
  <si>
    <t xml:space="preserve">ACCESS-1g, ACCESS-2b, ARCHITECTURE-3c</t>
  </si>
  <si>
    <t xml:space="preserve">IAM-16, MON-04</t>
  </si>
  <si>
    <t xml:space="preserve">5.15, 8.3</t>
  </si>
  <si>
    <t xml:space="preserve">∙ Role-Based Access Control (RBAC)</t>
  </si>
  <si>
    <t xml:space="preserve">IAC-09</t>
  </si>
  <si>
    <t xml:space="preserve">Identifier Management (User Names)</t>
  </si>
  <si>
    <t xml:space="preserve">Mechanisms exist to govern naming standards for usernames and Technology Assets, Applications and/or Services (TAAS).</t>
  </si>
  <si>
    <t xml:space="preserve">Does the organization govern naming standards for usernames and Technology Assets, Applications and/or Services (TAAS)?</t>
  </si>
  <si>
    <t xml:space="preserve">IEC 62443-3-3:2013; IEC 62443-4-2:2019; NIST SP 800-82 R3 - Moderate OT Overlay; NIST SP 800-161 R1 - C-SCRM Baseline; NIST SP 800-53B R5 - Privacy baseline</t>
  </si>
  <si>
    <t xml:space="preserve">The organization implements and operates mechanisms to govern naming standards for usernames and Technology Assets, Applications and/or Services (TAAS).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</si>
  <si>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personnel or roles from whom authorization must be received to assign an identifier are defined;
b. Ensuring system identifiers are managed by receiving authorization from personnel or roles to assign to an individual, group, role or device identifier;
c. Ensuring the time period for preventing the reuse of identifiers is defined;
d. Ensuring the reuse of identifiers for an organization-defined time period is prevented;
e. Ensuring an identifier that identifies an individual, group, role, service, or device is selected;
f. Ensuring an identifier that identifies an individual, group, role, service, or device is assigned;
g. Managing OT and AMI accounts (operator, engineering, service, device and vendor accounts) through a documented lifecycle with unique identification where technically feasible and documented compensating controls where shared accounts are required for safe operation;
h. Enforcing multi-factor authentication for all remote access to OT and AMI environments and for privileged access to head-end and control system functions; and
i.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</si>
  <si>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62443-3-3: SR 1.4 | IEC 62443-4-2: CR 1.4 | NIST SP 800-82 R3 (Moderate OT overlay): IA-04 | NIST SP 800-161 R1 C-SCRM: IA-4 | NIST SP 800-53B Privacy: IA-04.
Validation: Annual conformity validation; evidence artifacts to be defined; PPTDF applicability: Technology.</t>
  </si>
  <si>
    <t xml:space="preserve">SR 1.4</t>
  </si>
  <si>
    <t xml:space="preserve">CR 1.4</t>
  </si>
  <si>
    <t xml:space="preserve">IA-04</t>
  </si>
  <si>
    <t xml:space="preserve">IAC-09.1</t>
  </si>
  <si>
    <t xml:space="preserve">User Identity (ID) Management</t>
  </si>
  <si>
    <t xml:space="preserve">Mechanisms exist to ensure proper user identification management for non-consumer users and administrators.</t>
  </si>
  <si>
    <t xml:space="preserve">Does the organization ensure proper user identification management for non-consumer users and administrators?</t>
  </si>
  <si>
    <t xml:space="preserve">IEC 62443-3-3:2013; IEC 62443-4-2:2019; NIST SP 800-82 R3 - Moderate OT Overlay; NIST SP 800-53B R5 - Moderate baseline; NIST SP 800-53B R5 - Privacy baseline</t>
  </si>
  <si>
    <t xml:space="preserve">The organization implements and operates mechanisms to ensure proper user identification management for non-consumer users and administrators.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</si>
  <si>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characteristics used to identify individual status is defined;
b. Ensuring individual identifiers are managed by uniquely identifying each individual as characteristics;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</si>
  <si>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62443-3-3: SR 1.4 | IEC 62443-4-2: CR 1.4 | NIST SP 800-82 R3 (Moderate OT overlay): IA-04(04) | NIST SP 800-53B Moderate: IA-04(04) | NIST SP 800-53B Privacy: IA-04(04).
Validation: Annual conformity validation; evidence artifacts to be defined; PPTDF applicability: Technology.</t>
  </si>
  <si>
    <t xml:space="preserve">IAC-09.2</t>
  </si>
  <si>
    <t xml:space="preserve">Identity User Status</t>
  </si>
  <si>
    <t xml:space="preserve">Mechanisms exist to identify contractors and other third-party users through unique username characteristics.</t>
  </si>
  <si>
    <t xml:space="preserve">Does the organization identify contractors and other third-party users through unique username characteristics?</t>
  </si>
  <si>
    <t xml:space="preserve">The organization implements and operates mechanisms to identify contractors and other third-party users through unique username characteristics.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</si>
  <si>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characteristic used to identify individual status are defined;
b. Ensuring individual identifiers are managed by uniquely identifying each individual per an organization-defined characteristic;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</si>
  <si>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800-82 R3 (Moderate OT overlay): IA-04(04) | NIST SP 800-53B Moderate: IA-04(04) | NIST SP 800-53B Privacy: IA-04(04).
Validation: Annual conformity validation; evidence artifacts to be defined; PPTDF applicability: Technology.</t>
  </si>
  <si>
    <t xml:space="preserve">IAC-09.5</t>
  </si>
  <si>
    <t xml:space="preserve">Privileged Account Identifiers</t>
  </si>
  <si>
    <t xml:space="preserve">Mechanisms exist to uniquely manage privileged accounts to identify the account as a privileged user or service.</t>
  </si>
  <si>
    <t xml:space="preserve">Does the organization uniquely manage privileged accounts to identify the account as a privileged user or service?</t>
  </si>
  <si>
    <t xml:space="preserve">The organization implements and operates mechanisms to uniquely manage privileged accounts to identify the account as a privileged user or service.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</si>
  <si>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security controls implemented to manage the risk of compromise due to individuals having accounts on multiple systems are defined;
b. Ensuring security controls are implemented to manage the risk of compromise due to individuals having accounts on multiple systems;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</si>
  <si>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800-53B Privacy: IA-05(08).
Validation: Annual conformity validation; evidence artifacts to be defined; PPTDF applicability: Technology.</t>
  </si>
  <si>
    <t xml:space="preserve">IA-05(08)</t>
  </si>
  <si>
    <t xml:space="preserve">IAC-09.6</t>
  </si>
  <si>
    <t xml:space="preserve">Pairwise Pseudonymous Identifiers (PPID)</t>
  </si>
  <si>
    <t xml:space="preserve">Mechanisms exist to generate pairwise pseudonymous identifiers with no identifying information about a data subject to discourage activity tracking and profiling of the data subject.</t>
  </si>
  <si>
    <t xml:space="preserve">Does the organization generate pairwise pseudonymous identifiers with no identifying information about a data subject to discourage activity tracking and profiling of the data subject?</t>
  </si>
  <si>
    <t xml:space="preserve">The organization implements and operates mechanisms to generate pairwise pseudonymous identifiers with no identifying information about a data subject to discourage activity tracking and profiling of the data subject.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</si>
  <si>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pairwise pseudonymous identifiers are generated;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</si>
  <si>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PPID implementation (e.g., OpenID Connect pairwise identifiers); Privacy-by-design identity framework.
In-scope requirement alignment: NIST Privacy Framework: CT.DP-P3, CT.DP-P5.
Validation: Annual conformity validation; evidence artifacts to be defined; PPTDF applicability: Technology.</t>
  </si>
  <si>
    <t xml:space="preserve">IA-04(08)</t>
  </si>
  <si>
    <t xml:space="preserve">CT.DP-P3, CT.DP-P5</t>
  </si>
  <si>
    <t xml:space="preserve">∙ Enterprise PPID implementation (e.g., OpenID Connect pairwise identifiers)
∙ Privacy-by-design identity framework</t>
  </si>
  <si>
    <t xml:space="preserve">IAC-10</t>
  </si>
  <si>
    <t xml:space="preserve">Authenticator Management</t>
  </si>
  <si>
    <t xml:space="preserve">Mechanisms exist to:
(1) Securely manage authenticators for users and devices; and
(2) Ensure the strength of authentication is appropriate to the classification of the data being accessed.</t>
  </si>
  <si>
    <t xml:space="preserve">Does the organization:
(1) Securely manage authenticators for users and devices; and
(2) Ensure the strength of authentication is appropriate to the classification of the data being accessed?</t>
  </si>
  <si>
    <t xml:space="preserve">IEC 62443-2-1:2024; IEC 62443-4-2:2019; NIST SP 800-82 R3 - Moderate OT Overlay; NERC CIP; CISA Cross-Sector Cybersecurity Performance Goals; DOE Cybersecurity Capability Maturity Model; CSA IoT Security Controls Framework v2; NIST SP 800-161 R1 - C-SCRM Baseline; NIST SP 800-53B R5 - Privacy baseline</t>
  </si>
  <si>
    <t xml:space="preserve">The organization shall manage authenticators for enterprise, OT and AMI accounts, including device and service credentials, so that default credentials are eliminated, authenticators are protected and rotated, and compensating controls are documented where field devices cannot support modern authenticator practices.</t>
  </si>
  <si>
    <t xml:space="preserve">The organization ensures that Mechanisms exist to: (1) Securely manage authenticators for users and devices; and (2) Ensure the strength of authentication is appropriate to the classification of the data being accessed.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</si>
  <si>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number of generations during which a password cannot be reused is specified;
b. Ensuring reuse of passwords is prohibited during the specified number of generations;
c. Ensuring an immediate change to a permanent password is required when a temporary password is used for system logon;
d. Ensuring the frequency for changing or refreshing authenticators is defined;
e. Ensuring events that trigger the change or refreshment of authenticators are defined;
f. Ensuring the identity of the individual, group, role, service, or device receiving the authenticator as part of the initial authenticator distribution is verified;
g. Ensuring initial authenticator content for any authenticators issued by the organization is established;
h. Ensuring system authenticators are managed to ensure that authenticators have sufficient strength of mechanism for their intended use;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</si>
  <si>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1.11 | IEC 62443-4-2: CR 1.5, CR 1.9 | NIST SP 800-82 R3 (Moderate OT overlay): IA-05, IA-05(01) | NERC CIP: CIP-007-6 5.6 | CISA CPG: 2.B, 2.L | DOE C2M2: ACCESS-1b | NIST SP 800-161 R1 C-SCRM: IA-5 | CSA IoT SCF: IAM-18, IAM-21 | NIST SP 800-53B Privacy: IA-05, IA-05(01).
Validation: Annual conformity validation; evidence artifacts to be defined; PPTDF applicability: Technology.</t>
  </si>
  <si>
    <t xml:space="preserve">USER 1.11</t>
  </si>
  <si>
    <t xml:space="preserve">CR 1.5, CR 1.9</t>
  </si>
  <si>
    <t xml:space="preserve">IA-05, IA-05(01)</t>
  </si>
  <si>
    <t xml:space="preserve">CIP-007-6 5.6</t>
  </si>
  <si>
    <t xml:space="preserve">2.B, 2.L</t>
  </si>
  <si>
    <t xml:space="preserve">IA-5</t>
  </si>
  <si>
    <t xml:space="preserve">IAM-18, IAM-21</t>
  </si>
  <si>
    <t xml:space="preserve">5.17, 5.18</t>
  </si>
  <si>
    <t xml:space="preserve">IAC-10.1</t>
  </si>
  <si>
    <t xml:space="preserve">Password-Based Authentication</t>
  </si>
  <si>
    <t xml:space="preserve">Mechanisms exist to enforce complexity, length and lifespan considerations to ensure strong criteria for password-based authentication.</t>
  </si>
  <si>
    <t xml:space="preserve">Does the organization enforce complexity, length and lifespan considerations to ensure strong criteria for password-based authentication?</t>
  </si>
  <si>
    <t xml:space="preserve">The organization implements and operates mechanisms to enforce complexity, length and lifespan considerations to ensure strong criteria for password-based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</si>
  <si>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for password-based authentication, a list of commonly used, expected or compromised passwords is maintained and updated frequently and when organizational passwords are suspected to have been compromised directly or indirectly;
b. Ensuring for password-based authentication when passwords are created or updated by users, the passwords are verified not to be found on the list of commonly used, expected or compromised passwords;
c. Ensuring for password-based authentication, passwords are only transmitted over cryptographically protected channels;
d. Ensuring organization-defined composition and complexity rules for passwords are enforced;
e. Ensuring password composition and complexity rules are defined;
f. Ensuring password change of character requirements are defined;
g. Ensuring minimum password complexity requirements, as defined, are enforced when new passwords are created;
h. Ensuring minimum password change of character requirements as defined are enforced when new passwords are created;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</si>
  <si>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1.11 | IEC 62443-3-3: SR 1.7, SR 1.7 RE 1, SR 1.7 RE 2 | IEC 62443-4-2: CR 1.5(c), CR 1.7, CR 1.7(1), CR 1.7(2) | NIST SP 800-82 R3 (Moderate OT overlay): IA-05(01) | NERC CIP: CIP-007-6 5.5.1, CIP-007-6 5.5.2 | CISA CPG: 2.B, 2.L | DOE C2M2: ACCESS-1b, ACCESS-1d | CSA IoT SCF: IAM-18, IAM-19, IAM-21 | NIST SP 800-53B Privacy: IA-05(01).
Validation: Annual conformity validation; evidence artifacts to be defined; PPTDF applicability: Technology.</t>
  </si>
  <si>
    <t xml:space="preserve">SR 1.7, SR 1.7 RE 1, SR 1.7 RE 2</t>
  </si>
  <si>
    <t xml:space="preserve">CR 1.5(c), CR 1.7, CR 1.7(1), CR 1.7(2)</t>
  </si>
  <si>
    <t xml:space="preserve">IA-05(01)</t>
  </si>
  <si>
    <t xml:space="preserve">CIP-007-6 5.5.1, CIP-007-6 5.5.2</t>
  </si>
  <si>
    <t xml:space="preserve">ACCESS-1b, ACCESS-1d</t>
  </si>
  <si>
    <t xml:space="preserve">IAM-18, IAM-19, IAM-21</t>
  </si>
  <si>
    <t xml:space="preserve">5.17</t>
  </si>
  <si>
    <t xml:space="preserve">IAC-10.2</t>
  </si>
  <si>
    <t xml:space="preserve">PKI-Based Authentication</t>
  </si>
  <si>
    <t xml:space="preserve">Automated mechanisms exist to validate certificates by constructing and verifying a certification path to an accepted trust anchor including checking certificate status information for PKI-based authentication.</t>
  </si>
  <si>
    <t xml:space="preserve">Does the organization use automated mechanisms to validate certificates by constructing and verifying a certification path to an accepted trust anchor including checking certificate status information for PKI-based authentication?</t>
  </si>
  <si>
    <t xml:space="preserve">IEC 62443-3-3:2013; IEC 62443-4-2:2019; NIST SP 800-82 R3 - Moderate OT Overlay; NIST SP 800-53B R5 - Moderate baseline; DOE Cybersecurity Capability Maturity Model; CSA IoT Security Controls Framework v2; NIST SP 800-53B R5 - Privacy baseline</t>
  </si>
  <si>
    <t xml:space="preserve">The organization implements and operates automated mechanisms to validate certificates by constructing and verifying a certification path to an accepted trust anchor including checking certificate status information for PKI-based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</si>
  <si>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authorized access to the corresponding private key is enforced for public key-based authentication;
b. Ensuring the authenticated identity is mapped to the account of the individual or group for public key-based authentication;
c. Ensuring when public key infrastructure (PKI) is used, certificates are validated by constructing and verifying a certification path to an accepted trust anchor, including checking certificate status information;
d. Ensuring when public key infrastructure (PKI) is used, a local cache of revocation data is implemented to support path discovery and validation;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</si>
  <si>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62443-3-3: SR 1.8, SR 1.9(a), SR 1.9(b), SR 1.9(c), SR 1.9(d), SR 1.9(e) | IEC 62443-4-2: CR 1.9(a), CR 1.9(b), CR 1.9(c) | NIST SP 800-82 R3 (Moderate OT overlay): IA-05(02) | DOE C2M2: ACCESS-1b | NIST SP 800-53B Moderate: IA-05(02) | CSA IoT SCF: CLS-01 | NIST SP 800-53B Privacy: IA-05(02).
Validation: Quarterly conformity validation; evidence artifacts to be defined; PPTDF applicability: Technology.</t>
  </si>
  <si>
    <t xml:space="preserve">SR 1.8, SR 1.9(a), SR 1.9(b), SR 1.9(c), SR 1.9(d), SR 1.9(e)</t>
  </si>
  <si>
    <t xml:space="preserve">CR 1.9(a), CR 1.9(b), CR 1.9(c)</t>
  </si>
  <si>
    <t xml:space="preserve">IA-05(02)</t>
  </si>
  <si>
    <t xml:space="preserve">CLS-01</t>
  </si>
  <si>
    <t xml:space="preserve">IAC-10.3</t>
  </si>
  <si>
    <t xml:space="preserve">In-Person or Trusted Third-Party Registration</t>
  </si>
  <si>
    <t xml:space="preserve">Mechanisms exist to conduct in-person or trusted third-party identify verification before user accounts for third-parties are created.</t>
  </si>
  <si>
    <t xml:space="preserve">Does the organization conduct in-person or trusted third-party identify verification before user accounts for third-parties are created?</t>
  </si>
  <si>
    <t xml:space="preserve">The organization implements and operates mechanisms to conduct in-person or trusted third-party identify verification before user accounts for third-parties are created.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</si>
  <si>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validation and verification of identity evidence is conducted in person before a designated registration authority;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</si>
  <si>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identity proofing solution (e.g., ID.me, Jumio); NIST IAL3 compliance; Remote proofing capabilities.
In-scope requirement alignment: NIST SP 800-53B Privacy: IA-12(04).
Validation: Annual conformity validation; evidence artifacts to be defined; PPTDF applicability: People.</t>
  </si>
  <si>
    <t xml:space="preserve">∙ Enterprise identity proofing solution (e.g., ID.me, Jumio)
∙ NIST IAL3 compliance
∙ Remote proofing capabilities</t>
  </si>
  <si>
    <t xml:space="preserve">IAC-10.4</t>
  </si>
  <si>
    <t xml:space="preserve">Automated Support For Password Strength</t>
  </si>
  <si>
    <t xml:space="preserve">Automated mechanisms exist to determine if password authenticators are sufficiently strong enough to satisfy organization-defined password length and complexity requirements.</t>
  </si>
  <si>
    <t xml:space="preserve">Does the organization use automated mechanisms to determine if password authenticators are sufficiently strong enough to satisfy organization-defined password length and complexity requirements?</t>
  </si>
  <si>
    <t xml:space="preserve">The organization implements and operates automated mechanisms to determine if password authenticators are sufficiently strong enough to satisfy organization-defined password length and complexity requirements.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</si>
  <si>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authenticator composition and complexity rules are defined;
b. Ensuring for password-based authentication, composition and complexity rules are enforced;
c. Ensuring automated mechanisms for the generation, protection, rotation and management of passwords for systems and system components that do not support multifactor authentication or complex account management are identified;
d. Ensuring automated mechanisms for the generation, protection, rotation and management of passwords for systems and system components that do not support multifactor authentication or complex account management are employed;
e. Ensuring the frequency at which to update the list of commonly used, expected, or compromised passwords is defined;
f. Ensuring a list of commonly used, expected, or compromised passwords is maintained;
g. Ensuring a list of commonly used, expected, or compromised passwords is updated per an organization-defined frequency;
h. Ensuring a list of commonly used, expected, or compromised passwords is updated when organizational passwords are suspected to have been compromised;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</si>
  <si>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800-82 R3 (Moderate OT overlay): IA-05(01) | NIST SP 800-53B Privacy: IA-05(01).
Validation: Quarterly conformity validation; evidence artifacts to be defined; PPTDF applicability: Technology.</t>
  </si>
  <si>
    <t xml:space="preserve">IAC-10.5</t>
  </si>
  <si>
    <t xml:space="preserve">Protection of Authenticators</t>
  </si>
  <si>
    <t xml:space="preserve">Mechanisms exist to protect authenticators commensurate with the sensitivity of the information to which use of the authenticator permits access.</t>
  </si>
  <si>
    <t xml:space="preserve">Does the organization protect authenticators commensurate with the sensitivity of the information to which use of the authenticator permits access?</t>
  </si>
  <si>
    <t xml:space="preserve">IEC 62443-4-2:2019; NIST SP 800-82 R3 - Moderate OT Overlay; NIST SP 800-53B R5 - Moderate baseline; NIST SP 800-53B R5 - Privacy baseline</t>
  </si>
  <si>
    <t xml:space="preserve">The organization implements and operates mechanisms to protect authenticators commensurate with the sensitivity of the information to which use of the authenticator permits access.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</si>
  <si>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authenticators are protected commensurate with the security category of the information to which use of the authenticator permits access;
b. Ensuring authenticator content is protected from unauthorized disclosure;
c. Ensuring authenticator content is protected from unauthorized modification;
d. Ensuring passwords are stored in a cryptographically protected form;
e. Ensuring passwords are cryptographically protected in transit;
f. Ensuring passwords are only transmitted over cryptographically protected channels;
g. Managing OT and AMI accounts (operator, engineering, service, device and vendor accounts) through a documented lifecycle with unique identification where technically feasible and documented compensating controls where shared accounts are required for safe operation;
h. Enforcing multi-factor authentication for all remote access to OT and AMI environments and for privileged access to head-end and control system functions; and
i.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</si>
  <si>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credential management platform (e.g., CyberArk, Thales); HSM for cryptographic authenticator protection; Hardware token lifecycle management.
In-scope requirement alignment: IEC 62443-4-2: CR 1.5(d) | NIST SP 800-82 R3 (Moderate OT overlay): IA-05(06) | NIST SP 800-53B Moderate: IA-05(06) | NIST SP 800-53B Privacy: IA-05(06).
Validation: Annual conformity validation; evidence artifacts to be defined; PPTDF applicability: Technology.</t>
  </si>
  <si>
    <t xml:space="preserve">CR 1.5(d)</t>
  </si>
  <si>
    <t xml:space="preserve">IA-05(06)</t>
  </si>
  <si>
    <t xml:space="preserve">∙ Enterprise credential management platform (e.g., CyberArk, Thales)
∙ HSM for cryptographic authenticator protection
∙ Hardware token lifecycle management</t>
  </si>
  <si>
    <t xml:space="preserve">IAC-10.7</t>
  </si>
  <si>
    <t xml:space="preserve">Hardware Token-Based Authentication</t>
  </si>
  <si>
    <t xml:space="preserve">Automated mechanisms exist to ensure organization-defined token quality requirements are satisfied for hardware token-based authentication.</t>
  </si>
  <si>
    <t xml:space="preserve">Does the organization use automated mechanisms to ensure organization-defined token quality requirements are satisfied for hardware token-based authentication?</t>
  </si>
  <si>
    <t xml:space="preserve">The organization implements and operates automated mechanisms to ensure organization-defined token quality requirements are satisfied for hardware token-based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</si>
  <si>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organization-defined token quality requirements are satisfied for hardware token-based authentication;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</si>
  <si>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800-82 R3 (Moderate OT overlay): IA-02(01), IA-02(02) | NIST SP 800-53B Privacy: IA-02(01), IA-02(02).
Validation: Quarterly conformity validation; evidence artifacts to be defined; PPTDF applicability: Technology.</t>
  </si>
  <si>
    <t xml:space="preserve">IAC-10.8</t>
  </si>
  <si>
    <t xml:space="preserve">Default Authenticators</t>
  </si>
  <si>
    <t xml:space="preserve">Mechanisms exist to ensure default authenticators are changed as part of account creation or system installation.</t>
  </si>
  <si>
    <t xml:space="preserve">Does the organization ensure default authenticators are changed as part of account creation or system installation?</t>
  </si>
  <si>
    <t xml:space="preserve">IEC 62443-4-2:2019; NIST SP 800-82 R3 - Moderate OT Overlay; NERC CIP; CISA Cross-Sector Cybersecurity Performance Goals; CSA IoT Security Controls Framework v2; NIST SP 800-161 R1 - C-SCRM Baseline; NIST SP 800-53B R5 - Privacy baseline</t>
  </si>
  <si>
    <t xml:space="preserve">The organization implements and operates mechanisms to ensure default authenticators are changed as part of account creation or system installation.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</si>
  <si>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developers and installers of system components are required to provide unique authenticators or change default authenticators prior to delivery and installation;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</si>
  <si>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IEC 62443-4-2: CR 1.5(a), CR 1.5(b) | NIST SP 800-82 R3 (Moderate OT overlay): IA-05 | NERC CIP: CIP-007-6 5.4 | CISA CPG: 2.A | NIST SP 800-161 R1 C-SCRM: IA-5 | CSA IoT SCF: IAM-20 | NIST SP 800-53B Privacy: IA-05.
Validation: Annual conformity validation; evidence artifacts to be defined; PPTDF applicability: Technology.</t>
  </si>
  <si>
    <t xml:space="preserve">CR 1.5(a), CR 1.5(b)</t>
  </si>
  <si>
    <t xml:space="preserve">IA-05, IA-05(05)</t>
  </si>
  <si>
    <t xml:space="preserve">IA-05</t>
  </si>
  <si>
    <t xml:space="preserve">CIP-007-6 5.4</t>
  </si>
  <si>
    <t xml:space="preserve">2.A</t>
  </si>
  <si>
    <t xml:space="preserve">IAM-20</t>
  </si>
  <si>
    <t xml:space="preserve">IAC-10.9</t>
  </si>
  <si>
    <t xml:space="preserve">Multiple System Accounts</t>
  </si>
  <si>
    <t xml:space="preserve">Mechanisms exist to implement security safeguards to manage the risk of compromise due to individuals having accounts on multiple Technology Assets, Applications and/or Services (TAAS).</t>
  </si>
  <si>
    <t xml:space="preserve">Does the organization implement security safeguards to manage the risk of compromise due to individuals having accounts on multiple Technology Assets, Applications and/or Services (TAAS)?</t>
  </si>
  <si>
    <t xml:space="preserve">The organization implements and operates mechanisms to implement security safeguards to manage the risk of compromise due to individuals having accounts on multiple Technology Assets, Applications and/or Services (TAAS).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</si>
  <si>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unified account view; Automated detection of excessive accounts; Access certification.
In-scope requirement alignment: CISA CPG: 2.C | NIST SP 800-53B Privacy: IA-05(08).
Validation: Annual conformity validation; evidence artifacts to be defined; PPTDF applicability: Technology.</t>
  </si>
  <si>
    <t xml:space="preserve">2.C</t>
  </si>
  <si>
    <t xml:space="preserve">∙ Enterprise IGA platform with unified account view
∙ Automated detection of excessive accounts
∙ Access certification</t>
  </si>
  <si>
    <t xml:space="preserve">IAC-10.11</t>
  </si>
  <si>
    <t xml:space="preserve">Password Managers</t>
  </si>
  <si>
    <t xml:space="preserve">Mechanisms exist to protect and store passwords via a password manager tool.</t>
  </si>
  <si>
    <t xml:space="preserve">Does the organization protect and store passwords via a password manager tool?</t>
  </si>
  <si>
    <t xml:space="preserve">The organization implements and operates mechanisms to protect and store passwords via a password manager tool.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</si>
  <si>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password managers employed for generating and managing passwords are defined;
b. Ensuring password managers are employed to generate and manage passwords;
c. Ensuring the frequency at which to update the list of commonly used, expected, or compromised passwords is defined;
d. Ensuring a list of commonly used, expected, or compromised passwords is maintained;
e. Ensuring a list of commonly used, expected, or compromised passwords is updated when organizational passwords are suspected to have been compromised;
f. Ensuring passwords are verified not to be found on the list of commonly used, expected, or compromised passwords when they are created or updated by users;
g. Ensuring systems and system components that do not support multifactor authentication or complex account management are identified;
h. Ensuring automated mechanisms for the generation, protection, rotation and management of passwords for systems and system components that do not support multifactor authentication or complex account management are identified;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</si>
  <si>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Keeper; LastPass; 1Password; Delinea Secret Server; ManageEngine Enterprise Password Management; Securden; CyberArk.
In-scope requirement alignment: CISA CPG: 2.L.
Validation: Quarterly conformity validation; evidence artifacts to be defined; PPTDF applicability: Technology.</t>
  </si>
  <si>
    <t xml:space="preserve">IA-05(18)</t>
  </si>
  <si>
    <t xml:space="preserve">∙ Keeper (https://keepersecurity.com)
∙ LastPass (https://lastpass.com
∙ 1Password (https://1password.com)
∙ Delinea Secret Server (https://delinea.com)
∙ ManageEngine Enterprise Password Management (https://manageengine.com)
∙ Securden (https://securden.com)
∙ CyberArk (https://cyberark.com)</t>
  </si>
  <si>
    <t xml:space="preserve">IAC-10.13</t>
  </si>
  <si>
    <t xml:space="preserve">Events Requiring Authenticator Change</t>
  </si>
  <si>
    <t xml:space="preserve">Mechanisms exist to change authentication credentials:
(1) At predefined intervals; and/or
(2) Upon suspicion of credential compromise.</t>
  </si>
  <si>
    <t xml:space="preserve">Does the organization change authentication credentials:
(1) At predefined intervals; and/or
(2) Upon suspicion of credential compromise?</t>
  </si>
  <si>
    <t xml:space="preserve">The organization implements and operates mechanisms to change authentication credentials: (1) At predefined intervals; and/or (2) Upon suspicion of credential compromise.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</si>
  <si>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authentication credentials are changed at predefined intervals;
b. Ensuring authentication credentials are changed upon suspicion of credential compromise;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</si>
  <si>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IAM with automated authenticator reset workflows triggered by security events; SIEM/SOAR integration.
In-scope requirement alignment: IEC 62443-2-1: USER 1.12.
Validation: Annual conformity validation; evidence artifacts to be defined; PPTDF applicability: Process.</t>
  </si>
  <si>
    <t xml:space="preserve">USER 1.12</t>
  </si>
  <si>
    <t xml:space="preserve">∙ Enterprise IAM with automated authenticator reset workflows triggered by security events
∙ SIEM/SOAR integration</t>
  </si>
  <si>
    <t xml:space="preserve">IAC-11</t>
  </si>
  <si>
    <t xml:space="preserve">Authenticator Feedback</t>
  </si>
  <si>
    <t xml:space="preserve">Mechanisms exist to obscure the feedback of authentication information during the authentication process to protect the information from possible exploitation/use by unauthorized individuals.</t>
  </si>
  <si>
    <t xml:space="preserve">Does the organization obscure the feedback of authentication information during the authentication process to protect the information from possible exploitation/use by unauthorized individuals?</t>
  </si>
  <si>
    <t xml:space="preserve">IEC 62443-2-1:2024; IEC 62443-3-3:2013; IEC 62443-4-2:2019; NIST SP 800-82 R3 - Moderate OT Overlay</t>
  </si>
  <si>
    <t xml:space="preserve">The organization implements and operates mechanisms to obscure the feedback of authentication information during the authentication process to protect the information from possible exploitation/use by unauthorized individuals.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</si>
  <si>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authentication information is obscured during the authentication process;
b. Ensuring feedback of authentication information during the authentication process is obscured;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</si>
  <si>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IEC 62443-2-1: USER 1.14 | IEC 62443-3-3: SR 1.10 | IEC 62443-4-2: CR 1.10 | NIST SP 800-82 R3 (Moderate OT overlay): IA-06.
Validation: Annual conformity validation; evidence artifacts to be defined; PPTDF applicability: Technology.</t>
  </si>
  <si>
    <t xml:space="preserve">USER 1.14</t>
  </si>
  <si>
    <t xml:space="preserve">SR 1.10</t>
  </si>
  <si>
    <t xml:space="preserve">CR 1.10</t>
  </si>
  <si>
    <t xml:space="preserve">IA-06</t>
  </si>
  <si>
    <t xml:space="preserve">IAC-12</t>
  </si>
  <si>
    <t xml:space="preserve">Cryptographic Module Authentication</t>
  </si>
  <si>
    <t xml:space="preserve">Mechanisms exist to ensure cryptographic modules adhere to applicable statutory, regulatory and contractual requirements for security strength.</t>
  </si>
  <si>
    <t xml:space="preserve">Does the organization ensure cryptographic modules adhere to applicable statutory, regulatory and contractual requirements for security strength?</t>
  </si>
  <si>
    <t xml:space="preserve">NIST SP 800-82 R3 - Moderate OT Overlay; CSA IoT Security Controls Framework v2; NIST SP 800-53B R5 - Privacy baseline</t>
  </si>
  <si>
    <t xml:space="preserve">The organization implements and operates mechanisms to ensure cryptographic modules adhere to applicable statutory, regulatory and contractual requirements for security strength.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</si>
  <si>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mechanisms for authentication to a cryptographic module are implemented that meet the requirements of applicable laws, executive orders, directives, policies, regulations, standards and guidelines for such authentication;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</si>
  <si>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FIPS 140-2/140-3 validated cryptographic modules (e.g., HSM, FIPS-compliant libraries); Enterprise crypto standards.
In-scope requirement alignment: NIST SP 800-82 R3 (Moderate OT overlay): IA-07 | CSA IoT SCF: IAM-22 | NIST SP 800-53B Privacy: IA-07.
Validation: Semi-Annual conformity validation; evidence artifacts to be defined; PPTDF applicability: Technology.</t>
  </si>
  <si>
    <t xml:space="preserve">IAM-22</t>
  </si>
  <si>
    <t xml:space="preserve">∙ FIPS 140-2/140-3 validated cryptographic modules (e.g., HSM, FIPS-compliant libraries)
∙ Enterprise crypto standards</t>
  </si>
  <si>
    <t xml:space="preserve">IAC-12.1</t>
  </si>
  <si>
    <t xml:space="preserve">Hardware Security Modules (HSM)</t>
  </si>
  <si>
    <t xml:space="preserve">Automated mechanisms exist to utilize Hardware Security Modules (HSM) to protect authenticators on which the component relies.</t>
  </si>
  <si>
    <t xml:space="preserve">Does the organization use automated mechanisms to utilize Hardware Security Modules (HSM) to protect authenticators on which the component relies?</t>
  </si>
  <si>
    <t xml:space="preserve">The organization implements and operates automated mechanisms to utilize Hardware Security Modules (HSM) to protect authenticators on which the component relies.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</si>
  <si>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Hardware Security Modules (HSM) protect authenticators on which the component relies;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</si>
  <si>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HSM platform (e.g., Thales Luna, nCipher, AWS CloudHSM); PKI integration; Centralized key management.
In-scope requirement alignment: IEC 62443-3-3: SR 1.5 RE 1, SR 1.9 RE 1 | IEC 62443-4-2: CR 1.5(1), CR 1.9(1), CR 1.14(1).
Validation: Quarterly conformity validation; evidence artifacts to be defined; PPTDF applicability: Technology.</t>
  </si>
  <si>
    <t xml:space="preserve">SR 1.5 RE 1, SR 1.9 RE 1</t>
  </si>
  <si>
    <t xml:space="preserve">CR 1.5(1), CR 1.9(1), CR 1.14(1)</t>
  </si>
  <si>
    <t xml:space="preserve">∙ Enterprise HSM platform (e.g., Thales Luna, nCipher, AWS CloudHSM)
∙ PKI integration
∙ Centralized key management</t>
  </si>
  <si>
    <t xml:space="preserve">IAC-14</t>
  </si>
  <si>
    <t xml:space="preserve">Re-Authentication</t>
  </si>
  <si>
    <t xml:space="preserve">Mechanisms exist to force users and devices to re-authenticate according to organization-defined circumstances that necessitate re-authentication.</t>
  </si>
  <si>
    <t xml:space="preserve">Does the organization force users and devices to re-authenticate according to organization-defined circumstances that necessitate re-authentication?</t>
  </si>
  <si>
    <t xml:space="preserve">The organization implements and operates mechanisms to force users and devices to re-authenticate according to organization-defined circumstances that necessitate re-authentication.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</si>
  <si>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circumstances or situations that require re-authentication are defined;
b. Ensuring users are reauthenticated per organization-defined circumstances or situations;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</si>
  <si>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IA-11.
Validation: Annual conformity validation; evidence artifacts to be defined; PPTDF applicability: Technology.</t>
  </si>
  <si>
    <t xml:space="preserve">IA-11</t>
  </si>
  <si>
    <t xml:space="preserve">IAC-15</t>
  </si>
  <si>
    <t xml:space="preserve">Account Management</t>
  </si>
  <si>
    <t xml:space="preserve">Mechanisms exist to:
(1) Define authorized system account types;
(2) Define prohibited system account types; and
(3) Proactively govern individual, group, system, service, application, guest and temporary accounts.</t>
  </si>
  <si>
    <t xml:space="preserve">Does the organization:
(1) Define authorized system account types;
(2) Define prohibited system account types; and
(3) Proactively govern individual, group, system, service, application, guest and temporary accounts?</t>
  </si>
  <si>
    <t xml:space="preserve">E-IAM-07, E-IAM-08</t>
  </si>
  <si>
    <t xml:space="preserve">IEC 62443-2-1:2024; IEC 62443-3-3:2013; NIST SP 800-82 R3 - Moderate OT Overlay; NERC CIP; DOE Cybersecurity Capability Maturity Model; NIST SP 800-161 R1 - C-SCRM Baseline; NIST SP 800-53B R5 - Privacy baseline</t>
  </si>
  <si>
    <t xml:space="preserve">The organization ensures that Mechanisms exist to: (1) Define authorized system account types; (2) Define prohibited system account types; and (3) Proactively govern individual, group, system, service, application, guest and temporary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</si>
  <si>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criteria for account creation, enabling, modification, disabling and removal are defined;
b. Ensuring approvals are required by organization-defined personnel or roles for requests to create accounts;
c. Ensuring accounts are created in accordance with organization-defined policy, procedures, prerequisites and criteria;
d. Ensuring accounts are enabled in accordance with organization-defined policy, procedures, prerequisites and criteria;
e. Ensuring accounts are modified in accordance with organization-defined policy, procedures, prerequisites and criteria;
f. Ensuring accounts are disabled in accordance with organization-defined policy, procedures, prerequisites and criteria;
g. Ensuring accounts are removed in accordance with organization-defined policy, procedures, prerequisites and criteria;
h. Ensuring the use of accounts is monitored;
i. Managing OT and AMI accounts, including operator, engineering, service, device, emergency and vendor accounts, through a documented lifecycle with periodic review; and
j. Removing or disabling default accounts and credentials on OT and AMI components, or documenting compensating controls where removal is not supported.</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</si>
  <si>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1.2, USER 1.3 | IEC 62443-3-3: SR 1.3 | NIST SP 800-82 R3 (Moderate OT overlay): AC-02 | NERC CIP: CIP-007-6 5.3 | DOE C2M2: ACCESS-2b | NIST SP 800-161 R1 C-SCRM: AC-2 | NIST SP 800-53B Privacy: AC-02.
Validation: Quarterly conformity validation; evidence artifacts E-IAM-07, E-IAM-08; PPTDF applicability: Technology.</t>
  </si>
  <si>
    <t xml:space="preserve">USER 1.2, USER 1.3</t>
  </si>
  <si>
    <t xml:space="preserve">SR 1.3</t>
  </si>
  <si>
    <t xml:space="preserve">CIP-007-6 5.3</t>
  </si>
  <si>
    <t xml:space="preserve">ACCESS-2b</t>
  </si>
  <si>
    <t xml:space="preserve">5.15, 5.16, 5.18</t>
  </si>
  <si>
    <t xml:space="preserve">∙ Microsoft Active Directory
∙ Microsoft Entra
∙ AWS IAM</t>
  </si>
  <si>
    <t xml:space="preserve">IAC-15.1</t>
  </si>
  <si>
    <t xml:space="preserve">Automated System Account Management (Directory Services)</t>
  </si>
  <si>
    <t xml:space="preserve">Automated mechanisms exist to support the management of system accounts (e.g., directory services).</t>
  </si>
  <si>
    <t xml:space="preserve">Does the organization use automated mechanisms to support the management of system accounts (e.g., directory services)?</t>
  </si>
  <si>
    <t xml:space="preserve">IEC 62443-2-1:2024; IEC 62443-3-3:2013; NIST SP 800-82 R3 - Moderate OT Overlay; NIST SP 800-53B R5 - Moderate baseline</t>
  </si>
  <si>
    <t xml:space="preserve">The organization implements and operates automated mechanisms to support the management of system accounts (e.g., directory services).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</si>
  <si>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automated mechanisms used to support the management of system accounts are defined;
b. Ensuring the management of system accounts is supported using organization-defined automated mechanisms;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</si>
  <si>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1.3, USER 1.4, USER 1.7, USER 1.8, USER 1.8(a), USER 1.8(b), USER 1.8(c) | IEC 62443-3-3: SR 1.3, SR 1.3 RE 1 | NIST SP 800-82 R3 (Moderate OT overlay): AC-02(01) | NIST SP 800-53B Moderate: AC-02(01).
Validation: Quarterly conformity validation; evidence artifacts to be defined; PPTDF applicability: Technology.</t>
  </si>
  <si>
    <t xml:space="preserve">USER 1.3, USER 1.4, USER 1.7, USER 1.8, USER 1.8(a), USER 1.8(b), USER 1.8(c)</t>
  </si>
  <si>
    <t xml:space="preserve">SR 1.3, SR 1.3 RE 1</t>
  </si>
  <si>
    <t xml:space="preserve">AC-02(01)</t>
  </si>
  <si>
    <t xml:space="preserve">IAC-15.2</t>
  </si>
  <si>
    <t xml:space="preserve">Removal of Temporary / Emergency Accounts</t>
  </si>
  <si>
    <t xml:space="preserve">Automated mechanisms exist to disable or remove temporary and emergency accounts after an organization-defined time period for each type of account.</t>
  </si>
  <si>
    <t xml:space="preserve">Does the organization use automated mechanisms to disable or remove temporary and emergency accounts after an organization-defined time period for each type of account?</t>
  </si>
  <si>
    <t xml:space="preserve">The organization implements and operates automated mechanisms to disable or remove temporary and emergency accounts after an organization-defined time period for each type of account.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</si>
  <si>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time period after which to automatically remove or disable temporary or emergency accounts is defined;
b. Ensuring temporary and emergency accounts are automatically disabled per an organization-defined time period;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</si>
  <si>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automated temporary account lifecycle management; Just-in-time access provisioning.
In-scope requirement alignment: NIST SP 800-82 R3 (Moderate OT overlay): AC-02(02) | NIST SP 800-53B Moderate: AC-02(02).
Validation: Quarterly conformity validation; evidence artifacts to be defined; PPTDF applicability: Technology.</t>
  </si>
  <si>
    <t xml:space="preserve">AC-02(02)</t>
  </si>
  <si>
    <t xml:space="preserve">∙ Enterprise IGA platform with automated temporary account lifecycle management
∙ Just-in-time access provisioning</t>
  </si>
  <si>
    <t xml:space="preserve">IAC-15.3</t>
  </si>
  <si>
    <t xml:space="preserve">Disable Inactive Accounts</t>
  </si>
  <si>
    <t xml:space="preserve">Automated mechanisms exist to disable inactive accounts after an organization-defined time period.</t>
  </si>
  <si>
    <t xml:space="preserve">Does the organization use automated mechanisms to disable inactive accounts after an organization-defined time period?</t>
  </si>
  <si>
    <t xml:space="preserve">The organization implements and operates automated mechanisms to disable inactive accounts after an organization-defined time period.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</si>
  <si>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 period of inactivity after which an account / identifier is disabled is defined;
b. Ensuring accounts / identifiers are disabled after the defined period of inactivity;
c. Ensuring accounts / identifiers are disabled within an organization-defined time period when the accounts have expired;
d. Ensuring accounts / identifiers are disabled within an organization-defined time period when the accounts are no longer associated with a user or individual;
e. Ensuring accounts / identifiers are disabled within an organization-defined time period when the accounts are in violation of organizational policy;
f. Managing OT and AMI accounts (operator, engineering, service, device and vendor accounts) through a documented lifecycle with unique identification where technically feasible and documented compensating controls where shared accounts are required for safe operation;
g. Enforcing multi-factor authentication for all remote access to OT and AMI environments and for privileged access to head-end and control system functions; and
h.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</si>
  <si>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automated account dormancy detection and disabling; SIEM integration for last login tracking.
In-scope requirement alignment: NIST SP 800-82 R3 (Moderate OT overlay): AC-02(03) | DOE C2M2: ACCESS-1j | NIST SP 800-53B Moderate: AC-02(03).
Validation: Quarterly conformity validation; evidence artifacts to be defined; PPTDF applicability: Technology.</t>
  </si>
  <si>
    <t xml:space="preserve">AC-02(03)</t>
  </si>
  <si>
    <t xml:space="preserve">ACCESS-1j</t>
  </si>
  <si>
    <t xml:space="preserve">∙ Enterprise IGA platform with automated account dormancy detection and disabling
∙ SIEM integration for last login tracking</t>
  </si>
  <si>
    <t xml:space="preserve">IAC-15.4</t>
  </si>
  <si>
    <t xml:space="preserve">Automated Audit Actions</t>
  </si>
  <si>
    <t xml:space="preserve">Automated mechanisms exist to audit account creation, modification, enabling, disabling and removal actions and notify organization-defined personnel or roles.</t>
  </si>
  <si>
    <t xml:space="preserve">Does the organization use automated mechanisms to audit account creation, modification, enabling, disabling and removal actions and notify organization-defined personnel or roles?</t>
  </si>
  <si>
    <t xml:space="preserve">The organization implements and operates automated mechanisms to audit account creation, modification, enabling, disabling and removal actions and notify organization-defined personnel or roles.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</si>
  <si>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account creation is automatically audited;
b. Ensuring account modification is automatically audited;
c. Ensuring account enabling is automatically audited;
d. Ensuring account disabling is automatically audited;
e. Ensuring account removal actions are automatically audited;
f. Managing OT and AMI accounts (operator, engineering, service, device and vendor accounts) through a documented lifecycle with unique identification where technically feasible and documented compensating controls where shared accounts are required for safe operation;
g. Enforcing multi-factor authentication for all remote access to OT and AMI environments and for privileged access to head-end and control system functions; and
h.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</si>
  <si>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800-82 R3 (Moderate OT overlay): AC-02(04) | NIST SP 800-53B Moderate: AC-02(04).
Validation: Quarterly conformity validation; evidence artifacts to be defined; PPTDF applicability: Technology.</t>
  </si>
  <si>
    <t xml:space="preserve">AC-02(04)</t>
  </si>
  <si>
    <t xml:space="preserve">IAC-15.5</t>
  </si>
  <si>
    <t xml:space="preserve">Restrictions on Shared Groups / Accounts</t>
  </si>
  <si>
    <t xml:space="preserve">Mechanisms exist to authorize the use of shared/group accounts only under certain organization-defined conditions.</t>
  </si>
  <si>
    <t xml:space="preserve">Does the organization authorize the use of shared/group accounts only under certain organization-defined conditions?</t>
  </si>
  <si>
    <t xml:space="preserve">E-IAM-08</t>
  </si>
  <si>
    <t xml:space="preserve">The organization implements and operates mechanisms to authorize the use of shared/group accounts only under certain organization-defined conditions.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</si>
  <si>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conditions for establishing shared and group accounts are defined;
b. Ensuring the use of shared and group accounts is only permitted if organization-defined conditions are met;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</si>
  <si>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PAM platform (e.g., CyberArk, BeyondTrust); Shared account vaulting with individual checkout; Full session recording.
In-scope requirement alignment: IEC 62443-2-1: USER 1.12 | NERC CIP: CIP-007-6 5.3.
Validation: Annual conformity validation; evidence artifacts E-IAM-08; PPTDF applicability: Technology.</t>
  </si>
  <si>
    <t xml:space="preserve">AC-02(09)</t>
  </si>
  <si>
    <t xml:space="preserve">∙ Enterprise PAM platform (e.g., CyberArk, BeyondTrust)
∙ Shared account vaulting with individual checkout
∙ Full session recording</t>
  </si>
  <si>
    <t xml:space="preserve">IAC-15.6</t>
  </si>
  <si>
    <t xml:space="preserve">Account Disabling for High Risk Individuals</t>
  </si>
  <si>
    <t xml:space="preserve">Mechanisms exist to disable accounts immediately upon notification for users posing a significant risk to the organization.</t>
  </si>
  <si>
    <t xml:space="preserve">Does the organization disable accounts immediately upon notification for users posing a significant risk to the organization?</t>
  </si>
  <si>
    <t xml:space="preserve">The organization implements and operates mechanisms to disable accounts immediately upon notification for users posing a significant risk to the organization.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</si>
  <si>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time period within which to disable accounts of individuals who are discovered to pose significant risk is defined;
b. Ensuring significant risks leading to disabling accounts are defined;
c. Ensuring accounts of individuals are disabled within an organization-defined time period of discovery of significant risks;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</si>
  <si>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IAM/IGA with automated account disabling triggered by HR events or security alerts; SOAR integration.
In-scope requirement alignment: NIST SP 800-82 R3 (Moderate OT overlay): AC-02(13) | NIST SP 800-53B Moderate: AC-02(13) | NIST SP 800-53B Privacy: AC-02(13).
Validation: Annual conformity validation; evidence artifacts to be defined; PPTDF applicability: Technology.</t>
  </si>
  <si>
    <t xml:space="preserve">∙ Enterprise IAM/IGA with automated account disabling triggered by HR events or security alerts
∙ SOAR integration</t>
  </si>
  <si>
    <t xml:space="preserve">IAC-16</t>
  </si>
  <si>
    <t xml:space="preserve">Privileged Account Management (PAM)</t>
  </si>
  <si>
    <t xml:space="preserve">Mechanisms exist to restrict and control privileged access rights for users and Technology Assets, Applications and/or Services (TAAS).</t>
  </si>
  <si>
    <t xml:space="preserve">Does the organization restrict and control privileged access rights for users and Technology Assets, Applications and/or Services (TAAS)?</t>
  </si>
  <si>
    <t xml:space="preserve">E-IAM-03</t>
  </si>
  <si>
    <t xml:space="preserve">CISA Cross-Sector Cybersecurity Performance Goals; DOE Cybersecurity Capability Maturity Model; CSA IoT Security Controls Framework v2</t>
  </si>
  <si>
    <t xml:space="preserve">The organization shall manage privileged access to OT and AMI systems through dedicated privileged accounts, privileged access management and session monitoring, so that engineering, head-end administrative and vendor privileges are granted for a defined purpose and duration.</t>
  </si>
  <si>
    <t xml:space="preserve">The organization implements and operates mechanisms to restrict and control privileged access rights for users and Technology Assets, Applications and/or Services (TAAS).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</si>
  <si>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access rights for users and services are restricted based on roles;
b. Ensuring privileged access rights for users and services are controlled;
c. Managing privileged access to head-end, control system, engineering and network security functions through privileged access management with session recording; and
d. Granting vendor and integrator privileged access on a time-bound, approved basis.</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</si>
  <si>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ManageEngine Enterprise Password Management; Securden; CyberArk.
In-scope requirement alignment: CISA CPG: 2.E | DOE C2M2: ACCESS-1g, ACCESS-1h, ACCESS-2b | CSA IoT SCF: IAM-02, IAM-04.
Validation: Quarterly conformity validation; evidence artifacts E-IAM-03; PPTDF applicability: Technology.</t>
  </si>
  <si>
    <t xml:space="preserve">2.E</t>
  </si>
  <si>
    <t xml:space="preserve">ACCESS-1g, ACCESS-1h, ACCESS-2b</t>
  </si>
  <si>
    <t xml:space="preserve">IAM-02, IAM-04</t>
  </si>
  <si>
    <t xml:space="preserve">5.15, 5.18, 8.2</t>
  </si>
  <si>
    <t xml:space="preserve">∙ ManageEngine Enterprise Password Management (https://manageengine.com)
∙ Securden (https://securden.com)
∙ CyberArk (https://cyberark.com)</t>
  </si>
  <si>
    <t xml:space="preserve">IAC-16.5</t>
  </si>
  <si>
    <t xml:space="preserve">Manual Override</t>
  </si>
  <si>
    <t xml:space="preserve">Mechanisms exist to enable a manual override of the current account privileges to enable the timely response to unusual conditions without terminating the current session and establishing a new session as a higher-privileged user.</t>
  </si>
  <si>
    <t xml:space="preserve">Does the organization enable a manual override of the current account privileges to enable the timely response to unusual conditions without terminating the current session and establishing a new session as a higher-privileged user?</t>
  </si>
  <si>
    <t xml:space="preserve">The organization implements and operates mechanisms to enable a manual override of the current account privileges to enable the timely response to unusual conditions without terminating the current session and establishing a new session as a higher-privileged user.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</si>
  <si>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instances that require a manual override of the current account privileges to enable the timely response to unusual conditions without terminating the current session and establishing a new session as a higher-privileged user are identified;
b. Ensuring processes/technologies necessary to enable a manual override of the current account privileges to enable the timely response to unusual conditions without terminating the current session and establishing a new session as a higher-privileged user are identified;
c. Ensuring a capability exists to manually override of the current account privileges to enable the timely response to unusual conditions without terminating the current session and establishing a new session as a higher-privileged user;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</si>
  <si>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PAM with manual override workflows; Dual control for override access; Automated audit trail for all overrides.
In-scope requirement alignment: IEC 62443-3-3: SR 2.1 RE 3 | IEC 62443-4-2: CR 2.1(3).
Validation: Annual conformity validation; evidence artifacts to be defined; PPTDF applicability: Technology.</t>
  </si>
  <si>
    <t xml:space="preserve">SR 2.1 RE 3</t>
  </si>
  <si>
    <t xml:space="preserve">CR 2.1(3)</t>
  </si>
  <si>
    <t xml:space="preserve">∙ Enterprise PAM with manual override workflows
∙ Dual control for override access
∙ Automated audit trail for all overrides</t>
  </si>
  <si>
    <t xml:space="preserve">IAC-17</t>
  </si>
  <si>
    <t xml:space="preserve">Periodic Review of Account Privileges</t>
  </si>
  <si>
    <t xml:space="preserve">Mechanisms exist to periodically-review the privileges assigned to individuals and service accounts to validate the need for such privileges and reassign or remove unnecessary privileges, as necessary.</t>
  </si>
  <si>
    <t xml:space="preserve">Does the organization periodically-review the privileges assigned to individuals and service accounts to validate the need for such privileges and reassign or remove unnecessary privileges, as necessary?</t>
  </si>
  <si>
    <t xml:space="preserve">E-HRS-12, E-HRS-14, E-IAM-01</t>
  </si>
  <si>
    <t xml:space="preserve">NIST SP 800-82 R3 - Moderate OT Overlay; NERC CIP; NIST SP 800-53B R5 - Moderate baseline; DOE Cybersecurity Capability Maturity Model; CSA IoT Security Controls Framework v2</t>
  </si>
  <si>
    <t xml:space="preserve">The organization implements and operates mechanisms to periodically-review the privileges assigned to individuals and service accounts to validate the need for such privileges and reassign or remove unnecessary privileges, as necessary.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</si>
  <si>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the frequency at which to review the privileges assigned to roles or classes of users is defined;
b. Ensuring roles or classes of users to which privileges are assigned are defined;
c. Ensuring privileges are reassigned or removed, as necessary;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</si>
  <si>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(e.g., SailPoint, Saviynt, IBM Security Verify); Automated access certification; Continuous access review.
In-scope requirement alignment: NIST SP 800-82 R3 (Moderate OT overlay): AC-06(07) | NERC CIP: CIP-004-7 4.3, CIP-004-7 6.2, CIP-004-7 6.2.1, CIP-004-7 6.2.2 | DOE C2M2: ACCESS-1e, ACCESS-2b, ACCESS-2h | NIST SP 800-53B Moderate: AC-06(07) | CSA IoT SCF: IAM-02.
Validation: Annual conformity validation; evidence artifacts E-HRS-12, E-HRS-14, E-IAM-01; PPTDF applicability: Process.</t>
  </si>
  <si>
    <t xml:space="preserve">AC-06(07)</t>
  </si>
  <si>
    <t xml:space="preserve">CIP-004-7 4.3, CIP-004-7 6.2, CIP-004-7 6.2.1, CIP-004-7 6.2.2</t>
  </si>
  <si>
    <t xml:space="preserve">ACCESS-1e, ACCESS-2b, ACCESS-2h</t>
  </si>
  <si>
    <t xml:space="preserve">IAM-02</t>
  </si>
  <si>
    <t xml:space="preserve">∙ Enterprise IGA platform (e.g., SailPoint, Saviynt, IBM Security Verify)
∙ Automated access certification
∙ Continuous access review</t>
  </si>
  <si>
    <t xml:space="preserve">IAC-18</t>
  </si>
  <si>
    <t xml:space="preserve">User Responsibilities for Account Management</t>
  </si>
  <si>
    <t xml:space="preserve">Mechanisms exist to compel users to follow accepted practices in the use of authentication mechanisms (e.g., passwords, passphrases, physical or logical security tokens, smart cards, certificates, etc.).</t>
  </si>
  <si>
    <t xml:space="preserve">Does the organization compel users to follow accepted practices in the use of authentication mechanisms (e.g., passwords, passphrases, physical or logical security tokens, smart cards, certificates, etc.)?</t>
  </si>
  <si>
    <t xml:space="preserve">The organization implements and operates mechanisms to compel users to follow accepted practices in the use of authentication mechanisms (e.g., passwords, passphrases, physical or logical security tokens, smart cards, certificates, etc.).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</si>
  <si>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authenticators are protected commensurate with the security category of the information to which use of the authenticator permits access;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</si>
  <si>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security awareness program; User account responsibility training; Automated acknowledgment tracking.
In-scope requirement alignment: NIST SP 800-82 R3 (Moderate OT overlay): IA-05(06) | NIST SP 800-53B Moderate: IA-05(06) | NIST SP 800-53B Privacy: IA-05(06).
Validation: Annual conformity validation; evidence artifacts to be defined; PPTDF applicability: People.</t>
  </si>
  <si>
    <t xml:space="preserve">∙ Enterprise security awareness program
∙ User account responsibility training
∙ Automated acknowledgment tracking</t>
  </si>
  <si>
    <t xml:space="preserve">IAC-20</t>
  </si>
  <si>
    <t xml:space="preserve">Access Enforcement</t>
  </si>
  <si>
    <t xml:space="preserve">Mechanisms exist to enforce Logical Access Control (LAC) permissions that conform to the principle of "least privilege."</t>
  </si>
  <si>
    <t xml:space="preserve">Does the organization enforce Logical Access Control (LAC) permissions that conform to the principle of "least privilege."?</t>
  </si>
  <si>
    <t xml:space="preserve">IEC 62443-2-1:2024; IEC 62443-3-3:2013; NIST SP 800-82 R3 - Moderate OT Overlay; NIST SP 800-53B R5 - Moderate baseline; DOE Cybersecurity Capability Maturity Model; NIST SP 800-161 R1 - C-SCRM Baseline; NIST SP 800-53B R5 - Privacy baseline</t>
  </si>
  <si>
    <t xml:space="preserve">The organization implements and operates mechanisms to enforce Logical Access Control (LAC) permissions that conform to the principle of "least privilege.".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</si>
  <si>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approved authorizations for logical access to information and system resources are enforced in accordance with applicable access control policies;
b. Ensuring the principle of least privilege is employed, allowing only authorized access for users (or processes acting on behalf of users) that are necessary to accomplish assigned organizational tasks;
c. Ensuring authorized users are identified;
d. Ensuring processes acting on behalf of authorized users are identified;
e. Ensuring devices (including other systems) authorized to connect to the system are identified;
f. Ensuring system access is limited to authorized users;
g. Ensuring system access is limited to processes acting on behalf of authorized users;
h. Ensuring system access is limited to authorized devices (including other systems);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</si>
  <si>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2.1 | IEC 62443-3-3: SR 2.1, SR 2.1 RE 1 | NIST SP 800-82 R3 (Moderate OT overlay): AC-03, AC-06 | DOE C2M2: ACCESS-2d | NIST SP 800-53B Moderate: AC-06 | NIST SP 800-161 R1 C-SCRM: AC-3 | NIST SP 800-53B Privacy: AC-03, AC-06.
Validation: Annual conformity validation; evidence artifacts to be defined; PPTDF applicability: Technology.</t>
  </si>
  <si>
    <t xml:space="preserve">USER 2.1</t>
  </si>
  <si>
    <t xml:space="preserve">SR 2.1, SR 2.1 RE 1</t>
  </si>
  <si>
    <t xml:space="preserve">AC-03, AC-06</t>
  </si>
  <si>
    <t xml:space="preserve">ACCESS-2d</t>
  </si>
  <si>
    <t xml:space="preserve">AC-06</t>
  </si>
  <si>
    <t xml:space="preserve">AC-3</t>
  </si>
  <si>
    <t xml:space="preserve">IAC-20.3</t>
  </si>
  <si>
    <t xml:space="preserve">Use of Privileged Utility Programs</t>
  </si>
  <si>
    <t xml:space="preserve">Mechanisms exist to restrict and tightly control utility programs that are capable of overriding system and application controls.</t>
  </si>
  <si>
    <t xml:space="preserve">Does the organization restrict and tightly control utility programs that are capable of overriding system and application controls?</t>
  </si>
  <si>
    <t xml:space="preserve">The organization implements and operates mechanisms to restrict and tightly control utility programs that are capable of overriding system and application controls.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</si>
  <si>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access to utility programs that are capable of overriding system and application controls is restricted;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</si>
  <si>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Privileged Account Management (PAM).
In-scope requirement alignment: CSA IoT SCF: IAM-04.
Validation: Annual conformity validation; evidence artifacts to be defined; PPTDF applicability: Technology.</t>
  </si>
  <si>
    <t xml:space="preserve">IAM-04</t>
  </si>
  <si>
    <t xml:space="preserve">5.18, 8.18</t>
  </si>
  <si>
    <t xml:space="preserve">IAC-20.5</t>
  </si>
  <si>
    <t xml:space="preserve">Dual Authorization for Privileged Commands</t>
  </si>
  <si>
    <t xml:space="preserve">Automated mechanisms exist to enforce dual authorization for privileged commands.</t>
  </si>
  <si>
    <t xml:space="preserve">Does the organization use automated mechanisms to enforce dual authorization for privileged commands?</t>
  </si>
  <si>
    <t xml:space="preserve">IEC 62443-2-1:2024; IEC 62443-3-3:2013; NIST SP 800-53B R5 - Privacy baseline</t>
  </si>
  <si>
    <t xml:space="preserve">The organization implements and operates automated mechanisms to enforce dual authorization for privileged commands.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</si>
  <si>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commands and/or other actions requiring dual authorization are defined;
b. Ensuring dual authorization is enforced for organization-defined privileged commands and/or other actions;
c. Ensuring critical or sensitive system and organizational operations for which dual authorization is to be enforced are identified;
d. Ensuring dual authorization is employed to execute critical or sensitive system and organizational operations;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</si>
  <si>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PAM platform with two-person integrity (2PI) for critical commands (e.g., CyberArk); Automated approval workflow.
In-scope requirement alignment: IEC 62443-2-1: USER 2.3, USER 2.4 | IEC 62443-3-3: SR 2.1 RE 4 | NIST SP 800-53B Privacy: AC-03(02).
Validation: Quarterly conformity validation; evidence artifacts to be defined; PPTDF applicability: Technology.</t>
  </si>
  <si>
    <t xml:space="preserve">USER 2.3, USER 2.4</t>
  </si>
  <si>
    <t xml:space="preserve">SR 2.1 RE 4</t>
  </si>
  <si>
    <t xml:space="preserve">∙ Enterprise PAM platform with two-person integrity (2PI) for critical commands (e.g., CyberArk)
∙ Automated approval workflow</t>
  </si>
  <si>
    <t xml:space="preserve">IAC-20.6</t>
  </si>
  <si>
    <t xml:space="preserve">Revocation of Access Authorizations</t>
  </si>
  <si>
    <t xml:space="preserve">Mechanisms exist to revoke logical and physical access authorizations.</t>
  </si>
  <si>
    <t xml:space="preserve">Does the organization revoke logical and physical access authorizations?</t>
  </si>
  <si>
    <t xml:space="preserve">The organization implements and operates mechanisms to revoke logical and physical access authorizations.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</si>
  <si>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rules governing the timing of revocations of access authorizations are defined;
b. Ensuring revocation of access authorizations is enforced, resulting from changes to the cybersecurity / data privacy attributes of subjects based on organization-defined rules;
c. Ensuring revocation of access authorizations is enforced resulting from changes to the cybersecurity / data privacy attributes of objects based on organization-defined rules;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</si>
  <si>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automated access revocation; Event-driven revocation (HR termination, role change); Access certification for ongoing validation.
In-scope requirement alignment: NERC CIP: CIP-004-7 R5, CIP-004-7 5.1, CIP-004-7 5.2, CIP-004-7 5.3, CIP-013-2 1.2.3.
Validation: Annual conformity validation; evidence artifacts to be defined; PPTDF applicability: Technology.</t>
  </si>
  <si>
    <t xml:space="preserve">AC-03(08)</t>
  </si>
  <si>
    <t xml:space="preserve">CIP-004-7 R5, CIP-004-7 5.1, CIP-004-7 5.2, CIP-004-7 5.3, CIP-013-2 1.2.3</t>
  </si>
  <si>
    <t xml:space="preserve">∙ Enterprise IGA platform with automated access revocation
∙ Event-driven revocation (HR termination, role change)
∙ Access certification for ongoing validation</t>
  </si>
  <si>
    <t xml:space="preserve">IAC-21</t>
  </si>
  <si>
    <t xml:space="preserve">Least Privilege</t>
  </si>
  <si>
    <t xml:space="preserve">Mechanisms exist to utilize the concept of least privilege, allowing only authorized access to processes necessary to accomplish assigned tasks in accordance with organizational business functions.</t>
  </si>
  <si>
    <t xml:space="preserve">Does the organization utilize the concept of least privilege, allowing only authorized access to processes necessary to accomplish assigned tasks in accordance with organizational business functions?</t>
  </si>
  <si>
    <t xml:space="preserve">E-IAM-02, E-IAM-05, E-IAM-06</t>
  </si>
  <si>
    <t xml:space="preserve">The organization implements and operates mechanisms to utilize the concept of least privilege, allowing only authorized access to processes necessary to accomplish assigned tasks in accordance with organizational business functions.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</si>
  <si>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All workforce members, including OT personnel, contractors and vendors with access to OT or AMI assets, are responsible for:
a. Ensuring security functions are identified;
b. Ensuring access to security functions is authorized in accordance with the principle of least privilege;
c. Ensuring organization-defined systems or system components implement the security design principle of least privilege;
d. Ensuring privileged accounts are identified;
e. Ensuring access to privileged accounts is authorized in accordance with the principle of least privilege;
f. Ensuring approved authorizations for logical access to system resources are enforced in accordance with applicable access control policies;
g. Ensuring system access for users (or processes acting on behalf of users) is authorized only when necessary to accomplish assigned organizational tasks;
h. Ensuring systems or system components that implement the security design principle of least privilege are defined;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</si>
  <si>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In-scope requirement alignment: NIST SP 800-82 R3 (Moderate OT overlay): AC-06 | DOE C2M2: ACCESS-1g, ACCESS-2d, ARCHITECTURE-3c | NIST CSF 2.0: PR.AA-05, PR.DS-10 | NIST SP 800-53B Moderate: AC-06 | CSA IoT SCF: IAM-06 | NIST Privacy Framework: PR.AC-P4 | NIST SP 800-53B Privacy: AC-06.
Validation: Annual conformity validation; evidence artifacts E-IAM-02, E-IAM-05, E-IAM-06; PPTDF applicability: Technology.</t>
  </si>
  <si>
    <t xml:space="preserve">AC-06, SA-08(14)</t>
  </si>
  <si>
    <t xml:space="preserve">ACCESS-1g, ACCESS-2d, ARCHITECTURE-3c</t>
  </si>
  <si>
    <t xml:space="preserve">PR.AA-05, PR.DS-10</t>
  </si>
  <si>
    <t xml:space="preserve">IAM-06</t>
  </si>
  <si>
    <t xml:space="preserve">SG.AC Access Control; SG.SA Smart Grid Information System and Services Acquisition</t>
  </si>
  <si>
    <t xml:space="preserve">5.15, 5.18, 8.3, 8.12</t>
  </si>
  <si>
    <t xml:space="preserve">IAC-21.1</t>
  </si>
  <si>
    <t xml:space="preserve">Authorize Access to Security Functions</t>
  </si>
  <si>
    <t xml:space="preserve">Mechanisms exist to limit access to security functions to explicitly-authorized privileged users.</t>
  </si>
  <si>
    <t xml:space="preserve">Does the organization limit access to security functions to explicitly-authorized privileged users?</t>
  </si>
  <si>
    <t xml:space="preserve">The organization implements and operates mechanisms to limit access to security functions to explicitly-authorized privileged users.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</si>
  <si>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individuals and roles with authorized access to security functions and security-relevant information are defined;
b. Ensuring security functions (deployed in hardware) for authorized access are defined;
c. Ensuring security functions (deployed in software) for authorized access are defined;
d. Ensuring security functions (deployed in firmware) for authorized access are defined;
e. Ensuring security-relevant information for authorized access is defined;
f. Ensuring access is authorized for organization-defined individuals and roles to organization-defined security functions (deployed in hardware);
g. Ensuring access is authorized for organization-defined individuals and roles to organization-defined security functions (deployed in software);
h. Ensuring access is authorized for organization-defined individuals and roles to organization-defined security functions (deployed in firmware);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</si>
  <si>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Privileged Account Management (PAM).
In-scope requirement alignment: NIST SP 800-82 R3 (Moderate OT overlay): AC-06(01) | NIST SP 800-53B Moderate: AC-06(01).
Validation: Annual conformity validation; evidence artifacts to be defined; PPTDF applicability: Technology.</t>
  </si>
  <si>
    <t xml:space="preserve">AC-06(01)</t>
  </si>
  <si>
    <t xml:space="preserve">IAC-21.2</t>
  </si>
  <si>
    <t xml:space="preserve">Non-Privileged Access for Non-Security Functions</t>
  </si>
  <si>
    <t xml:space="preserve">Mechanisms exist to prohibit privileged users from using privileged accounts, while performing non-security functions.</t>
  </si>
  <si>
    <t xml:space="preserve">Does the organization prohibit privileged users from using privileged accounts, while performing non-security functions?</t>
  </si>
  <si>
    <t xml:space="preserve">NIST SP 800-82 R3 - Moderate OT Overlay; NIST SP 800-53B R5 - Moderate baseline; CSA IoT Security Controls Framework v2</t>
  </si>
  <si>
    <t xml:space="preserve">The organization implements and operates mechanisms to prohibit privileged users from using privileged accounts, while performing non-security functions.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</si>
  <si>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non-security functions are identified;
b. Ensuring users (or roles) with privileged accounts are required to use non-privileged accounts when accessing non-security functions or non-security information;
c. Ensuring security functions or security-relevant information, the access to which requires users to use non-privileged accounts to access non-security functions, are defined;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</si>
  <si>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least-privilege access management; UEBA for privilege misuse detection; Just-in-time privilege elevation.
In-scope requirement alignment: NIST SP 800-82 R3 (Moderate OT overlay): AC-06(02) | NIST SP 800-53B Moderate: AC-06(02) | CSA IoT SCF: IAM-04.
Validation: Annual conformity validation; evidence artifacts to be defined; PPTDF applicability: Technology.</t>
  </si>
  <si>
    <t xml:space="preserve">AC-06(02)</t>
  </si>
  <si>
    <t xml:space="preserve">∙ Enterprise least-privilege access management
∙ UEBA for privilege misuse detection
∙ Just-in-time privilege elevation</t>
  </si>
  <si>
    <t xml:space="preserve">IAC-21.3</t>
  </si>
  <si>
    <t xml:space="preserve">Management Approval For Privileged Accounts</t>
  </si>
  <si>
    <t xml:space="preserve">Mechanisms exist to restrict the assignment of privileged accounts to management-approved personnel and/or roles.</t>
  </si>
  <si>
    <t xml:space="preserve">Does the organization restrict the assignment of privileged accounts to management-approved personnel and/or roles?</t>
  </si>
  <si>
    <t xml:space="preserve">E-IAM-09</t>
  </si>
  <si>
    <t xml:space="preserve">The organization implements and operates mechanisms to restrict the assignment of privileged accounts to management-approved personnel and/or roles.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</si>
  <si>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personnel or roles to which privileged accounts on the system are to be restricted are defined;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</si>
  <si>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Privileged Account Management (PAM).
In-scope requirement alignment: NIST SP 800-82 R3 (Moderate OT overlay): AC-06(05) | DOE C2M2: ACCESS-2f, ACCESS-2g | NIST SP 800-53B Moderate: AC-06(05).
Validation: Annual conformity validation; evidence artifacts E-IAM-09; PPTDF applicability: Technology.</t>
  </si>
  <si>
    <t xml:space="preserve">AC-06(05)</t>
  </si>
  <si>
    <t xml:space="preserve">ACCESS-2f, ACCESS-2g</t>
  </si>
  <si>
    <t xml:space="preserve">5.18, 8.2</t>
  </si>
  <si>
    <t xml:space="preserve">IAC-21.4</t>
  </si>
  <si>
    <t xml:space="preserve">Auditing Use of Privileged Functions</t>
  </si>
  <si>
    <t xml:space="preserve">Mechanisms exist to audit the execution of privileged functions.</t>
  </si>
  <si>
    <t xml:space="preserve">Does the organization audit the execution of privileged functions?</t>
  </si>
  <si>
    <t xml:space="preserve">The organization implements and operates mechanisms to audit the execution of privileged functions.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</si>
  <si>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the execution of privileged functions is logged;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</si>
  <si>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SIEM/PAM with continuous privileged function auditing (e.g., CyberArk, Splunk); Automated anomaly detection.
In-scope requirement alignment: NIST SP 800-82 R3 (Moderate OT overlay): AC-06(09) | NIST SP 800-53B Moderate: AC-06(09).
Validation: Annual conformity validation; evidence artifacts to be defined; PPTDF applicability: Process.</t>
  </si>
  <si>
    <t xml:space="preserve">AC-06(09)</t>
  </si>
  <si>
    <t xml:space="preserve">∙ Enterprise SIEM/PAM with continuous privileged function auditing (e.g., CyberArk, Splunk)
∙ Automated anomaly detection</t>
  </si>
  <si>
    <t xml:space="preserve">IAC-21.5</t>
  </si>
  <si>
    <t xml:space="preserve">Prohibit Non-Privileged Users from Executing Privileged Functions</t>
  </si>
  <si>
    <t xml:space="preserve">Mechanisms exist to prevent non-privileged users from executing privileged functions to include disabling, circumventing or altering implemented security safeguards / countermeasures.</t>
  </si>
  <si>
    <t xml:space="preserve">Does the organization prevent non-privileged users from executing privileged functions to include disabling, circumventing or altering implemented security safeguards / countermeasures?</t>
  </si>
  <si>
    <t xml:space="preserve">The organization implements and operates mechanisms to prevent non-privileged users from executing privileged functions to include disabling, circumventing or altering implemented security safeguards / countermeasures.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</si>
  <si>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functions are defined;
b. Ensuring non-privileged users are defined;
c. Ensuring non-privileged users are prevented from executing privileged functions;
d. Ensuring the execution of privileged functions is captured in event logs;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</si>
  <si>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Privileged Account Management (PAM).
In-scope requirement alignment: NIST SP 800-82 R3 (Moderate OT overlay): AC-06(10) | NIST SP 800-53B Moderate: AC-06(10).
Validation: Annual conformity validation; evidence artifacts to be defined; PPTDF applicability: Technology.</t>
  </si>
  <si>
    <t xml:space="preserve">AC-06(10)</t>
  </si>
  <si>
    <t xml:space="preserve">IAC-22</t>
  </si>
  <si>
    <t xml:space="preserve">Account Lockout</t>
  </si>
  <si>
    <t xml:space="preserve">Mechanisms exist to enforce a limit for consecutive invalid login attempts by a user during an organization-defined time period and automatically locks the account when the maximum number of unsuccessful attempts is exceeded.</t>
  </si>
  <si>
    <t xml:space="preserve">Does the organization enforce a limit for consecutive invalid login attempts by a user during an organization-defined time period and automatically locks the account when the maximum number of unsuccessful attempts is exceeded?</t>
  </si>
  <si>
    <t xml:space="preserve">IEC 62443-2-1:2024; IEC 62443-3-3:2013; IEC 62443-4-2:2019; NIST SP 800-82 R3 - Moderate OT Overlay; NERC CIP</t>
  </si>
  <si>
    <t xml:space="preserve">The organization implements and operates mechanisms to enforce a limit for consecutive invalid login attempts by a user during an organization-defined time period and automatically locks the account when the maximum number of unsuccessful attempts is exceeded.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</si>
  <si>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means of limiting unsuccessful logon attempts is defined;
b. Ensuring the defined means of limiting unsuccessful logon attempts is implemented;
c. Ensuring the number of consecutive invalid logon attempts by a user allowed during a time period is defined;
d. Ensuring the time period to which the number of consecutive invalid logon attempts by a user is limited is defined;
e. Ensuring the time period for an account or node to be locked is defined (if selected);
f. Ensuring delay algorithm for the next logon prompt is defined;
g. Ensuring other action to be taken when the maximum number of unsuccessful attempts is exceeded is defined;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</si>
  <si>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1.15 | IEC 62443-3-3: SR 1.11 | IEC 62443-4-2: CR 1.11, CR 1.11(a), CR 1.11(b) | NIST SP 800-82 R3 (Moderate OT overlay): AC-07 | NERC CIP: CIP-007-6 5.7.
Validation: Annual conformity validation; evidence artifacts to be defined; PPTDF applicability: Technology.</t>
  </si>
  <si>
    <t xml:space="preserve">USER 1.15</t>
  </si>
  <si>
    <t xml:space="preserve">SR 1.11</t>
  </si>
  <si>
    <t xml:space="preserve">CR 1.11, CR 1.11(a), CR 1.11(b)</t>
  </si>
  <si>
    <t xml:space="preserve">AC-07</t>
  </si>
  <si>
    <t xml:space="preserve">CIP-007-6 5.7</t>
  </si>
  <si>
    <t xml:space="preserve">IAC-23</t>
  </si>
  <si>
    <t xml:space="preserve">Concurrent Session Control</t>
  </si>
  <si>
    <t xml:space="preserve">Mechanisms exist to limit the number of concurrent sessions for each system account.</t>
  </si>
  <si>
    <t xml:space="preserve">Does the organization limit the number of concurrent sessions for each system account?</t>
  </si>
  <si>
    <t xml:space="preserve">IEC 62443-2-1:2024; IEC 62443-3-3:2013; IEC 62443-4-2:2019</t>
  </si>
  <si>
    <t xml:space="preserve">The organization implements and operates mechanisms to limit the number of concurrent sessions for each system account.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</si>
  <si>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accounts and/or account types for which to limit the number of concurrent sessions is defined;
b. Ensuring the number of concurrent sessions to be allowed for each account and/or account type is defined;
c. Ensuring the number of concurrent sessions for each organization-defined account and/or account types is limited to organization-defined number;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</si>
  <si>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IEC 62443-2-1: USER 1.17 | IEC 62443-3-3: SR 2.7 | IEC 62443-4-2: CR 2.7.
Validation: Annual conformity validation; evidence artifacts to be defined; PPTDF applicability: Technology.</t>
  </si>
  <si>
    <t xml:space="preserve">USER 1.17</t>
  </si>
  <si>
    <t xml:space="preserve">SR 2.7</t>
  </si>
  <si>
    <t xml:space="preserve">CR 2.7</t>
  </si>
  <si>
    <t xml:space="preserve">AC-10</t>
  </si>
  <si>
    <t xml:space="preserve">IAC-24</t>
  </si>
  <si>
    <t xml:space="preserve">Session Lock</t>
  </si>
  <si>
    <t xml:space="preserve">Mechanisms exist to initiate a session lock after an organization-defined time period of inactivity, or upon receiving a request from a user and retain the session lock until the user reestablishes access using established identification and authentication methods.</t>
  </si>
  <si>
    <t xml:space="preserve">Does the organization initiate a session lock after an organization-defined time period of inactivity, or upon receiving a request from a user and retain the session lock until the user reestablishes access using established identification and authentication methods?</t>
  </si>
  <si>
    <t xml:space="preserve">IEC 62443-2-1:2024; IEC 62443-3-3:2013; IEC 62443-4-2:2019; NIST SP 800-82 R3 - Moderate OT Overlay; NIST SP 800-53B R5 - Moderate baseline</t>
  </si>
  <si>
    <t xml:space="preserve">The organization implements and operates mechanisms to initiate a session lock after an organization-defined time period of inactivity, or upon receiving a request from a user and retain the session lock until the user reestablishes access using established identification and authentication methods.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</si>
  <si>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period of inactivity after which the system initiates a session lock is defined;
b. Ensuring access to the system and viewing of data is prevented by initiating a session lock after the defined period of inactivity;
c. Ensuring previously visible information is concealed via a pattern-hiding display after the defined period of inactivity;
d. Ensuring the time period of inactivity after which a device lock is initiated is defined (if selected);
e. Ensuring the device lock is retained until the user reestablishes access using established identification and authentication procedures;
f. Ensuring the time period of expected inactivity or description of when to log out is defined;
g. Ensuring users are required to log out when organization-defined time period of expected inactivity or description of when to log out;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</si>
  <si>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IEC 62443-2-1: USER 1.18 | IEC 62443-3-3: SR 2.5 | IEC 62443-4-2: CR 2.5, CR 2.5(a), CR 2.5(b) | NIST SP 800-82 R3 (Moderate OT overlay): AC-02(05), AC-11 | NIST SP 800-53B Moderate: AC-02(05), AC-11.
Validation: Annual conformity validation; evidence artifacts to be defined; PPTDF applicability: Technology.</t>
  </si>
  <si>
    <t xml:space="preserve">USER 1.18</t>
  </si>
  <si>
    <t xml:space="preserve">SR 2.5</t>
  </si>
  <si>
    <t xml:space="preserve">CR 2.5, CR 2.5(a), CR 2.5(b)</t>
  </si>
  <si>
    <t xml:space="preserve">AC-02(05), AC-11</t>
  </si>
  <si>
    <t xml:space="preserve">IAC-24.1</t>
  </si>
  <si>
    <t xml:space="preserve">Pattern-Hiding Displays</t>
  </si>
  <si>
    <t xml:space="preserve">Mechanisms exist to implement pattern-hiding displays to conceal information previously visible on the display during the session lock.</t>
  </si>
  <si>
    <t xml:space="preserve">Does the organization implement pattern-hiding displays to conceal information previously visible on the display during the session lock?</t>
  </si>
  <si>
    <t xml:space="preserve">The organization implements and operates mechanisms to implement pattern-hiding displays to conceal information previously visible on the display during the session lock.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</si>
  <si>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information previously visible on the display is concealed via device lock with a publicly viewable image;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</si>
  <si>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NIST SP 800-82 R3 (Moderate OT overlay): AC-11(01) | NIST SP 800-53B Moderate: AC-11(01).
Validation: Annual conformity validation; evidence artifacts to be defined; PPTDF applicability: Technology.</t>
  </si>
  <si>
    <t xml:space="preserve">AC-11(01)</t>
  </si>
  <si>
    <t xml:space="preserve">IAC-25</t>
  </si>
  <si>
    <t xml:space="preserve">Session Termination</t>
  </si>
  <si>
    <t xml:space="preserve">Automated mechanisms exist to log out users, both locally on the network and for remote sessions, at the end of the session or after an organization-defined period of inactivity.</t>
  </si>
  <si>
    <t xml:space="preserve">Does the organization use automated mechanisms to log out users, both locally on the network and for remote sessions, at the end of the session or after an organization-defined period of inactivity?</t>
  </si>
  <si>
    <t xml:space="preserve">IEC 62443-3-3:2013; NIST SP 800-82 R3 - Moderate OT Overlay; NERC CIP; NIST SP 800-53B R5 - Moderate baseline</t>
  </si>
  <si>
    <t xml:space="preserve">The organization implements and operates automated mechanisms to log out users, both locally on the network and for remote sessions, at the end of the session or after an organization-defined period of inactivity.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</si>
  <si>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conditions requiring a user session to terminate are defined;
b. Ensuring conditions or trigger events that require session disconnect are defined;
c. Ensuring a user session is automatically terminated after any of the defined conditions occur;
d. Ensuring the time period of expected inactivity requiring users to log out of the system is defined;
e. Ensuring circumstances requiring users to log out of the system are defined;
f. Ensuring session connections are terminated when nonlocal maintenance is completed;
g. Managing OT and AMI accounts (operator, engineering, service, device and vendor accounts) through a documented lifecycle with unique identification where technically feasible and documented compensating controls where shared accounts are required for safe operation;
h. Enforcing multi-factor authentication for all remote access to OT and AMI environments and for privileged access to head-end and control system functions; and
i.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</si>
  <si>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IEC 62443-3-3: SR 2.6 | NIST SP 800-82 R3 (Moderate OT overlay): AC-12 | NERC CIP: CIP-005-7 2.5, CIP-005-7 3.2 | NIST SP 800-53B Moderate: AC-12.
Validation: Quarterly conformity validation; evidence artifacts to be defined; PPTDF applicability: Technology.</t>
  </si>
  <si>
    <t xml:space="preserve">SR 2.6</t>
  </si>
  <si>
    <t xml:space="preserve">AC-12</t>
  </si>
  <si>
    <t xml:space="preserve">CIP-005-7 2.5, CIP-005-7 3.2</t>
  </si>
  <si>
    <t xml:space="preserve">IAC-26</t>
  </si>
  <si>
    <t xml:space="preserve">Permitted Actions Without Identification or Authorization</t>
  </si>
  <si>
    <t xml:space="preserve">Mechanisms exist to identify and document the supporting rationale for specific user actions that can be performed on a system without identification or authentication.</t>
  </si>
  <si>
    <t xml:space="preserve">Does the organization identify and document the supporting rationale for specific user actions that can be performed on a system without identification or authentication?</t>
  </si>
  <si>
    <t xml:space="preserve">The organization implements and operates mechanisms to identify and document the supporting rationale for specific user actions that can be performed on a system without identification or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</si>
  <si>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user actions that can be performed on the system without identification or authentication are defined;
b. Ensuring organization-defined user actions that can be performed on the system without identification or authentication consistent with organizational mission and business functions are identified;
c. Ensuring user actions not requiring identification or authentication are documented in the security plan for the system;
d. Ensuring a rationale for user actions not requiring identification or authentication is provided in the security plan for the system;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</si>
  <si>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NIST SP 800-82 R3 (Moderate OT overlay): AC-14.
Validation: Annual conformity validation; evidence artifacts to be defined; PPTDF applicability: Technology.</t>
  </si>
  <si>
    <t xml:space="preserve">AC-14</t>
  </si>
  <si>
    <t xml:space="preserve">IAC-28</t>
  </si>
  <si>
    <t xml:space="preserve">Identity Proofing (Identity Verification)</t>
  </si>
  <si>
    <t xml:space="preserve">Mechanisms exist to verify the identity of a user before issuing authenticators or modifying access permissions.</t>
  </si>
  <si>
    <t xml:space="preserve">Does the organization verify the identity of a user before issuing authenticators or modifying access permissions?</t>
  </si>
  <si>
    <t xml:space="preserve">E-IAM-02, E-IAM-05, E-IAM-06, E-HRS-18</t>
  </si>
  <si>
    <t xml:space="preserve">NIST SP 800-82 R3 - Moderate OT Overlay; NIST Cybersecurity Framework 2.0; NIST SP 800-53B R5 - Moderate baseline; DOE Cybersecurity Capability Maturity Model</t>
  </si>
  <si>
    <t xml:space="preserve">The organization implements and operates mechanisms to verify the identity of a user before issuing authenticators or modifying access permissions.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</si>
  <si>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users who require accounts for logical access to systems based on appropriate identity assurance level requirements as specified in applicable standards and guidelines are identity proofed;
b. Ensuring user identities are resolved to a unique individual;
c. Ensuring identity evidence is collected;
d. Ensuring identity evidence is validated;
e. Ensuring identity evidence is verified;
f. Managing OT and AMI accounts (operator, engineering, service, device and vendor accounts) through a documented lifecycle with unique identification where technically feasible and documented compensating controls where shared accounts are required for safe operation;
g. Enforcing multi-factor authentication for all remote access to OT and AMI environments and for privileged access to head-end and control system functions; and
h.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</si>
  <si>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Driver's license; Passport.
In-scope requirement alignment: NIST SP 800-82 R3 (Moderate OT overlay): IA-12 | DOE C2M2: WORKFORCE-1f | NIST CSF 2.0: PR.AA-02 | NIST SP 800-53B Moderate: IA-12.
Validation: Annual conformity validation; evidence artifacts E-IAM-02, E-IAM-05, E-IAM-06, E-HRS-18; PPTDF applicability: Process.</t>
  </si>
  <si>
    <t xml:space="preserve">IA-12</t>
  </si>
  <si>
    <t xml:space="preserve">WORKFORCE-1f</t>
  </si>
  <si>
    <t xml:space="preserve">PR.AA-02</t>
  </si>
  <si>
    <t xml:space="preserve">∙ Driver's license
∙ Passport</t>
  </si>
  <si>
    <t xml:space="preserve">IAC-28.1</t>
  </si>
  <si>
    <t xml:space="preserve">Management Approval For New or Changed Accounts</t>
  </si>
  <si>
    <t xml:space="preserve">Mechanisms exist to ensure management approvals are required for new accounts or changes in permissions to existing accounts.</t>
  </si>
  <si>
    <t xml:space="preserve">Does the organization ensure management approvals are required for new accounts or changes in permissions to existing accounts?</t>
  </si>
  <si>
    <t xml:space="preserve">NERC CIP; DOE Cybersecurity Capability Maturity Model</t>
  </si>
  <si>
    <t xml:space="preserve">The organization implements and operates mechanisms to ensure management approvals are required for new accounts or changes in permissions to existing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</si>
  <si>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registration process to receive an account for logical access includes supervisor or sponsor authorization;
b. Ensuring access control decisions applied to each access request prior to access enforcement are defined;
c. Ensuring organization-defined criteria are taken into account to ensure that access control decisions are applied to each access request prior to access enforcement;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</si>
  <si>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approval workflow automation (e.g., SailPoint, Saviynt); Role-based approval routing.
In-scope requirement alignment: NERC CIP: CIP-004-7 6.1 | DOE C2M2: ACCESS-2f, ACCESS-2g.
Validation: Annual conformity validation; evidence artifacts E-IAM-09; PPTDF applicability: Process.</t>
  </si>
  <si>
    <t xml:space="preserve">AC-24, IA-12(01)</t>
  </si>
  <si>
    <t xml:space="preserve">CIP-004-7 6.1</t>
  </si>
  <si>
    <t xml:space="preserve">∙ Enterprise IGA platform with approval workflow automation (e.g., SailPoint, Saviynt)
∙ Role-based approval routing</t>
  </si>
  <si>
    <t xml:space="preserve">IAC-28.2</t>
  </si>
  <si>
    <t xml:space="preserve">Identity Evidence</t>
  </si>
  <si>
    <t xml:space="preserve">Mechanisms exist to require evidence of individual identification to be presented to the registration authority.</t>
  </si>
  <si>
    <t xml:space="preserve">Does the organization require evidence of individual identification to be presented to the registration authority?</t>
  </si>
  <si>
    <t xml:space="preserve">The organization implements and operates mechanisms to require evidence of individual identification to be presented to the registration authority.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</si>
  <si>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evidence of individual identification is presented to the registration authority;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</si>
  <si>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Driver's license; Passport.
In-scope requirement alignment: NIST SP 800-82 R3 (Moderate OT overlay): IA-12(02) | NIST SP 800-53B Moderate: IA-12(02).
Validation: Annual conformity validation; evidence artifacts to be defined; PPTDF applicability: Process.</t>
  </si>
  <si>
    <t xml:space="preserve">IA-12(02)</t>
  </si>
  <si>
    <t xml:space="preserve">IAC-28.3</t>
  </si>
  <si>
    <t xml:space="preserve">Identity Evidence Validation &amp; Verification</t>
  </si>
  <si>
    <t xml:space="preserve">Mechanisms exist to require that the presented identity evidence be validated and verified through organizational-defined methods of validation and verification.</t>
  </si>
  <si>
    <t xml:space="preserve">Does the organization require that the presented identity evidence be validated and verified through organizational-defined methods of validation and verification?</t>
  </si>
  <si>
    <t xml:space="preserve">The organization implements and operates mechanisms to require that the presented identity evidence be validated and verified through organizational-defined methods of validation and verification.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</si>
  <si>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methods of validation and verification of identity evidence are defined;
b. Ensuring the presented identity evidence is validated and verified through organization-defined methods of validation and verification;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</si>
  <si>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Employment verification; Credit check; Criminal history check; Education verification.
In-scope requirement alignment: NIST SP 800-82 R3 (Moderate OT overlay): IA-12(03) | NIST SP 800-53B Moderate: IA-12(03).
Validation: Annual conformity validation; evidence artifacts to be defined; PPTDF applicability: Process.</t>
  </si>
  <si>
    <t xml:space="preserve">IA-12(03)</t>
  </si>
  <si>
    <t xml:space="preserve">∙ Employment verification
∙ Credit check
∙ Criminal history check
∙ Education verification</t>
  </si>
  <si>
    <t xml:space="preserve">IAC-28.4</t>
  </si>
  <si>
    <t xml:space="preserve">In-Person Validation &amp; Verification</t>
  </si>
  <si>
    <t xml:space="preserve">Mechanisms exist to require that the validation and verification of identity evidence be conducted in person before a designated registration authority.</t>
  </si>
  <si>
    <t xml:space="preserve">Does the organization require that the validation and verification of identity evidence be conducted in person before a designated registration authority?</t>
  </si>
  <si>
    <t xml:space="preserve">The organization implements and operates mechanisms to require that the validation and verification of identity evidence be conducted in person before a designated registration authority.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</si>
  <si>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In-person validation of government-issued photograph identification.
In-scope requirement alignment: NIST SP 800-53B Privacy: IA-12(04).
Validation: Annual conformity validation; evidence artifacts to be defined; PPTDF applicability: Process.</t>
  </si>
  <si>
    <t xml:space="preserve">∙ In-person validation of government-issued photograph identification</t>
  </si>
  <si>
    <t xml:space="preserve">IAC-28.5</t>
  </si>
  <si>
    <t xml:space="preserve">Address Confirmation</t>
  </si>
  <si>
    <t xml:space="preserve">Mechanisms exist to require that a notice of proofing be delivered through an out-of-band channel to verify the user's address (physical or digital).</t>
  </si>
  <si>
    <t xml:space="preserve">Does the organization require that a notice of proofing be delivered through an out-of-band channel to verify the user's address (physical or digital)?</t>
  </si>
  <si>
    <t xml:space="preserve">The organization implements and operates mechanisms to require that a notice of proofing be delivered through an out-of-band channel to verify the user's address (physical or digital).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</si>
  <si>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organization-defined criteria are delivered through an out-of-band channel to verify the user’s address (physical or digital) of record;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</si>
  <si>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identity proofing platform with address confirmation (e.g., Experian, LexisNexis); Automated address verification.
In-scope requirement alignment: NIST SP 800-82 R3 (Moderate OT overlay): IA-12(05) | NIST SP 800-53B Moderate: IA-12(05).
Validation: Annual conformity validation; evidence artifacts to be defined; PPTDF applicability: Process.</t>
  </si>
  <si>
    <t xml:space="preserve">IA-12(05)</t>
  </si>
  <si>
    <t xml:space="preserve">∙ Enterprise identity proofing platform with address confirmation (e.g., Experian, LexisNexis)
∙ Automated address verification</t>
  </si>
  <si>
    <t xml:space="preserve">IAC-29</t>
  </si>
  <si>
    <t xml:space="preserve">Attribute-Based Access Control (ABAC)</t>
  </si>
  <si>
    <t xml:space="preserve">Mechanisms exist to enforce Attribute-Based Access Control (ABAC) for policy-driven, dynamic authorizations that supports the secure sharing of information.</t>
  </si>
  <si>
    <t xml:space="preserve">Does the organization enforce Attribute-Based Access Control (ABAC) for policy-driven, dynamic authorizations that supports the secure sharing of information?</t>
  </si>
  <si>
    <t xml:space="preserve">The organization implements and operates mechanisms to enforce Attribute-Based Access Control (ABAC) for policy-driven, dynamic authorizations that supports the secure sharing of information.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</si>
  <si>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Attribute-Based Access Control (ABAC) is enforced for policy-driven, dynamic authorizations that supports the secure sharing of information;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</si>
  <si>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CSA IoT SCF: IAM-01.
Validation: Annual conformity validation; evidence artifacts to be defined; PPTDF applicability: Technology.</t>
  </si>
  <si>
    <t xml:space="preserve">IAM-01</t>
  </si>
  <si>
    <t xml:space="preserve">IAC-30</t>
  </si>
  <si>
    <t xml:space="preserve">Mutual Authentication (MA)</t>
  </si>
  <si>
    <t xml:space="preserve">Mechanisms exist to enforce Mutual Authentication (MA) where both sides of a communications channel verify the identity of the other party through certificate exchange.</t>
  </si>
  <si>
    <t xml:space="preserve">Does the organization enforce Mutual Authentication (MA) where both sides of a communications channel verify the identity of the other party through certificate exchange?</t>
  </si>
  <si>
    <t xml:space="preserve">The organization implements and operates mechanisms to enforce Mutual Authentication (MA) where both sides of a communications channel verify the identity of the other party through certificate exchange.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</si>
  <si>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instances that require Mutual Authentication (MA) are identified, where both sides of a communications channel verify the identity of the other party through certificate exchange;
b. Ensuring technologies to implement MA are identified;
c. Ensuring technologies enforce MA, where required;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</si>
  <si>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mTLS with PKI (e.g., Venafi, HashiCorp Vault); Service mesh with mutual auth (e.g., Istio); Automated certificate lifecycle management.
In-scope requirement alignment: IEC 62443-2-1: USER 1.10.
Validation: Annual conformity validation; evidence artifacts to be defined; PPTDF applicability: Technology.</t>
  </si>
  <si>
    <t xml:space="preserve">USER 1.10</t>
  </si>
  <si>
    <t xml:space="preserve">∙ Enterprise mTLS with PKI (e.g., Venafi, HashiCorp Vault)
∙ Service mesh with mutual auth (e.g., Istio)
∙ Automated certificate lifecycle management</t>
  </si>
  <si>
    <t xml:space="preserve">IRO-01</t>
  </si>
  <si>
    <t xml:space="preserve">Incident Response Operations</t>
  </si>
  <si>
    <t xml:space="preserve">Incident Response</t>
  </si>
  <si>
    <t xml:space="preserve">IRO</t>
  </si>
  <si>
    <t xml:space="preserve">Mechanisms exist to implement and govern processes and documentation to facilitate an organization-wide response capability for cybersecurity and data protection-related incidents.</t>
  </si>
  <si>
    <t xml:space="preserve">Does the organization implement and govern processes and documentation to facilitate an organization-wide response capability for cybersecurity and data protection-related incidents?</t>
  </si>
  <si>
    <t xml:space="preserve">E-IRO-01</t>
  </si>
  <si>
    <t xml:space="preserve">IEC 62443-2-1:2024; NIST SP 800-82 R3 - Moderate OT Overlay; NERC CIP; CISA Cross-Sector Cybersecurity Performance Goals; NIST Cybersecurity Framework 2.0; DOE Cybersecurity Capability Maturity Model; CSA IoT Security Controls Framework v2; NIST SP 800-161 R1 - C-SCRM Baseline; NIST SP 800-53B R5 - Privacy baseline</t>
  </si>
  <si>
    <t xml:space="preserve">Cyber Incident Response Manager</t>
  </si>
  <si>
    <t xml:space="preserve">OT / AMI Incident Response Lead</t>
  </si>
  <si>
    <t xml:space="preserve">Incident response retainer provider; MSSP; law enforcement; sector ISAC</t>
  </si>
  <si>
    <t xml:space="preserve">The organization shall maintain a tested incident response capability that integrates enterprise IT, OT and AMI responders and prioritizes safety, service continuity and regulatory reporting. OT and AMI incident response shall address scenarios such as unauthorized control commands, mass disconnect, firmware tampering, head-end compromise and loss of communications, and shall coordinate with system operations, vendors, regulators and sector partners.</t>
  </si>
  <si>
    <t xml:space="preserve">The organization implements and operates mechanisms to implement and govern processes and documentation to facilitate an organization-wide response capability for cybersecurity and data protection-related incidents.
Within the OT and AMI environment, this objective integrates OT and AMI responders, system operations and vendors into incident handling and addresses OT-specific scenarios while preserving safety and service continuity.</t>
  </si>
  <si>
    <t xml:space="preserve">The Chief Information Security Officer (CISO), in coordination with the OT Security Lead, is responsible for:
a. Ensuring the rigor of incident handling activities is comparable and predictable across the organization;
b. Ensuring the intensity of incident handling activities is comparable and predictable across the organization;
c. Ensuring the scope of incident handling activities is comparable and predictable across the organization;
d. Ensuring the results of incident handling activities are comparable and predictable across the organization;
e. Ensuring incident handling activities are coordinated with contingency planning activities;
f. Ensuring incident response management operations are conducted according to documented policies, standards, procedures and/or other organizational directives;
g. Ensuring adequate resources (e.g., people, processes, technologies, data and/or facilities) are provided to support incident response management operations;
h. Ensuring responsibility and authority for the performance of incident response management-related activities are assigned to designated personnel; and
i. Integrating OT and AMI responders, System Operations and key vendors into the incident response capability with defined authority to approve containment actions that affect operations.</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</si>
  <si>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In-scope requirement alignment: IEC 62443-2-1: EVENT 1.8 | NIST SP 800-82 R3 (Moderate OT overlay): IR-01 | NERC CIP: CIP-003-8 1.1.5, CIP-003-8 1.2.4, CIP-008-6 1.1, CIP-008-6 3.2 | CISA CPG: 2.S, 5.A | DOE C2M2: RESPONSE-1a | NIST CSF 2.0: GV.SC-08, DE.AE, RS, RS.MI | NIST SP 800-161 R1 C-SCRM: IR-1 | CSA IoT SCF: IMT-01 | NIST SP 800-53B Privacy: IR-01.
Validation: Annual conformity validation; evidence artifacts E-IRO-01; PPTDF applicability: Process.</t>
  </si>
  <si>
    <t xml:space="preserve">EVENT 1.8</t>
  </si>
  <si>
    <t xml:space="preserve">IR-01</t>
  </si>
  <si>
    <t xml:space="preserve">CIP-003-8 1.1.5, CIP-003-8 1.2.4, CIP-008-6 1.1, CIP-008-6 3.2</t>
  </si>
  <si>
    <t xml:space="preserve">2.S, 5.A</t>
  </si>
  <si>
    <t xml:space="preserve">RESPONSE-1a</t>
  </si>
  <si>
    <t xml:space="preserve">GV.SC-08, DE.AE, RS, RS.MI</t>
  </si>
  <si>
    <t xml:space="preserve">IR-1</t>
  </si>
  <si>
    <t xml:space="preserve">IMT-01</t>
  </si>
  <si>
    <t xml:space="preserve">5.24</t>
  </si>
  <si>
    <t xml:space="preserve">∙ Integrated Incident Response Program (IIRP)</t>
  </si>
  <si>
    <t xml:space="preserve">IRO-02</t>
  </si>
  <si>
    <t xml:space="preserve">Incident Handling</t>
  </si>
  <si>
    <t xml:space="preserve">Mechanisms exist to cover:
(1) Preparation;
(2) Automated event detection or manual incident report intake;
(3) Analysis;
(4) Containment;
(5) Eradication; and
(6) Recovery.</t>
  </si>
  <si>
    <t xml:space="preserve">Does the organization cover:
 (1) Preparation;
 (2) Automated event detection or manual incident report intake;
 (3) Analysis;
 (4) Containment;
 (5) Eradication; and
 (6) Recovery?</t>
  </si>
  <si>
    <t xml:space="preserve">E-IRO-03</t>
  </si>
  <si>
    <t xml:space="preserve">IEC 62443-2-1:2024; NIST SP 800-82 R3 - Moderate OT Overlay; NERC CIP; CISA Cross-Sector Cybersecurity Performance Goals; NIST Cybersecurity Framework 2.0; DOE Cybersecurity Capability Maturity Model; CSA IoT Security Controls Framework v2; NIST Privacy Framework 1.0; NIST SP 800-53B R5 - Privacy baseline</t>
  </si>
  <si>
    <t xml:space="preserve">The organization implements and operates mechanisms to cover: (1) Preparation; (2) Automated event detection or manual incident report intake; (3) Analysis; (4) Containment; (5) Eradication; and (6) Recovery.
Within the OT and AMI environment, this objective integrates OT and AMI responders, system operations and vendors into incident handling and addresses OT-specific scenarios while preserving safety and service continuity.</t>
  </si>
  <si>
    <t xml:space="preserve">IT Operations and OT Operations are jointly responsible for:
a. Ensuring an incident handling capability for incidents is implemented that is consistent with the incident response plan;
b. Ensuring the incident handling capability includes preparation;
c. Ensuring the incident handling capability includes detection and analysis;
d. Ensuring the incident handling capability includes containment;
e. Ensuring the incident handling capability includes eradication;
f. Ensuring the incident handling capability includes recovery;
g. Ensuring incident handling activities are coordinated with contingency planning activities;
h. Ensuring the operational incident-handling capability includes user response activities;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</si>
  <si>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ITIL 4 ∙ Incident and problem management.
In-scope requirement alignment: IEC 62443-2-1: EVENT 1.8 | NIST SP 800-82 R3 (Moderate OT overlay): IR-04 | NERC CIP: CIP-008-6 1.1, CIP-008-6 1.2.1, CIP-008-6 1.4 | CISA CPG: 2.S, 5.A | DOE C2M2: RESPONSE-1a, RESPONSE-1b, RESPONSE-1f, RESPONSE-2a, RESPONSE-2b, RESPONSE-3b, RESPONSE-3c, RESPONSE-3e, RESPONSE-3l | NIST CSF 2.0: GV.SC-08, DE.AE, DE.AE-02, DE.AE-03, DE.AE-04, DE.AE-06, DE.AE-08, RS, RS.MA, RS.MA-01, RS.MA-02, RS.MA-04, RS.AN, RS.AN-06, RS.CO, RS.CO-02, RS.CO-03, RS.MI, RS.MI-01, RS.MI-02, RC.RP-06 | CSA IoT SCF: IAM-08, IAM-09, IMT-01, MON-02 | NIST Privacy Framework: GV.MT-P5 | NIST SP 800-53B Privacy: IR-04.
Validation: Annual conformity validation; evidence artifacts E-IRO-03; PPTDF applicability: Process.</t>
  </si>
  <si>
    <t xml:space="preserve">IR-04</t>
  </si>
  <si>
    <t xml:space="preserve">CIP-008-6 1.1, CIP-008-6 1.2.1, CIP-008-6 1.4</t>
  </si>
  <si>
    <t xml:space="preserve">RESPONSE-1a, RESPONSE-1b, RESPONSE-1f, RESPONSE-2a, RESPONSE-2b, RESPONSE-3b, RESPONSE-3c, RESPONSE-3e, RESPONSE-3l</t>
  </si>
  <si>
    <t xml:space="preserve">GV.SC-08, DE.AE, DE.AE-02, DE.AE-03, DE.AE-04, DE.AE-06, DE.AE-08, RS, RS.MA, RS.MA-01, RS.MA-02, RS.MA-04, RS.AN, RS.AN-06, RS.CO, RS.CO-02, RS.CO-03, RS.MI, RS.MI-01, RS.MI-02, RC.RP-06</t>
  </si>
  <si>
    <t xml:space="preserve">IAM-08, IAM-09, IMT-01, MON-02</t>
  </si>
  <si>
    <t xml:space="preserve">GV.MT-P5</t>
  </si>
  <si>
    <t xml:space="preserve">5.24, 5.25, 5.26, 6.8</t>
  </si>
  <si>
    <t xml:space="preserve">∙ Integrated Incident Response Program (IIRP)
∙ ITIL 4 (https://axelos.com) ∙ Incident and problem management</t>
  </si>
  <si>
    <t xml:space="preserve">IRO-02.1</t>
  </si>
  <si>
    <t xml:space="preserve">Automated Incident Handling Processes</t>
  </si>
  <si>
    <t xml:space="preserve">Automated mechanisms exist to support the incident handling process.</t>
  </si>
  <si>
    <t xml:space="preserve">Does the organization use automated mechanisms to support the incident handling process?</t>
  </si>
  <si>
    <t xml:space="preserve">NIST SP 800-82 R3 - Moderate OT Overlay; NIST SP 800-53B R5 - Moderate baseline; CSA IoT Security Controls Framework v2; NIST SP 800-53B R5 - Privacy baseline</t>
  </si>
  <si>
    <t xml:space="preserve">Incident Commander</t>
  </si>
  <si>
    <t xml:space="preserve">The organization implements and operates automated mechanisms to support the incident handling process.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</si>
  <si>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anomalous or suspicious behavior is defined;
b. Ensuring organizational systems and system components are monitored on an ongoing basis for anomalous or suspicious behavior;
c. Ensuring automated mechanisms used to support the incident handling process are defined;
d. Ensuring the incident handling process is supported using automated mechanisms;
e. Ensuring incident response personnel (identified by name and/or by role) to be notified of detected suspicious events is/are defined;
f. Ensuring least-disruptive actions to terminate suspicious events are defined;
g. Ensuring incident response personnel are notified of detected suspicious events;
h. Ensuring least-disruptive actions are taken upon the detection of suspicious events;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</si>
  <si>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CimTrak Integrity Suite.
In-scope requirement alignment: NIST SP 800-82 R3 (Moderate OT overlay): IR-04(01) | NIST SP 800-53B Moderate: IR-04(01) | CSA IoT SCF: IAM-08 | NIST SP 800-53B Privacy: SI-04(07).
Validation: Quarterly conformity validation; evidence artifacts to be defined; PPTDF applicability: Technology.</t>
  </si>
  <si>
    <t xml:space="preserve">IR-04(01), SI-04(07)</t>
  </si>
  <si>
    <t xml:space="preserve">IR-04(01)</t>
  </si>
  <si>
    <t xml:space="preserve">SI-04(07)</t>
  </si>
  <si>
    <t xml:space="preserve">IRO-02.4</t>
  </si>
  <si>
    <t xml:space="preserve">Incident Classification &amp; Prioritization</t>
  </si>
  <si>
    <t xml:space="preserve">Mechanisms exist to identify classes of incidents and actions to take to ensure the continuation of organizational missions and business functions.</t>
  </si>
  <si>
    <t xml:space="preserve">Does the organization identify classes of incidents and actions to take to ensure the continuation of organizational missions and business functions?</t>
  </si>
  <si>
    <t xml:space="preserve">NERC CIP; NIST Cybersecurity Framework 2.0; DOE Cybersecurity Capability Maturity Model; NIST SP 800-53B R5 - Privacy baseline</t>
  </si>
  <si>
    <t xml:space="preserve">The organization implements and operates mechanisms to identify classes of incidents and actions to take to ensure the continuation of organizational missions and business functions.
Within the OT and AMI environment, this objective integrates OT and AMI responders, system operations and vendors into incident handling and addresses OT-specific scenarios while preserving safety and service continuity.</t>
  </si>
  <si>
    <t xml:space="preserve">IT Operations and OT Operations teams (asset custodians) are responsible for:
a. Ensuring classes of incidents requiring an organization-defined action to be taken are defined;
b. Ensuring classes of incidents are identified;
c. Ensuring actions to be taken in response to organization-defined classes of incidents are defined;
d. Ensuring actions are taken in response to those incidents to ensure the continuation of organizational mission and business functions;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</si>
  <si>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National Cyber Incident Scoring; System (NCISS).
In-scope requirement alignment: NERC CIP: CIP-008-6 1.1, CIP-008-6 1.2.1, CIP-008-6 1.2.2 | DOE C2M2: RESPONSE-1b, RESPONSE-2a, RESPONSE-2b, RESPONSE-2c, RESPONSE-2d, RESPONSE-2e, RESPONSE-2h | NIST CSF 2.0: DE.AE, DE.AE-02, DE.AE-04, DE.AE-06, DE.AE-08, RS.MA-03, RS.AN-08 | NIST SP 800-53B Privacy: IR-04(03).
Validation: Annual conformity validation; evidence artifacts E-IRO-01; PPTDF applicability: Process.</t>
  </si>
  <si>
    <t xml:space="preserve">IR-04(03)</t>
  </si>
  <si>
    <t xml:space="preserve">CIP-008-6 1.1, CIP-008-6 1.2.1, CIP-008-6 1.2.2</t>
  </si>
  <si>
    <t xml:space="preserve">RESPONSE-1b, RESPONSE-2a, RESPONSE-2b, RESPONSE-2c, RESPONSE-2d, RESPONSE-2e, RESPONSE-2h</t>
  </si>
  <si>
    <t xml:space="preserve">DE.AE, DE.AE-02, DE.AE-04, DE.AE-06, DE.AE-08, RS.MA-03, RS.AN-08</t>
  </si>
  <si>
    <t xml:space="preserve">∙ National Cyber Incident Scoring
System (NCISS) (https://cisa.gov)</t>
  </si>
  <si>
    <t xml:space="preserve">IRO-02.5</t>
  </si>
  <si>
    <t xml:space="preserve">Correlation with External Organizations</t>
  </si>
  <si>
    <t xml:space="preserve">Mechanisms exist to coordinate with approved third-parties to achieve a cross-organization perspective on incident awareness and more effective incident responses.</t>
  </si>
  <si>
    <t xml:space="preserve">Does the organization coordinate with approved third-parties to achieve a cross-organization perspective on incident awareness and more effective incident responses?</t>
  </si>
  <si>
    <t xml:space="preserve">The organization implements and operates mechanisms to coordinate with approved third-parties to achieve a cross-organization perspective on incident awareness and more effective incident responses.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</si>
  <si>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external organizations with whom organizational incident information is to be coordinated and shared are defined;
b. Ensuring incident information to be correlated and shared with organization-defined external organizations are defined;
c. Ensuring there is coordination with external organizations to correlate and share incident information to achieve a cross-organization perspective on incident awareness and more effective incident responses;
d. Maintaining OT and AMI incident response playbooks (e.g., unauthorized control or disconnect commands, head-end compromise, firmware tampering, loss of communications) that define safe containment actions and operational coordination;
e. Defining regulatory and sector reporting obligations and timelines for OT and AMI incidents (e.g., NERC CIP-008, CISA, state utility commission) and the roles responsible for reporting; and
f.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</si>
  <si>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CSF 2.0: GV.SC-08, DE.AE-03, RS.MA-01, RS.CO.
Validation: Annual conformity validation; evidence artifacts E-IRO-01; PPTDF applicability: Process.</t>
  </si>
  <si>
    <t xml:space="preserve">IR-04(08)</t>
  </si>
  <si>
    <t xml:space="preserve">GV.SC-08, DE.AE-03, RS.MA-01, RS.CO</t>
  </si>
  <si>
    <t xml:space="preserve">∙ Enterprise SOC with SIEM/SOAR (e.g., Splunk SOAR, Palo Alto XSOAR)
∙ IR retainer
∙ Threat hunting</t>
  </si>
  <si>
    <t xml:space="preserve">IRO-02.6</t>
  </si>
  <si>
    <t xml:space="preserve">Automatic Disabling of Technology Assets, Applications and/or Services (TAAS)</t>
  </si>
  <si>
    <t xml:space="preserve">Mechanisms exist to automatically disable Technology Assets, Applications and/or Services (TAAS), upon detection of a possible incident that meets organizational criteria, which allows for forensic analysis to be performed.</t>
  </si>
  <si>
    <t xml:space="preserve">Does the organization automatically disable Technology Assets, Applications and/or Services (TAAS), upon detection of a possible incident that meets organizational criteria, which allows for forensic analysis to be performed?</t>
  </si>
  <si>
    <t xml:space="preserve">The organization implements and operates mechanisms to automatically disable Technology Assets, Applications and/or Services (TAAS), upon detection of a possible incident that meets organizational criteria, which allows for forensic analysis to be performed.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</si>
  <si>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 configurable capability is implemented to automatically disable the system if security violations are detected;
b. Maintaining OT and AMI incident response playbooks (e.g., unauthorized control or disconnect commands, head-end compromise, firmware tampering, loss of communications) that define safe containment actions and operational coordination;
c. Defining regulatory and sector reporting obligations and timelines for OT and AMI incidents (e.g., NERC CIP-008, CISA, state utility commission) and the roles responsible for reporting; and
d.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</si>
  <si>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CSA IoT SCF: IAM-08 | NIST SP 800-53B Privacy: IR-04(05).
Validation: Annual conformity validation; evidence artifacts to be defined; PPTDF applicability: Technology.</t>
  </si>
  <si>
    <t xml:space="preserve">IR-04(05)</t>
  </si>
  <si>
    <t xml:space="preserve">IRO-03</t>
  </si>
  <si>
    <t xml:space="preserve">Indicators of Compromise (IOC)</t>
  </si>
  <si>
    <t xml:space="preserve">Mechanisms exist to define specific Indicators of Compromise (IOC) to identify the signs of potential cybersecurity events.</t>
  </si>
  <si>
    <t xml:space="preserve">Does the organization define specific Indicators of Compromise (IOC) to identify the signs of potential cybersecurity events?</t>
  </si>
  <si>
    <t xml:space="preserve">E-IRO-02</t>
  </si>
  <si>
    <t xml:space="preserve">NERC CIP; CISA Cross-Sector Cybersecurity Performance Goals; NIST Cybersecurity Framework 2.0; DOE Cybersecurity Capability Maturity Model; CSA IoT Security Controls Framework v2</t>
  </si>
  <si>
    <t xml:space="preserve">The organization implements and operates mechanisms to define specific Indicators of Compromise (IOC) to identify the signs of potential cybersecurity events.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</si>
  <si>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anomalous or suspicious behavior is defined;
b. Ensuring environments or resources which may contain or may be related to anomalous or suspected adversarial behavior are defined;
c. Ensuring anomalous or suspected adversarial behavior in or related to organization-defined environments or resources are analyzed;
d. Ensuring organizational systems and system components are monitored on an ongoing basis for anomalous or suspicious behavior;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</si>
  <si>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Indicators of Compromise (IoC).
In-scope requirement alignment: NERC CIP: CIP-008-6 1.2.1, CIP-008-6 1.2.2 | CISA CPG: 3.A | DOE C2M2: SITUATION-2d, SITUATION-2h, SITUATION-2i | NIST CSF 2.0: DE.CM | CSA IoT SCF: IAM-09, MON-02, MON-09, MON-11.
Validation: Semi-Annual conformity validation; evidence artifacts E-IRO-02; PPTDF applicability: Process.</t>
  </si>
  <si>
    <t xml:space="preserve">CIP-008-6 1.2.1, CIP-008-6 1.2.2</t>
  </si>
  <si>
    <t xml:space="preserve">3.A</t>
  </si>
  <si>
    <t xml:space="preserve">IAM-09, MON-02, MON-09, MON-11</t>
  </si>
  <si>
    <t xml:space="preserve">∙ Indicators of Compromise (IoC)</t>
  </si>
  <si>
    <t xml:space="preserve">IRO-04</t>
  </si>
  <si>
    <t xml:space="preserve">Incident Response Plan (IRP)</t>
  </si>
  <si>
    <t xml:space="preserve">Mechanisms exist to maintain and make available a current and viable Incident Response Plan (IRP) to all stakeholders.</t>
  </si>
  <si>
    <t xml:space="preserve">Does the organization maintain and make available a current and viable Incident Response Plan (IRP) to all stakeholders?</t>
  </si>
  <si>
    <t xml:space="preserve">NIST SP 800-82 R3 - Moderate OT Overlay; NERC CIP; CISA Cross-Sector Cybersecurity Performance Goals; NIST Cybersecurity Framework 2.0; DOE Cybersecurity Capability Maturity Model; CSA IoT Security Controls Framework v2; NIST SP 800-161 R1 - C-SCRM Baseline; NIST Privacy Framework 1.0; NIST SP 800-53B R5 - Privacy baseline</t>
  </si>
  <si>
    <t xml:space="preserve">The organization implements and operates mechanisms to maintain and make available a current and viable Incident Response Plan (IRP) to all stakeholders.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</si>
  <si>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personnel or roles that review and approve the incident response plan is/are identified;
b. Ensuring entities, personnel or roles with designated responsibility for incident response are defined;
c. Ensuring an incident response plan is developed that provides the organization with a roadmap for implementing its incident response capability;
d. Ensuring an incident response plan is developed that describes the structure and organization of the incident response capability;
e. Ensuring an incident response plan is developed that provides a high-level approach for how the incident response capability fits into the overall organization;
f. Ensuring an incident response plan is developed that meets the unique requirements of the organization with regard to mission, size, structure and functions;
g. Ensuring an incident response plan is developed that defines reportable incidents;
h. Ensuring an incident response plan is developed that provides metrics for measuring the incident response capability within the organization;
i. Including OT and AMI scenarios (unauthorized control or disconnect commands, head-end compromise, firmware tampering, loss of communications, ransomware affecting OT) in the incident response plan with safe containment and recovery actions; and
j. Defining OT and AMI regulatory and sector reporting obligations, timelines and responsible roles within the plan.</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</si>
  <si>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In-scope requirement alignment: NIST SP 800-82 R3 (Moderate OT overlay): IR-08 | NERC CIP: CIP-008-6 R1, CIP-008-6 1.1, CIP-008-6 1.4, CIP-008-6 R2, CIP-008-6 2.2, CIP-008-6 R3 | CISA CPG: 2.S | DOE C2M2: RESPONSE-1a, RESPONSE-3b, RESPONSE-3d, RESPONSE-3e, RESPONSE-3f, RESPONSE-3l | NIST CSF 2.0: ID.IM-04, DE.AE-06, RS, RS.MA, RS.MA-01, RS.MA-02, RS.MA-04, RS.MI | NIST SP 800-161 R1 C-SCRM: IR-8 | CSA IoT SCF: IAM-09, IMT-01 | NIST Privacy Framework: PR.PO-P7 | NIST SP 800-53B Privacy: IR-08.
Validation: Annual conformity validation; evidence artifacts E-IRO-01; PPTDF applicability: Process.</t>
  </si>
  <si>
    <t xml:space="preserve">IR-08</t>
  </si>
  <si>
    <t xml:space="preserve">CIP-008-6 R1, CIP-008-6 1.1, CIP-008-6 1.4, CIP-008-6 R2, CIP-008-6 2.2, CIP-008-6 R3</t>
  </si>
  <si>
    <t xml:space="preserve">2.S</t>
  </si>
  <si>
    <t xml:space="preserve">RESPONSE-1a, RESPONSE-3b, RESPONSE-3d, RESPONSE-3e, RESPONSE-3f, RESPONSE-3l</t>
  </si>
  <si>
    <t xml:space="preserve">ID.IM-04, DE.AE-06, RS, RS.MA, RS.MA-01, RS.MA-02, RS.MA-04, RS.MI</t>
  </si>
  <si>
    <t xml:space="preserve">IR-8</t>
  </si>
  <si>
    <t xml:space="preserve">IAM-09, IMT-01</t>
  </si>
  <si>
    <t xml:space="preserve">5.24, 5.26</t>
  </si>
  <si>
    <t xml:space="preserve">IRO-04.1</t>
  </si>
  <si>
    <t xml:space="preserve">Data Breach</t>
  </si>
  <si>
    <t xml:space="preserve">Mechanisms exist to address data breaches, or other incidents involving the unauthorized disclosure of sensitive or regulated data, according to applicable laws, regulations and contractual obligations.</t>
  </si>
  <si>
    <t xml:space="preserve">Does the organization address data breaches, or other incidents involving the unauthorized disclosure of sensitive or regulated data, according to applicable laws, regulations and contractual obligations?</t>
  </si>
  <si>
    <t xml:space="preserve">The organization implements and operates mechanisms to address data breaches, or other incidents involving the unauthorized disclosure of sensitive or regulated data, according to applicable laws, regulations and contractual obligations.
Within the OT and AMI environment, this objective integrates OT and AMI responders, system operations and vendors into incident handling and addresses OT-specific scenarios while preserving safety and service continuity.</t>
  </si>
  <si>
    <t xml:space="preserve">Legal and the Privacy Officer are responsible for:
a. Ensuring the incident response plan for breaches involving Personal Data (PD) includes a process to determine if notice to individuals or other organizations, including oversight organizations, is needed;
b. Ensuring the incident response plan for breaches involving Personal Data (PD) includes an assessment process to determine the extent of the harm, embarrassment, inconvenience or unfairness to affected individuals and any mechanisms to mitigate such harms;
c. Ensuring the incident response plan for breaches involving Personal Data (PD) includes the identification of applicable privacy requirements;
d. Maintaining OT and AMI incident response playbooks (e.g., unauthorized control or disconnect commands, head-end compromise, firmware tampering, loss of communications) that define safe containment actions and operational coordination;
e. Defining regulatory and sector reporting obligations and timelines for OT and AMI incidents (e.g., NERC CIP-008, CISA, state utility commission) and the roles responsible for reporting; and
f.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</si>
  <si>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In-scope requirement alignment: CSA IoT SCF: GVN-06 | NIST Privacy Framework: CM.AW-P7, CM.AW-P8 | NIST SP 800-53B Privacy: IR-08(01).
Validation: Annual conformity validation; evidence artifacts to be defined; PPTDF applicability: Process.</t>
  </si>
  <si>
    <t xml:space="preserve">IR-08(01)</t>
  </si>
  <si>
    <t xml:space="preserve">CM.AW-P7, CM.AW-P8</t>
  </si>
  <si>
    <t xml:space="preserve">5.25</t>
  </si>
  <si>
    <t xml:space="preserve">IRO-04.2</t>
  </si>
  <si>
    <t xml:space="preserve">IRP Update</t>
  </si>
  <si>
    <t xml:space="preserve">Mechanisms exist to regularly review and modify incident response practices to incorporate lessons learned, business process changes and industry developments, as necessary.</t>
  </si>
  <si>
    <t xml:space="preserve">Does the organization regularly review and modify incident response practices to incorporate lessons learned, business process changes and industry developments, as necessary?</t>
  </si>
  <si>
    <t xml:space="preserve">E-IRO-07</t>
  </si>
  <si>
    <t xml:space="preserve">NIST SP 800-82 R3 - Moderate OT Overlay; NERC CIP; CISA Cross-Sector Cybersecurity Performance Goals; NIST Cybersecurity Framework 2.0; NIST SP 800-161 R1 - C-SCRM Baseline; NIST SP 800-53B R5 - Privacy baseline</t>
  </si>
  <si>
    <t xml:space="preserve">The organization implements and operates mechanisms to regularly review and modify incident response practices to incorporate lessons learned, business process changes and industry developments, as necessary.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</si>
  <si>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 official to manage the incident response policy / procedures is defined;
b. Ensuring the frequency at which the current incident response policy / procedures is reviewed / updated is defined;
c. Ensuring events that would require the current incident response policy / procedures to be reviewed / updated are defined;
d. Ensuring the current incident response policy / procedures are reviewed / updated organization-defined frequency;
e. Ensuring the current incident response policy / procedures are reviewed / updated following organization-defined events;
f. Ensuring the incident response plan is updated to address system and organizational changes or problems encountered during plan implementation, execution, or testing;
g. Ensuring personnel or roles to whom the incident response policy / procedures is to be disseminated are defined;
h. Ensuring an incident response policy is developed and documented;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</si>
  <si>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IR-01 | NERC CIP: CIP-008-6 3.1.2, CIP-008-6 3.1.3, CIP-008-6 3.2.1, CIP-008-6 3.2.2 | CISA CPG: 2.S | NIST CSF 2.0: ID.IM-04 | NIST SP 800-161 R1 C-SCRM: IR-1 | NIST SP 800-53B Privacy: IR-01.
Validation: Quarterly conformity validation; evidence artifacts E-IRO-07; PPTDF applicability: Process.</t>
  </si>
  <si>
    <t xml:space="preserve">CIP-008-6 3.1.2, CIP-008-6 3.1.3, CIP-008-6 3.2.1, CIP-008-6 3.2.2</t>
  </si>
  <si>
    <t xml:space="preserve">IRO-04.3</t>
  </si>
  <si>
    <t xml:space="preserve">Continuous Incident Response Improvements</t>
  </si>
  <si>
    <t xml:space="preserve">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</si>
  <si>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 xml:space="preserve">Does the organization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</si>
  <si>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 xml:space="preserve">The organization implements and operates mechanisms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</si>
  <si>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qualitative / quantitative data from testing are used to determine the effectiveness of incident response processes;
b. Ensuring qualitative / quantitative data from testing are used to continuously improve incident response processes;
c. Ensuring qualitative / quantitative data from testing are used to provide incident response measures and metrics that are accurate;
d. Ensuring qualitative / quantitative data from testing are used to provide incident response measures and metrics that are consistent;
e. Ensuring qualitative / quantitative data from testing are used to provide incident response measures and metrics in a reproducible format;
f. Maintaining OT and AMI incident response playbooks (e.g., unauthorized control or disconnect commands, head-end compromise, firmware tampering, loss of communications) that define safe containment actions and operational coordination;
g. Defining regulatory and sector reporting obligations and timelines for OT and AMI incidents (e.g., NERC CIP-008, CISA, state utility commission) and the roles responsible for reporting; and
h.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</si>
  <si>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ITIL 4 ∙ Incident and problem management.
In-scope requirement alignment: CISA CPG: 2.S.
Validation: Annual conformity validation; evidence artifacts to be defined; PPTDF applicability: Process.</t>
  </si>
  <si>
    <t xml:space="preserve">IR-03(03)</t>
  </si>
  <si>
    <t xml:space="preserve">∙ ITIL 4 (https://axelos.com) ∙ Incident and problem management</t>
  </si>
  <si>
    <t xml:space="preserve">IRO-05</t>
  </si>
  <si>
    <t xml:space="preserve">Incident Response Training</t>
  </si>
  <si>
    <t xml:space="preserve">Mechanisms exist to train personnel in their incident response roles and responsibilities.</t>
  </si>
  <si>
    <t xml:space="preserve">Does the organization train personnel in their incident response roles and responsibilities?</t>
  </si>
  <si>
    <t xml:space="preserve">E-IRO-05, E-IRO-06</t>
  </si>
  <si>
    <t xml:space="preserve">The organization implements and operates mechanisms to train personnel in their incident response roles and responsibilities.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</si>
  <si>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incident response training for system users consistent with assigned roles and responsibilities is provided within an organization-defined time period of assuming an incident response role or responsibility or acquiring system access;
b. Ensuring events that initiate a review of the incident response training content are defined;
c. Ensuring incident response training content is updated per an organization-defined frequency;
d. Ensuring incident response training content is reviewed / updated following organization-defined events;
e. Ensuring the time period within which incident response training is to be provided to system users is defined;
f. Ensuring the frequency at which to provide incident response training to users after initial training is defined;
g. Ensuring the frequency at which to review and update incident response training content is defined;
h. Ensuring incident response training is provided to system users consistent with assigned roles and responsibilities when required by system changes;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</si>
  <si>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ITIL 4 ∙ Incident and problem management.
In-scope requirement alignment: NIST SP 800-82 R3 (Moderate OT overlay): IR-02 | NERC CIP: CIP-008-6 3.1.3, CIP-008-6 3.2.2 | NIST SP 800-161 R1 C-SCRM: IR-2 | NIST SP 800-53B Privacy: IR-02, IR-02(03).
Validation: Annual conformity validation; evidence artifacts E-IRO-05, E-IRO-06; PPTDF applicability: Process.</t>
  </si>
  <si>
    <t xml:space="preserve">IR-02, IR-02(03)</t>
  </si>
  <si>
    <t xml:space="preserve">IR-02</t>
  </si>
  <si>
    <t xml:space="preserve">CIP-008-6 3.1.3, CIP-008-6 3.2.2</t>
  </si>
  <si>
    <t xml:space="preserve">IR-2</t>
  </si>
  <si>
    <t xml:space="preserve">5.29</t>
  </si>
  <si>
    <t xml:space="preserve">IRO-06</t>
  </si>
  <si>
    <t xml:space="preserve">Incident Response Testing</t>
  </si>
  <si>
    <t xml:space="preserve">Mechanisms exist to formally test incident response capabilities through realistic exercises to determine the operational effectiveness of those capabilities.</t>
  </si>
  <si>
    <t xml:space="preserve">Does the organization formally test incident response capabilities through realistic exercises to determine the operational effectiveness of those capabilities?</t>
  </si>
  <si>
    <t xml:space="preserve">E-IRO-04</t>
  </si>
  <si>
    <t xml:space="preserve">NIST SP 800-82 R3 - Moderate OT Overlay; NERC CIP; CISA Cross-Sector Cybersecurity Performance Goals; NIST SP 800-53B R5 - Moderate baseline; DOE Cybersecurity Capability Maturity Model; NIST Privacy Framework 1.0; NIST SP 800-53B R5 - Privacy baseline</t>
  </si>
  <si>
    <t xml:space="preserve">The organization implements and operates mechanisms to formally test incident response capabilities through realistic exercises to determine the operational effectiveness of those capabilities.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</si>
  <si>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the frequency at which to test the effectiveness of the incident response capability for the system is defined;
b. Ensuring tests used to test the effectiveness of the incident response capability for the system are defined;
c. Ensuring the incident response capability is tested;
d. Ensuring the effectiveness of the incident response capability is tested per an organization-defined frequency;
e. Ensuring a frequency at which to test intrusion-monitoring tools and mechanisms is defined;
f. Ensuring intrusion-monitoring tools and mechanisms are tested frequently;
g. Maintaining OT and AMI incident response playbooks (e.g., unauthorized control or disconnect commands, head-end compromise, firmware tampering, loss of communications) that define safe containment actions and operational coordination;
h. Defining regulatory and sector reporting obligations and timelines for OT and AMI incidents (e.g., NERC CIP-008, CISA, state utility commission) and the roles responsible for reporting; and
i.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</si>
  <si>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"Table Top" incident response exercises (rock drills); "Red team vs blue team" exercises; EICAR test file antimalware detection and response exercises.
In-scope requirement alignment: NIST SP 800-82 R3 (Moderate OT overlay): IR-03 | NERC CIP: CIP-008-6 2.1, CIP-008-6 3.1 | CISA CPG: 2.S | DOE C2M2: RESPONSE-3g | NIST SP 800-53B Moderate: IR-03 | NIST Privacy Framework: PR.PO-P8 | NIST SP 800-53B Privacy: IR-03.
Validation: Annual conformity validation; evidence artifacts E-IRO-04; PPTDF applicability: Process.</t>
  </si>
  <si>
    <t xml:space="preserve">IR-03, SI-04(09)</t>
  </si>
  <si>
    <t xml:space="preserve">IR-03</t>
  </si>
  <si>
    <t xml:space="preserve">CIP-008-6 2.1, CIP-008-6 3.1</t>
  </si>
  <si>
    <t xml:space="preserve">RESPONSE-3g</t>
  </si>
  <si>
    <t xml:space="preserve">5.30</t>
  </si>
  <si>
    <t xml:space="preserve">∙ "Table Top" incident response exercises (rock drills)
∙ "Red team vs blue team" exercises
∙ EICAR test file antimalware detection and response exercises</t>
  </si>
  <si>
    <t xml:space="preserve">IRO-06.1</t>
  </si>
  <si>
    <t xml:space="preserve">Coordination with Related Plans</t>
  </si>
  <si>
    <t xml:space="preserve">Mechanisms exist to coordinate incident response testing with organizational elements responsible for related plans.</t>
  </si>
  <si>
    <t xml:space="preserve">Does the organization coordinate incident response testing with organizational elements responsible for related plans?</t>
  </si>
  <si>
    <t xml:space="preserve">The organization implements and operates mechanisms to coordinate incident response testing with organizational elements responsible for related plans.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</si>
  <si>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incident response testing is coordinated with organizational elements responsible for related plans;
b. Maintaining OT and AMI incident response playbooks (e.g., unauthorized control or disconnect commands, head-end compromise, firmware tampering, loss of communications) that define safe containment actions and operational coordination;
c. Defining regulatory and sector reporting obligations and timelines for OT and AMI incidents (e.g., NERC CIP-008, CISA, state utility commission) and the roles responsible for reporting; and
d.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</si>
  <si>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IR-03(02) | DOE C2M2: RESPONSE-3j | NIST CSF 2.0: RS.CO | NIST SP 800-53B Moderate: IR-03(02).
Validation: Annual conformity validation; evidence artifacts E-IRO-01; PPTDF applicability: Process.</t>
  </si>
  <si>
    <t xml:space="preserve">IR-03(02)</t>
  </si>
  <si>
    <t xml:space="preserve">RESPONSE-3j</t>
  </si>
  <si>
    <t xml:space="preserve">RS.CO</t>
  </si>
  <si>
    <t xml:space="preserve">IRO-07</t>
  </si>
  <si>
    <t xml:space="preserve">Integrated Security Incident Response Team (ISIRT)</t>
  </si>
  <si>
    <t xml:space="preserve">Mechanisms exist to establish an integrated team of cybersecurity, IT and business function representatives that are capable of addressing cybersecurity and data protection incident response operations.</t>
  </si>
  <si>
    <t xml:space="preserve">Does the organization establish an integrated team of cybersecurity, IT and business function representatives that are capable of addressing cybersecurity and data protection incident response operations?</t>
  </si>
  <si>
    <t xml:space="preserve">E-IRO-01, E-IRO-09</t>
  </si>
  <si>
    <t xml:space="preserve">NERC CIP; NIST Cybersecurity Framework 2.0; DOE Cybersecurity Capability Maturity Model; CSA IoT Security Controls Framework v2</t>
  </si>
  <si>
    <t xml:space="preserve">The organization implements and operates mechanisms to establish an integrated team of cybersecurity, IT and business function representatives that are capable of addressing cybersecurity and data protection incident response operations.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</si>
  <si>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 integrated incident response team is established and maintained;
b. Ensuring the time period within which an integrated incident response team can be deployed is defined;
c. Ensuring the cyber incident response team can be deployed by the organization within an organization-defined time period;
d. Ensuring an incident response support resource that offers advice and assistance to system users on handling and reporting incidents is provided;
e. Ensuring suspected incidents are reported to the organizational incident response capability within an organization-defined time period;
f. Ensuring a time period for deploying a cyber incident response team is defined;
g. Ensuring the cyber incident response team is maintained;
h. Maintaining OT and AMI incident response playbooks (e.g., unauthorized control or disconnect commands, head-end compromise, firmware tampering, loss of communications) that define safe containment actions and operational coordination;
i. Defining regulatory and sector reporting obligations and timelines for OT and AMI incidents (e.g., NERC CIP-008, CISA, state utility commission) and the roles responsible for reporting; and
j.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</si>
  <si>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Security Incident Response Team (ISIRT).
In-scope requirement alignment: NERC CIP: CIP-008-6 1.3 | DOE C2M2: RESPONSE-3a | NIST CSF 2.0: DE.AE-06, RS, RS.MA, RS.MA-01, RS.MA-04 | CSA IoT SCF: IMT-01.
Validation: Annual conformity validation; evidence artifacts E-IRO-01, E-IRO-09; PPTDF applicability: Process.</t>
  </si>
  <si>
    <t xml:space="preserve">IR-04(11)</t>
  </si>
  <si>
    <t xml:space="preserve">CIP-008-6 1.3</t>
  </si>
  <si>
    <t xml:space="preserve">RESPONSE-3a</t>
  </si>
  <si>
    <t xml:space="preserve">DE.AE-06, RS, RS.MA, RS.MA-01, RS.MA-04</t>
  </si>
  <si>
    <t xml:space="preserve">5.25, 5.26</t>
  </si>
  <si>
    <t xml:space="preserve">∙ Integrated Security Incident Response Team (ISIRT)</t>
  </si>
  <si>
    <t xml:space="preserve">IRO-08</t>
  </si>
  <si>
    <t xml:space="preserve">Chain of Custody &amp; Forensics</t>
  </si>
  <si>
    <t xml:space="preserve">Mechanisms exist to perform digital forensics and maintain the integrity of the chain of custody, in accordance with applicable laws, regulations and industry-recognized secure practices.</t>
  </si>
  <si>
    <t xml:space="preserve">Does the organization perform digital forensics and maintain the integrity of the chain of custody, in accordance with applicable laws, regulations and industry-recognized secure practices?</t>
  </si>
  <si>
    <t xml:space="preserve">E-IRO-01, E-IRO-10</t>
  </si>
  <si>
    <t xml:space="preserve">NERC CIP; NIST Cybersecurity Framework 2.0; CSA IoT Security Controls Framework v2; NIST SP 800-53B R5 - Privacy baseline</t>
  </si>
  <si>
    <t xml:space="preserve">The organization implements and operates mechanisms to perform digital forensics and maintain the integrity of the chain of custody, in accordance with applicable laws, regulations and industry-recognized secure practices.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</si>
  <si>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reviewer or releaser credentials are maintained within the established chain of custody for information reviewed or released;
b. Maintaining OT and AMI incident response playbooks (e.g., unauthorized control or disconnect commands, head-end compromise, firmware tampering, loss of communications) that define safe containment actions and operational coordination;
c. Defining regulatory and sector reporting obligations and timelines for OT and AMI incidents (e.g., NERC CIP-008, CISA, state utility commission) and the roles responsible for reporting; and
d.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</si>
  <si>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Chain of custody procedures; OpenText Encase; AccessData Forensic Toolkit (FTK); Extero.
In-scope requirement alignment: NERC CIP: CIP-008-6 2.3, CIP-009-6 1.5 | NIST CSF 2.0: RS.AN, RS.AN-06, RS.AN-07 | CSA IoT SCF: IMT-01 | NIST SP 800-53B Privacy: IR-04(12).
Validation: Annual conformity validation; evidence artifacts E-IRO-01, E-IRO-10; PPTDF applicability: Data.</t>
  </si>
  <si>
    <t xml:space="preserve">AU-10(03), IR-04(12)</t>
  </si>
  <si>
    <t xml:space="preserve">CIP-008-6 2.3, CIP-009-6 1.5</t>
  </si>
  <si>
    <t xml:space="preserve">RS.AN, RS.AN-06, RS.AN-07</t>
  </si>
  <si>
    <t xml:space="preserve">IR-04(12)</t>
  </si>
  <si>
    <t xml:space="preserve">SG.AU Audit and Accountability; SG.IR Incident Response</t>
  </si>
  <si>
    <t xml:space="preserve">5.26, 5.28</t>
  </si>
  <si>
    <t xml:space="preserve">∙ Chain of custody procedures
∙ OpenText Encase (https://opentext.com)
∙ AccessData Forensic Toolkit (FTK) (https://pluralsight.com)
∙ Extero (https://exterro.com)</t>
  </si>
  <si>
    <t xml:space="preserve">IRO-09</t>
  </si>
  <si>
    <t xml:space="preserve">Situational Awareness For Incidents</t>
  </si>
  <si>
    <t xml:space="preserve">Mechanisms exist to document, monitor and report the status of cybersecurity and data protection incidents to internal stakeholders all the way through the resolution of the incident.</t>
  </si>
  <si>
    <t xml:space="preserve">Does the organization document, monitor and report the status of cybersecurity and data protection incidents to internal stakeholders all the way through the resolution of the incident?</t>
  </si>
  <si>
    <t xml:space="preserve">The organization implements and operates mechanisms to document, monitor and report the status of cybersecurity and data protection incidents to internal stakeholders all the way through the resolution of the incident.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</si>
  <si>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suspected incidents are reported to the organizational incident response capability within an organization-defined time period;
b. Ensuring system security incidents are tracked / reported to internal stakeholders;
c. Ensuring system security incidents are documented;
d. Ensuring system security incidents are tracked;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</si>
  <si>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IR-05 | NERC CIP: CIP-008-6 2.3 | CISA CPG: 1.D | DOE C2M2: RESPONSE-1c, RESPONSE-2f | NIST CSF 2.0: DE.AE-06, RS, RS.AN-06, RS.CO, RC.RP-06 | NIST SP 800-161 R1 C-SCRM: IR-5 | NIST SP 800-53B Privacy: IR-05.
Validation: Annual conformity validation; evidence artifacts E-IRO-03; PPTDF applicability: Process.</t>
  </si>
  <si>
    <t xml:space="preserve">IR-05</t>
  </si>
  <si>
    <t xml:space="preserve">CIP-008-6 2.3</t>
  </si>
  <si>
    <t xml:space="preserve">RESPONSE-1c, RESPONSE-2f</t>
  </si>
  <si>
    <t xml:space="preserve">DE.AE-06, RS, RS.AN-06, RS.CO, RC.RP-06</t>
  </si>
  <si>
    <t xml:space="preserve">IR-5</t>
  </si>
  <si>
    <t xml:space="preserve">IRO-09.3</t>
  </si>
  <si>
    <t xml:space="preserve">Incident Tracking Repository</t>
  </si>
  <si>
    <t xml:space="preserve">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</si>
  <si>
    <t xml:space="preserve">Does the organization maintain a repository of cybersecurity events and incidents that documents:
(1) Details of the incident (e.g., category, severity, affected parties, etc.);
(2) Remediation actions taken through incident closure; and
(3) A summary from the Root Cause Analysis (RCA), if applicable?</t>
  </si>
  <si>
    <t xml:space="preserve">The organization implements and operates mechanisms to maintain a repository of cybersecurity events and incidents that documents: (1) Details of the incident (e.g., category, severity, affected parties, etc.); (2) Remediation actions taken through incident closure; and (3) A summary from the Root Cause Analysis (RCA), if applicable.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</si>
  <si>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 repository to document cybersecurity events and incidents is defined;
b. Ensuring details of the incident (e.g., category, severity, affected parties, etc.) are documented in the repository;
c. Ensuring remediation actions taken through incident closure are documented in the repository;
d. Ensuring a summary from the Root Cause Analysis (RCA) are documented in the repository, if applicable;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</si>
  <si>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DOE C2M2: RESPONSE-2f.
Validation: Quarterly conformity validation; evidence artifacts to be defined; PPTDF applicability: Process.</t>
  </si>
  <si>
    <t xml:space="preserve">RESPONSE-2f</t>
  </si>
  <si>
    <t xml:space="preserve">IRO-09.4</t>
  </si>
  <si>
    <t xml:space="preserve">Incident Pattern Analysis</t>
  </si>
  <si>
    <t xml:space="preserve">Mechanisms exist to analyze historical incidents in aggregate to identify:
(1) Patterns;
(2) Trends; and 
(3) Other common root causes in order to address the vulnerability and risk.</t>
  </si>
  <si>
    <t xml:space="preserve">Does the organization analyze historical incidents in aggregate to identify:
(1) Patterns;
(2) Trends; and 
(3) Other common root causes in order to address the vulnerability and risk?</t>
  </si>
  <si>
    <t xml:space="preserve">The organization implements and operates mechanisms to analyze historical incidents in aggregate to identify: (1) Patterns; (2) Trends; and (3) Other common root causes in order to address the vulnerability and risk.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</si>
  <si>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 method to analyze historical incidents in aggregate is defined;
b. Ensuring historical incidents are analyzed in aggregate to identify patterns;
c. Ensuring historical incidents are analyzed in aggregate to identify trends;
d. Ensuring historical incidents are analyzed in aggregate to identify other common root causes in order to address the vulnerability and risk;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</si>
  <si>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DOE C2M2: RESPONSE-2i.
Validation: Annual conformity validation; evidence artifacts to be defined; PPTDF applicability: Process.</t>
  </si>
  <si>
    <t xml:space="preserve">RESPONSE-2i</t>
  </si>
  <si>
    <t xml:space="preserve">IRO-10</t>
  </si>
  <si>
    <t xml:space="preserve">Incident Stakeholder Reporting</t>
  </si>
  <si>
    <t xml:space="preserve">Mechanisms exist to timely-report incidents to applicable:
(1) Internal stakeholders; 
(2) Affected clients &amp; third-parties; and
(3) Regulatory authorities.</t>
  </si>
  <si>
    <t xml:space="preserve">Does the organization timely-report incidents to applicable:
 (1) Internal stakeholders; 
 (2) Affected clients &amp; third-parties; and
 (3) Regulatory authorities?</t>
  </si>
  <si>
    <t xml:space="preserve">E-IRO-01, E-IRO-11, E-IRO-13</t>
  </si>
  <si>
    <t xml:space="preserve">NIST SP 800-82 R3 - Moderate OT Overlay; NERC CIP; CISA Cross-Sector Cybersecurity Performance Goals; NIST Cybersecurity Framework 2.0; DOE Cybersecurity Capability Maturity Model; NIST Privacy Framework 1.0; NIST SP 800-53B R5 - Privacy baseline</t>
  </si>
  <si>
    <t xml:space="preserve">The organization implements and operates mechanisms to timely-report incidents to applicable: (1) Internal stakeholders; (2) Affected clients &amp; third-parties; and (3) Regulatory authorities.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</si>
  <si>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the time period to report suspected incidents to the organizational incident response capability is defined;
b. Ensuring authorities to whom incident information is to be reported are defined;
c. Ensuring personnel are required to report suspected incidents to the organizational incident response capability within an organization-defined time period;
d. Ensuring incident information is reported to organization-defined authorities;
e. Ensuring suspected incidents are reported to the organizational incident response capability within an organization-defined time period;
f. Ensuring an incident response support resource that offers advice and assistance to system users on handling and reporting incidents is provided; and
g. Reporting OT and AMI incidents to regulators, sector partners and customers in accordance with applicable obligations (e.g., NERC CIP-008, CISA, state utility commission, customer notification laws) and documented timelines.</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</si>
  <si>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IR-06 | NERC CIP: CIP-008-6 4.2, CIP-008-6 4.3 | CISA CPG: 4.A | DOE C2M2: RESPONSE-2g, RESPONSE-3c | NIST CSF 2.0: DE.AE-06, RS, RS.MA-01, RS.CO, RS.CO-02, RS.CO-03 | NIST Privacy Framework: CM.AW-P7 | NIST SP 800-53B Privacy: IR-06.
Validation: Annual conformity validation; evidence artifacts E-IRO-01, E-IRO-11, E-IRO-13; PPTDF applicability: Process.</t>
  </si>
  <si>
    <t xml:space="preserve">CIP-008-6 4.2, CIP-008-6 4.3</t>
  </si>
  <si>
    <t xml:space="preserve">RESPONSE-2g, RESPONSE-3c</t>
  </si>
  <si>
    <t xml:space="preserve">DE.AE-06, RS, RS.MA-01, RS.CO, RS.CO-02, RS.CO-03</t>
  </si>
  <si>
    <t xml:space="preserve">CM.AW-P7</t>
  </si>
  <si>
    <t xml:space="preserve">6.8</t>
  </si>
  <si>
    <t xml:space="preserve">IRO-10.1</t>
  </si>
  <si>
    <t xml:space="preserve">Automated Reporting</t>
  </si>
  <si>
    <t xml:space="preserve">Automated mechanisms exist to assist in the reporting of cybersecurity and data protection incidents.</t>
  </si>
  <si>
    <t xml:space="preserve">Does the organization use automated mechanisms to assist in the reporting of cybersecurity and data protection incidents?</t>
  </si>
  <si>
    <t xml:space="preserve">The organization implements and operates automated mechanisms to assist in the reporting of cybersecurity and data protection incidents.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</si>
  <si>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automated mechanisms used for reporting incidents are defined;
b. Ensuring incidents are reported using automated mechanisms;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</si>
  <si>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IR-06(01) | NIST SP 800-53B Moderate: IR-06(01).
Validation: Quarterly conformity validation; evidence artifacts to be defined; PPTDF applicability: Technology.</t>
  </si>
  <si>
    <t xml:space="preserve">IR-06(01)</t>
  </si>
  <si>
    <t xml:space="preserve">IRO-10.2</t>
  </si>
  <si>
    <t xml:space="preserve">Cyber Incident Reporting for Sensitive / Regulated Data</t>
  </si>
  <si>
    <t xml:space="preserve">Mechanisms exist to report sensitive and/or regulated data incidents in a timely manner.</t>
  </si>
  <si>
    <t xml:space="preserve">Does the organization report sensitive and/or regulated data incidents in a timely manner?</t>
  </si>
  <si>
    <t xml:space="preserve">E-IRO-01, E-IRO-11</t>
  </si>
  <si>
    <t xml:space="preserve">The organization implements and operates mechanisms to report sensitive and/or regulated data incidents in a timely manner.
Within the OT and AMI environment, this objective integrates OT and AMI responders, system operations and vendors into incident handling and addresses OT-specific scenarios while preserving safety and service continuity.</t>
  </si>
  <si>
    <t xml:space="preserve">The Chief Information Security Officer (CISO), in coordination with the OT Security Lead, is responsible for:
a. Ensuring sensitive / regulated data incidents are reported in a timely manner;
b. Ensuring authorities to whom incident information is to be reported are defined;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</si>
  <si>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Integrated Security Incident Response Team (ISIRT).
In-scope requirement alignment: NERC CIP: CIP-008-6 4.2 | DOE C2M2: RESPONSE-2g, RESPONSE-3c | NIST CSF 2.0: RS.CO, RS.CO-02, RS.CO-03 | NIST Privacy Framework: CM.AW-P7.
Validation: Annual conformity validation; evidence artifacts E-IRO-01, E-IRO-11; PPTDF applicability: Process.</t>
  </si>
  <si>
    <t xml:space="preserve">CIP-008-6 4.2</t>
  </si>
  <si>
    <t xml:space="preserve">RS.CO, RS.CO-02, RS.CO-03</t>
  </si>
  <si>
    <t xml:space="preserve">∙ Integrated Incident Response Program (IIRP)
∙ Integrated Security Incident Response Team (ISIRT)</t>
  </si>
  <si>
    <t xml:space="preserve">IRO-10.3</t>
  </si>
  <si>
    <t xml:space="preserve">Vulnerabilities Related To Incidents</t>
  </si>
  <si>
    <t xml:space="preserve">Mechanisms exist to report system vulnerabilities associated with reported cybersecurity and data protection incidents to organization-defined personnel or roles.</t>
  </si>
  <si>
    <t xml:space="preserve">Does the organization report system vulnerabilities associated with reported cybersecurity and data protection incidents to organization-defined personnel or roles?</t>
  </si>
  <si>
    <t xml:space="preserve">The organization implements and operates mechanisms to report system vulnerabilities associated with reported cybersecurity and data protection incidents to organization-defined personnel or roles.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</si>
  <si>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personnel or roles to whom system vulnerabilities associated with reported incidents are reported to is/are defined;
b. Ensuring system vulnerabilities associated with reported incidents are reported to personnel or roles;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</si>
  <si>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800-53B Privacy: IR-06(02).
Validation: Annual conformity validation; evidence artifacts to be defined; PPTDF applicability: Process.</t>
  </si>
  <si>
    <t xml:space="preserve">IR-06(02)</t>
  </si>
  <si>
    <t xml:space="preserve">8.8</t>
  </si>
  <si>
    <t xml:space="preserve">IRO-10.4</t>
  </si>
  <si>
    <t xml:space="preserve">Supply Chain Coordination</t>
  </si>
  <si>
    <t xml:space="preserve">Mechanisms exist to provide cybersecurity and data protection incident information to the provider of the Technology Assets, Applications and/or Services (TAAS) and other organizations involved in the supply chain for TAAS related to the incident.</t>
  </si>
  <si>
    <t xml:space="preserve">Does the organization provide cybersecurity and data protection incident information to the provider of the Technology Assets, Applications and/or Services (TAAS) and other organizations involved in the supply chain for TAAS related to the incident?</t>
  </si>
  <si>
    <t xml:space="preserve">E-RSK-02</t>
  </si>
  <si>
    <t xml:space="preserve">NIST SP 800-82 R3 - Moderate OT Overlay; NERC CIP; NIST Cybersecurity Framework 2.0; NIST SP 800-53B R5 - Moderate baseline; NIST SP 800-53B R5 - Privacy baseline</t>
  </si>
  <si>
    <t xml:space="preserve">The organization implements and operates mechanisms to provide cybersecurity and data protection incident information to the provider of the Technology Assets, Applications and/or Services (TAAS) and other organizations involved in the supply chain for TAAS related to the incident.
Within the OT and AMI environment, this objective integrates OT and AMI responders, system operations and vendors into incident handling and addresses OT-specific scenarios while preserving safety and service continuity.</t>
  </si>
  <si>
    <t xml:space="preserve">The Information Risk Manager, in coordination with OT Engineering, is responsible for:
a. Ensuring incident handling activities involving supply chain events are coordinated with other organizations involved in the supply chain;
b. Ensuring incident information is provided to the provider of the product or service and other organizations involved in the supply chain or supply chain governance for systems or system components related to the incident;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</si>
  <si>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IR-06(03) | NERC CIP: CIP-013-2 1.2.2 | NIST CSF 2.0: RS.CO, RS.CO-02, RS.CO-03 | NIST SP 800-53B Moderate: IR-06(03) | NIST SP 800-53B Privacy: IR-04(10).
Validation: Annual conformity validation; evidence artifacts E-RSK-02; PPTDF applicability: Process.</t>
  </si>
  <si>
    <t xml:space="preserve">IR-04(10), IR-06(03)</t>
  </si>
  <si>
    <t xml:space="preserve">IR-06(03)</t>
  </si>
  <si>
    <t xml:space="preserve">CIP-013-2 1.2.2</t>
  </si>
  <si>
    <t xml:space="preserve">IR-04(10)</t>
  </si>
  <si>
    <t xml:space="preserve">5.20</t>
  </si>
  <si>
    <t xml:space="preserve">IRO-10.5</t>
  </si>
  <si>
    <t xml:space="preserve">Serious Incident Reporting</t>
  </si>
  <si>
    <t xml:space="preserve">Mechanisms exist to report any serious incident involving the organization's Technology Assets, Applications, Services and/or Data (TAASD) to relevant authorities in the locality where the incident occurred, in accordance with mandatory reporting:
(1) Requirements; and
(2) Timelines.</t>
  </si>
  <si>
    <t xml:space="preserve">Does the organization report any serious incident involving its Technology Assets, Applications, Services and/or Data (TAASD) to relevant authorities in the locality where the incident occurred, in accordance with mandatory reporting:
(1) Requirements; and
(2) Timelines?</t>
  </si>
  <si>
    <t xml:space="preserve">The organization implements and operates mechanisms to report any serious incident involving the organization's Technology Assets, Applications, Services and/or Data (TAASD) to relevant authorities in the locality where the incident occurred, in accordance with mandatory reporting: (1) Requirements; and (2) Timelines.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</si>
  <si>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serious incident involving the organization's systems, applications and/or services are reported to relevant authorities in the locality where the incident occurred, in accordance with legal requirements;
b. Maintaining OT and AMI incident response playbooks (e.g., unauthorized control or disconnect commands, head-end compromise, firmware tampering, loss of communications) that define safe containment actions and operational coordination;
c. Defining regulatory and sector reporting obligations and timelines for OT and AMI incidents (e.g., NERC CIP-008, CISA, state utility commission) and the roles responsible for reporting; and
d.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</si>
  <si>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NERC CIP: CIP-008-6 R4, CIP-008-6 4.1, CIP-008-6 4.1.1, CIP-008-6 4.1.2, CIP-008-6 4.1.3, CIP-008-6 4.2.
Validation: Annual conformity validation; evidence artifacts to be defined; PPTDF applicability: Process.</t>
  </si>
  <si>
    <t xml:space="preserve">CIP-008-6 R4, CIP-008-6 4.1, CIP-008-6 4.1.1, CIP-008-6 4.1.2, CIP-008-6 4.1.3, CIP-008-6 4.2</t>
  </si>
  <si>
    <t xml:space="preserve">IRO-11</t>
  </si>
  <si>
    <t xml:space="preserve">Incident Reporting Assistance</t>
  </si>
  <si>
    <t xml:space="preserve">Mechanisms exist to provide incident response advice and assistance to users of Technology Assets, Applications and/or Services (TAAS) for the handling and reporting of actual and potential cybersecurity and data protection incidents.</t>
  </si>
  <si>
    <t xml:space="preserve">Does the organization provide incident response advice and assistance to users of Technology Assets, Applications and/or Services (TAAS) for the handling and reporting of actual and potential cybersecurity and data protection incidents?</t>
  </si>
  <si>
    <t xml:space="preserve">The organization implements and operates mechanisms to provide incident response advice and assistance to users of Technology Assets, Applications and/or Services (TAAS) for the handling and reporting of actual and potential cybersecurity and data protection incidents.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</si>
  <si>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 incident response support resource that offers advice and assistance to system users on handling and reporting incidents is provided;
b. Ensuring the incident response support resource offers advice and assistance to users of the system for the response and reporting of incidents;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</si>
  <si>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IR-07 | NIST SP 800-53B Privacy: IR-07.
Validation: Annual conformity validation; evidence artifacts to be defined; PPTDF applicability: Process.</t>
  </si>
  <si>
    <t xml:space="preserve">IR-07</t>
  </si>
  <si>
    <t xml:space="preserve">IRO-11.1</t>
  </si>
  <si>
    <t xml:space="preserve">Automation Support of Availability of Information / Support</t>
  </si>
  <si>
    <t xml:space="preserve">Automated mechanisms exist to increase the availability of incident response-related information and support.</t>
  </si>
  <si>
    <t xml:space="preserve">Does the organization use automated mechanisms to increase the availability of incident response-related information and support?</t>
  </si>
  <si>
    <t xml:space="preserve">The organization implements and operates automated mechanisms to increase the availability of incident response-related information and support.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</si>
  <si>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automated mechanisms used to increase the availability of incident response information and support are defined;
b. Ensuring the availability of incident response information and support is increased using automated mechanisms;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</si>
  <si>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IR-07(01) | NIST SP 800-53B Moderate: IR-07(01).
Validation: Quarterly conformity validation; evidence artifacts to be defined; PPTDF applicability: Technology.</t>
  </si>
  <si>
    <t xml:space="preserve">IR-07(01)</t>
  </si>
  <si>
    <t xml:space="preserve">IRO-11.2</t>
  </si>
  <si>
    <t xml:space="preserve">Coordination With External Providers</t>
  </si>
  <si>
    <t xml:space="preserve">Mechanisms exist to establish a direct, cooperative relationship between the organization's incident response capability and external service providers.</t>
  </si>
  <si>
    <t xml:space="preserve">Does the organization establish a direct, cooperative relationship between its incident response capability and external service providers?</t>
  </si>
  <si>
    <t xml:space="preserve">The organization implements and operates mechanisms to establish a direct, cooperative relationship between the organization's incident response capability and external service providers.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</si>
  <si>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 direct, cooperative relationship is established between its incident response capability and external providers of the system protection capability;
b. Ensuring organizational incident response team members are identified to the external providers;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</si>
  <si>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DOE C2M2: RESPONSE-3j, RESPONSE-3k.
Validation: Annual conformity validation; evidence artifacts to be defined; PPTDF applicability: Process.</t>
  </si>
  <si>
    <t xml:space="preserve">IR-07(02)</t>
  </si>
  <si>
    <t xml:space="preserve">RESPONSE-3j, RESPONSE-3k</t>
  </si>
  <si>
    <t xml:space="preserve">IRO-12</t>
  </si>
  <si>
    <t xml:space="preserve">Sensitive / Regulated Data Spill Response</t>
  </si>
  <si>
    <t xml:space="preserve">Mechanisms exist to respond to sensitive and/or regulated data spills.</t>
  </si>
  <si>
    <t xml:space="preserve">Does the organization respond to sensitive and/or regulated data spills?</t>
  </si>
  <si>
    <t xml:space="preserve">E-IRO-12</t>
  </si>
  <si>
    <t xml:space="preserve">The organization implements and operates mechanisms to respond to sensitive and/or regulated data spills.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</si>
  <si>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actions to be performed are defined;
b. Ensuring the specific information involved in the system contamination is identified in response to information spills;
c. Ensuring personnel or roles is/are alerted of the information spill using a method of communication not associated with the spill;
d. Ensuring the contaminated system or system component is isolated in response to information spills;
e. Ensuring the information is eradicated from the contaminated system or component in response to information spills;
f. Ensuring other systems or system components that may have been subsequently contaminated are identified in response to information spills;
g. Ensuring actions are performed in response to information spills;
h. Ensuring sensitive / regulated data is removed from publicly accessible systems, if discovered;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</si>
  <si>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Integrated Security Incident Response Team (ISIRT).
In-scope requirement alignment: NIST Privacy Framework: PR.DS-P5 | NIST SP 800-53B Privacy: IR-09.
Validation: Semi-Annual conformity validation; evidence artifacts E-IRO-12; PPTDF applicability: Process.</t>
  </si>
  <si>
    <t xml:space="preserve">IR-09</t>
  </si>
  <si>
    <t xml:space="preserve">PR.DS-P5</t>
  </si>
  <si>
    <t xml:space="preserve">IRO-12.1</t>
  </si>
  <si>
    <t xml:space="preserve">Sensitive / Regulated Data Spill Responsible Personnel</t>
  </si>
  <si>
    <t xml:space="preserve">Mechanisms exist to formally assign personnel or roles with responsibility for responding to sensitive and/or regulated data spills.</t>
  </si>
  <si>
    <t xml:space="preserve">Does the organization formally assign personnel or roles with responsibility for responding to sensitive and/or regulated data spills?</t>
  </si>
  <si>
    <t xml:space="preserve">The organization implements and operates mechanisms to formally assign personnel or roles with responsibility for responding to sensitive and/or regulated data spills.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</si>
  <si>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personnel or roles assigned the responsibility for responding to information spills is/are defined;
b. Ensuring personnel or roles to be alerted of the information spill using a method of communication not associated with the spill is/are defined;
c. Ensuring personnel or roles is/are assigned the responsibility to respond to information spills;
d. Maintaining OT and AMI incident response playbooks (e.g., unauthorized control or disconnect commands, head-end compromise, firmware tampering, loss of communications) that define safe containment actions and operational coordination;
e. Defining regulatory and sector reporting obligations and timelines for OT and AMI incidents (e.g., NERC CIP-008, CISA, state utility commission) and the roles responsible for reporting; and
f.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</si>
  <si>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Integrated Security Incident Response Team (ISIRT).
In-scope requirement alignment: NIST SP 800-53B Privacy: IR-09.
Validation: Semi-Annual conformity validation; evidence artifacts to be defined; PPTDF applicability: Process.</t>
  </si>
  <si>
    <t xml:space="preserve">IRO-13</t>
  </si>
  <si>
    <t xml:space="preserve">Root Cause Analysis (RCA) &amp; Lessons Learned</t>
  </si>
  <si>
    <t xml:space="preserve">Mechanisms exist to incorporate lessons learned from analyzing and resolving cybersecurity and data protection incidents to reduce the likelihood or impact of future incidents.</t>
  </si>
  <si>
    <t xml:space="preserve">Does the organization incorporate lessons learned from analyzing and resolving cybersecurity and data protection incidents to reduce the likelihood or impact of future incidents?</t>
  </si>
  <si>
    <t xml:space="preserve">E-IRO-08</t>
  </si>
  <si>
    <t xml:space="preserve">NIST SP 800-82 R3 - Moderate OT Overlay; NERC CIP; CISA Cross-Sector Cybersecurity Performance Goals; NIST Cybersecurity Framework 2.0; DOE Cybersecurity Capability Maturity Model; NIST SP 800-161 R1 - C-SCRM Baseline; NIST Privacy Framework 1.0; NIST SP 800-53B R5 - Privacy baseline</t>
  </si>
  <si>
    <t xml:space="preserve">The organization implements and operates mechanisms to incorporate lessons learned from analyzing and resolving cybersecurity and data protection incidents to reduce the likelihood or impact of future incidents.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</si>
  <si>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 After Action Reviews (AARs), or a similar process, is conducted following incidents that require escalation to an Integrated Security Incident Response Team (ISIRT), or similar integrated team of cybersecurity, IT and business function representatives, are established to address a cybersecurity and/or data privacy incident response operations;
b. Ensuring events that would require the current incident response policy / procedures to be reviewed / updated are defined;
c. Ensuring incident response documentation is updated to address necessary changes to enable the timely and effective response to incidents;
d. Ensuring events that initiate a review of the incident response training content are defined;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</si>
  <si>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Root Cause Analysis (RCA).
In-scope requirement alignment: NIST SP 800-82 R3 (Moderate OT overlay): IR-01 | NERC CIP: CIP-008-6 3.1.1, CIP-008-6 3.1.2 | CISA CPG: 1.D | DOE C2M2: RESPONSE-3h, RESPONSE-3i | NIST CSF 2.0: ID.IM-02, ID.IM-03, RS.AN-03 | NIST SP 800-161 R1 C-SCRM: IR-1 | NIST Privacy Framework: GV.MT-P6 | NIST SP 800-53B Privacy: IR-01, IR-04(12), IR-06(02).
Validation: Annual conformity validation; evidence artifacts E-IRO-08; PPTDF applicability: Process.</t>
  </si>
  <si>
    <t xml:space="preserve">IR-01, IR-04(12), IR-06(02)</t>
  </si>
  <si>
    <t xml:space="preserve">CIP-008-6 3.1.1, CIP-008-6 3.1.2</t>
  </si>
  <si>
    <t xml:space="preserve">RESPONSE-3h, RESPONSE-3i</t>
  </si>
  <si>
    <t xml:space="preserve">ID.IM-02, ID.IM-03, RS.AN-03</t>
  </si>
  <si>
    <t xml:space="preserve">GV.MT-P6</t>
  </si>
  <si>
    <t xml:space="preserve">5.24, 5.27</t>
  </si>
  <si>
    <t xml:space="preserve">∙ Root Cause Analysis (RCA)</t>
  </si>
  <si>
    <t xml:space="preserve">IRO-14</t>
  </si>
  <si>
    <t xml:space="preserve">Regulatory &amp; Law Enforcement Contacts</t>
  </si>
  <si>
    <t xml:space="preserve">Mechanisms exist to maintain incident response contacts with applicable regulatory and law enforcement agencies.</t>
  </si>
  <si>
    <t xml:space="preserve">Does the organization maintain incident response contacts with applicable regulatory and law enforcement agencies?</t>
  </si>
  <si>
    <t xml:space="preserve">The organization implements and operates mechanisms to maintain incident response contacts with applicable regulatory and law enforcement agencies.
Within the OT and AMI environment, this objective integrates OT and AMI responders, system operations and vendors into incident handling and addresses OT-specific scenarios while preserving safety and service continuity.</t>
  </si>
  <si>
    <t xml:space="preserve">Legal and the Privacy Officer are responsible for:
a. Ensuring time period for personnel to report suspected incidents to the organizational incident response capability is defined;
b. Ensuring authorities to whom incident information is to be reported are defined;
c. Ensuring personnel are required to report suspected incidents to the organizational incident response capability within an organization-defined time period;
d. Ensuring incident information is reported to authorities;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</si>
  <si>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IR-06 | NIST SP 800-53B Privacy: IR-06.
Validation: Annual conformity validation; evidence artifacts to be defined; PPTDF applicability: Process.</t>
  </si>
  <si>
    <t xml:space="preserve">IRO-16</t>
  </si>
  <si>
    <t xml:space="preserve">Public Relations &amp; Reputation Repair</t>
  </si>
  <si>
    <t xml:space="preserve">Mechanisms exist to proactively manage public relations associated with incidents and employ appropriate measures to prevent further reputational damage and develop plans to repair any damage to the organization's reputation.</t>
  </si>
  <si>
    <t xml:space="preserve">Does the organization proactively manage public relations associated with incidents and employ appropriate measures to prevent further reputational damage and develop plans to repair any damage to its reputation?</t>
  </si>
  <si>
    <t xml:space="preserve">E-IRO-09</t>
  </si>
  <si>
    <t xml:space="preserve">The organization implements and operates mechanisms to proactively manage public relations associated with incidents and employ appropriate measures to prevent further reputational damage and develop plans to repair any damage to the organization's reputation.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</si>
  <si>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public relations associated with an incident are managed;
b. Ensuring measures are employed to repair the reputation of the organization;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</si>
  <si>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CSF 2.0: RC.CO-04 | NIST Privacy Framework: CM.AW-P8.
Validation: Quarterly conformity validation; evidence artifacts E-IRO-09; PPTDF applicability: Process.</t>
  </si>
  <si>
    <t xml:space="preserve">IR-04(15)</t>
  </si>
  <si>
    <t xml:space="preserve">RC.CO-04</t>
  </si>
  <si>
    <t xml:space="preserve">CM.AW-P8</t>
  </si>
  <si>
    <t xml:space="preserve">IAO-01</t>
  </si>
  <si>
    <t xml:space="preserve">Information Assurance (IA) Operations</t>
  </si>
  <si>
    <t xml:space="preserve">Information Assurance</t>
  </si>
  <si>
    <t xml:space="preserve">IAO</t>
  </si>
  <si>
    <t xml:space="preserve">Mechanisms exist to facilitate the implementation of security, compliance and resilience assessment and authorization controls.</t>
  </si>
  <si>
    <t xml:space="preserve">Does the organization facilitate the implementation of security, compliance and resilience assessment and authorization controls?</t>
  </si>
  <si>
    <t xml:space="preserve">E-IAO-01</t>
  </si>
  <si>
    <t xml:space="preserve">OT Security Assessment Lead</t>
  </si>
  <si>
    <t xml:space="preserve">Independent assessors; OT penetration testing provider</t>
  </si>
  <si>
    <t xml:space="preserve">The organization shall validate that security, compliance and resilience controls for enterprise IT, OT and AMI systems are implemented correctly, operate as intended and produce the desired outcome. Assessments of OT and AMI systems shall use methods that are safe for operational environments and shall inform authorization and risk acceptance decisions by accountable leadership.</t>
  </si>
  <si>
    <t xml:space="preserve">The organization develops, implements and governs processes and documentation to facilitate the implementation of security, compliance and resilience assessment and authorization controls, as well as associated standards, controls and procedures, across enterprise IT, Operational Technology (OT) and Advanced Metering Infrastructure (AMI) environments.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</si>
  <si>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an Information Assurance (IA) process is implemented for conducting cybersecurity / data privacy testing, training and monitoring activities associated with systems, applications and services;
b. Ensuring the Information Assurance (IA) program is organization-wide;
c. Ensuring the authorization processes are integrated into an organization-wide Risk Management Program (RMP);
d. Ensuring the cybersecurity / data privacy security state of organizational systems and the environments in which those systems operate are managed through authorization processes;
e. Ensuring information assurance management operations are conducted according to documented policies, standards, procedures and/or other organizational directives;
f. Ensuring adequate resources (e.g., people, processes, technologies, data and/or facilities) are provided to support information assurance management operations;
g. Ensuring responsibility and authority for the performance of information assurance management-related activities are assigned to designated personnel;
h. Ensuring personnel performing information assurance management-related activities have the skills and knowledge needed to perform their assigned duties;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</si>
  <si>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Information Assurance (IA) program; VisibleOps security management.
In-scope requirement alignment: IEC 62443-2-1: ORG 2.4 | NIST SP 800-82 R3 (Moderate OT overlay): CA-01, PM-10 | CISA CPG: 1.F, 2.Q | DOE C2M2: RISK-4c | NIST CSF 2.0: ID.RA-01 | NIST SP 800-161 R1 C-SCRM: CA-1 | CSA IoT SCF: IOT-01, SET-01 | NIST SP 800-53B Privacy: CA-01, PM-10.
Validation: Annual conformity validation; evidence artifacts E-IAO-01; PPTDF applicability: Process.</t>
  </si>
  <si>
    <t xml:space="preserve">ORG 2.4</t>
  </si>
  <si>
    <t xml:space="preserve">CA-01, PM-10</t>
  </si>
  <si>
    <t xml:space="preserve">1.F, 2.Q</t>
  </si>
  <si>
    <t xml:space="preserve">RISK-4c</t>
  </si>
  <si>
    <t xml:space="preserve">ID.RA-01</t>
  </si>
  <si>
    <t xml:space="preserve">CA-1</t>
  </si>
  <si>
    <t xml:space="preserve">IOT-01, SET-01</t>
  </si>
  <si>
    <t xml:space="preserve">∙ Controls Validation Testing (CVT)
∙ Information Assurance (IA) program
∙ VisibleOps security management</t>
  </si>
  <si>
    <t xml:space="preserve">IAO-01.1</t>
  </si>
  <si>
    <t xml:space="preserve">Assessment Boundaries</t>
  </si>
  <si>
    <t xml:space="preserve">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</si>
  <si>
    <t xml:space="preserve">Does the organization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</si>
  <si>
    <t xml:space="preserve">E-AST-02</t>
  </si>
  <si>
    <t xml:space="preserve">The organization implements and operates mechanisms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
Within the OT and AMI environment, this objective validates OT and AMI controls using operationally safe assessment methods and supports authorization decisions for zones, conduits and systems under consideration.</t>
  </si>
  <si>
    <t xml:space="preserve">The Chief Information Security Officer (CISO), in coordination with the OT Security Lead, is responsible for:
a. Ensuring assessments are defined as (1) organization-level, (2) mission/business process-level, or (3) system/application/service-level;
b. Ensuring the scope of assessments is established by defining the assessment boundary, according to people, processes and technology that directly or indirectly impact the confidentiality, integrity, availability and safety of the data and systems under review;
c. Documenting assessment boundaries that reflect OT and AMI zones, conduits and systems under consideration; and
d.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</si>
  <si>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Enterprise IA program; Formal evaluation (e.g., Common Criteria, FedRAMP); Continuous assurance monitoring.
In-scope requirement alignment: CISA CPG: 1.F | CSA IoT SCF: SET-01.
Validation: Annual conformity validation; evidence artifacts E-AST-02; PPTDF applicability: Process.</t>
  </si>
  <si>
    <t xml:space="preserve">1.F</t>
  </si>
  <si>
    <t xml:space="preserve">SET-01</t>
  </si>
  <si>
    <t xml:space="preserve">∙ Enterprise IA program
∙ Formal evaluation (e.g., Common Criteria, FedRAMP)
∙ Continuous assurance monitoring</t>
  </si>
  <si>
    <t xml:space="preserve">IAO-02</t>
  </si>
  <si>
    <t xml:space="preserve">Assessments</t>
  </si>
  <si>
    <t xml:space="preserve">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</si>
  <si>
    <t xml:space="preserve">Does the organization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</si>
  <si>
    <t xml:space="preserve">E-IAO-03, E-IAO-04</t>
  </si>
  <si>
    <t xml:space="preserve">IEC 62443-2-1:2024; NIST SP 800-82 R3 - Moderate OT Overlay; CISA Cross-Sector Cybersecurity Performance Goals; NIST Cybersecurity Framework 2.0; DOE Cybersecurity Capability Maturity Model; CSA IoT Security Controls Framework v2; NIST SP 800-161 R1 - C-SCRM Baseline; NIST SP 800-53B R5 - Privacy baseline; ANSI/ISA-62443-3-2:2020</t>
  </si>
  <si>
    <t xml:space="preserve">The organization implements and operates mechanisms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</si>
  <si>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the frequency at which to assess controls in the system and its environment of operation is defined;
b. Ensuring individuals or roles to whom control assessment results are to be provided are defined;
c. Ensuring an appropriate assessor or assessment team is selected for the type of assessment to be conducted;
d. Ensuring a control assessment plan is developed that describes the scope of the assessment, including controls and control enhancements under assessment;
e. Ensuring a control assessment plan is developed that describes the scope of the assessment, including assessment procedures to be used to determine control effectiveness;
f. Ensuring a control assessment plan is developed that describes the scope of the assessment, including the assessment environment;
g. Ensuring a control assessment plan is developed that describes the scope of the assessment, including the assessment team;
h. Ensuring a control assessment plan is developed that describes the scope of the assessment, including assessment roles and responsibilities;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</si>
  <si>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Information Assurance (IA) program; VisibleOps security management.
In-scope requirement alignment: IEC 62443-2-1: ORG 2.4(a) | NIST SP 800-82 R3 (Moderate OT overlay): CA-02 | CISA CPG: 1.F, 2.Q | DOE C2M2: RISK-4d | NIST CSF 2.0: ID.RA-01, ID.IM-01, ID.IM-02 | NIST SP 800-161 R1 C-SCRM: CA-2 | CSA IoT SCF: SET-01 | NIST SP 800-53B Privacy: CA-02 | ISA/IEC 62443-3-2: ZCR 5.8.
Validation: Semi-Annual conformity validation; evidence artifacts E-IAO-03, E-IAO-04; PPTDF applicability: Process.</t>
  </si>
  <si>
    <t xml:space="preserve">ORG 2.4(a)</t>
  </si>
  <si>
    <t xml:space="preserve">ZCR 5.8</t>
  </si>
  <si>
    <t xml:space="preserve">RISK-4d</t>
  </si>
  <si>
    <t xml:space="preserve">ID.RA-01, ID.IM-01, ID.IM-02</t>
  </si>
  <si>
    <t xml:space="preserve">5.21, 5.23, 8.29</t>
  </si>
  <si>
    <t xml:space="preserve">IAO-02.1</t>
  </si>
  <si>
    <t xml:space="preserve">Assessor Independence</t>
  </si>
  <si>
    <t xml:space="preserve">Mechanisms exist to ensure assessors or assessment teams have the appropriate independence to conduct security, compliance and/or resilience control assessments.</t>
  </si>
  <si>
    <t xml:space="preserve">Does the organization ensure assessors or assessment teams have the appropriate independence to conduct security, compliance and/or resilience control assessments?</t>
  </si>
  <si>
    <t xml:space="preserve">The organization implements and operates mechanisms to ensure assessors or assessment teams have the appropriate independence to conduct security, compliance and/or resilience control assessments.
Within the OT and AMI environment, this objective validates OT and AMI controls using operationally safe assessment methods and supports authorization decisions for zones, conduits and systems under consideration.</t>
  </si>
  <si>
    <t xml:space="preserve">The Chief Information Security Officer (CISO), in coordination with the OT Security Lead, is responsible for:
a. Ensuring independent assessors or assessment teams are employed to conduct control assessments;
b. Documenting assessment boundaries that reflect OT and AMI zones, conduits and systems under consideration; and
c.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</si>
  <si>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Enterprise IA program; Formal evaluation (e.g., Common Criteria, FedRAMP); Continuous assurance monitoring.
In-scope requirement alignment: NIST SP 800-82 R3 (Moderate OT overlay): CA-02(01) | NIST SP 800-53B Moderate: CA-02(01).
Validation: Annual conformity validation; evidence artifacts to be defined; PPTDF applicability: Process.</t>
  </si>
  <si>
    <t xml:space="preserve">CA-02(01)</t>
  </si>
  <si>
    <t xml:space="preserve">IAO-02.2</t>
  </si>
  <si>
    <t xml:space="preserve">Specialized Assessments</t>
  </si>
  <si>
    <t xml:space="preserve">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</si>
  <si>
    <t xml:space="preserve">Does the organization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</si>
  <si>
    <t xml:space="preserve">CISA Cross-Sector Cybersecurity Performance Goals; CSA IoT Security Controls Framework v2; NIST SP 800-53B R5 - Privacy baseline</t>
  </si>
  <si>
    <t xml:space="preserve">The organization implements and operates mechanisms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</si>
  <si>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the frequency at which to include specialized assessments as part of the control assessment is defined;
b. Ensuring other forms of announced or unannounced assessment are defined;
c. Ensuring organization-defined specialized assessment frequencies are included as part of control assessments;
d. Documenting assessment boundaries that reflect OT and AMI zones, conduits and systems under consideration; and
e.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</si>
  <si>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In-scope requirement alignment: CISA CPG: 1.F | CSA IoT SCF: IOT-01, SET-01 | NIST SP 800-53B Privacy: SA-11(05).
Validation: Semi-Annual conformity validation; evidence artifacts to be defined; PPTDF applicability: Process.</t>
  </si>
  <si>
    <t xml:space="preserve">CA-02(02), SA-11(05)</t>
  </si>
  <si>
    <t xml:space="preserve">SA-11(05)</t>
  </si>
  <si>
    <t xml:space="preserve">SG.CA Security Assessment and Authorization; SG.SA Smart Grid Information System and Services Acquisition</t>
  </si>
  <si>
    <t xml:space="preserve">∙ Controls Validation Testing (CVT)</t>
  </si>
  <si>
    <t xml:space="preserve">IAO-02.4</t>
  </si>
  <si>
    <t xml:space="preserve">Security Assessment Report (SAR)</t>
  </si>
  <si>
    <t xml:space="preserve">Mechanisms exist to produce a Security Assessment Report (SAR) at the conclusion of a security assessment to certify the results of the assessment and assist with any remediation actions.</t>
  </si>
  <si>
    <t xml:space="preserve">Does the organization produce a Security Assessment Report (SAR) at the conclusion of a security assessment to certify the results of the assessment and assist with any remediation actions?</t>
  </si>
  <si>
    <t xml:space="preserve">E-IAO-01, E-IAO-03, E-IAO-05</t>
  </si>
  <si>
    <t xml:space="preserve">IEC 62443-2-1:2024; NIST Cybersecurity Framework 2.0; ANSI/ISA-62443-3-2:2020</t>
  </si>
  <si>
    <t xml:space="preserve">The organization implements and operates mechanisms to produce a Security Assessment Report (SAR) at the conclusion of a security assessment to certify the results of the assessment and assist with any remediation actions.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</si>
  <si>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produce a Security Assessment Report (SAR) at the conclusion of a security assessment to certify the results of the assessment and assist with any remediation actions;
b. Documenting assessment boundaries that reflect OT and AMI zones, conduits and systems under consideration; and
c.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</si>
  <si>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Security Assessment Report (SAR).
In-scope requirement alignment: IEC 62443-2-1: ORG 2.4(d) | NIST CSF 2.0: ID.IM-01, ID.IM-02 | ISA/IEC 62443-3-2: ZCR 5.13.
Validation: Annual conformity validation; evidence artifacts E-IAO-01, E-IAO-03, E-IAO-05; PPTDF applicability: Process.</t>
  </si>
  <si>
    <t xml:space="preserve">ORG 2.4(d)</t>
  </si>
  <si>
    <t xml:space="preserve">∙ Controls Validation Testing (CVT)
∙ Security Assessment Report (SAR)</t>
  </si>
  <si>
    <t xml:space="preserve">IAO-03</t>
  </si>
  <si>
    <t xml:space="preserve">Applied Security, Compliance and Resilience Controls Documentation</t>
  </si>
  <si>
    <t xml:space="preserve">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</si>
  <si>
    <t xml:space="preserve">Does the organization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</si>
  <si>
    <t xml:space="preserve">E-TDA-14</t>
  </si>
  <si>
    <t xml:space="preserve">NIST SP 800-82 R3 - Moderate OT Overlay; NIST SP 800-161 R1 - C-SCRM Baseline; NIST Privacy Framework 1.0; NIST SP 800-53B R5 - Privacy baseline; ANSI/ISA-62443-3-2:2020</t>
  </si>
  <si>
    <t xml:space="preserve">The organization implements and operates mechanisms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
Within the OT and AMI environment, this objective validates OT and AMI controls using operationally safe assessment methods and supports authorization decisions for zones, conduits and systems under consideration.</t>
  </si>
  <si>
    <t xml:space="preserve">OT Engineering and application development teams are responsible for:
a. Ensuring the system boundary is described and documented in the system security plan;
b. Ensuring the system components on which sensitive / regulated data is processed are identified and documented;
c. Ensuring the system components on which sensitive / regulated data is stored are identified and documented;
d. Ensuring changes to the system or system component location where sensitive / regulated data is processed are documented;
e. Ensuring changes to the system or system component location where sensitive / regulated data is stored are documented;
f. Ensuring a system security plan that describes specific threats to the system that are of concern to the organization is developed;
g. Ensuring a system security plan that describes the safeguards in place or planned for meeting the security requirements is developed;
h. Ensuring a system security plan that identifies individuals that fulfill system roles and responsibilities is developed;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</si>
  <si>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System Security Plan (SSP); System Security &amp; Privacy Plan (SSPP).
In-scope requirement alignment: NIST SP 800-82 R3 (Moderate OT overlay): PL-02 | NIST SP 800-161 R1 C-SCRM: PL-2 | NIST Privacy Framework: ID.IM-P7, ID.BE-P3 | NIST SP 800-53B Privacy: PL-02 | ISA/IEC 62443-3-2: ZCR 5.8, ZCR 6.1, ZCR 6.2, ZCR 6.5.
Validation: Annual conformity validation; evidence artifacts E-TDA-14; PPTDF applicability: Process.</t>
  </si>
  <si>
    <t xml:space="preserve">ZCR 5.8, ZCR 6.1, ZCR 6.2, ZCR 6.5</t>
  </si>
  <si>
    <t xml:space="preserve">PL-02</t>
  </si>
  <si>
    <t xml:space="preserve">ID.IM-P7, ID.BE-P3</t>
  </si>
  <si>
    <t xml:space="preserve">∙ System Security Plan (SSP)
∙ System Security &amp; Privacy Plan (SSPP)</t>
  </si>
  <si>
    <t xml:space="preserve">IAO-03.1</t>
  </si>
  <si>
    <t xml:space="preserve">Plan / Coordinate with Other Organizational Entities</t>
  </si>
  <si>
    <t xml:space="preserve">Mechanisms exist to plan and coordinate Information Assurance Program (IAP) activities with affected stakeholders before conducting such activities in order to reduce the potential impact on operations.</t>
  </si>
  <si>
    <t xml:space="preserve">Does the organization plan and coordinate Information Assurance Program (IAP) activities with affected stakeholders before conducting such activities in order to reduce the potential impact on operations?</t>
  </si>
  <si>
    <t xml:space="preserve">The organization implements and operates mechanisms to plan and coordinate Information Assurance Program (IAP) activities with affected stakeholders before conducting such activities in order to reduce the potential impact on operations.
Within the OT and AMI environment, this objective validates OT and AMI controls using operationally safe assessment methods and supports authorization decisions for zones, conduits and systems under consideration.</t>
  </si>
  <si>
    <t xml:space="preserve">The Governance, Risk &amp; Compliance (GRC) function is responsible for:
a. Ensuring a cybersecurity / data privacy plan for the system is developed that describes the operational environment for the system and any dependencies on or connections to other systems or system components;
b. Documenting assessment boundaries that reflect OT and AMI zones, conduits and systems under consideration; and
c.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</si>
  <si>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Audit steering committee; Information Assurance (IA) program; VisibleOps security management.
In-scope requirement alignment: NIST SP 800-82 R3 (Moderate OT overlay): PL-02 | NIST SP 800-161 R1 C-SCRM: PL-2 | NIST SP 800-53B Privacy: PL-02.
Validation: Annual conformity validation; evidence artifacts to be defined; PPTDF applicability: Process.</t>
  </si>
  <si>
    <t xml:space="preserve">∙ Audit steering committee
∙ Information Assurance (IA) program
∙ VisibleOps security management</t>
  </si>
  <si>
    <t xml:space="preserve">IAO-03.2</t>
  </si>
  <si>
    <t xml:space="preserve">Adequate Security for Sensitive / Regulated Data In Support of Contracts</t>
  </si>
  <si>
    <t xml:space="preserve">Mechanisms exist to protect sensitive and/or regulated data that is collected, developed, received, transmitted, used or stored in support of the performance of a contract.</t>
  </si>
  <si>
    <t xml:space="preserve">Does the organization protect sensitive and/or regulated data that is collected, developed, received, transmitted, used or stored in support of the performance of a contract?</t>
  </si>
  <si>
    <t xml:space="preserve">E-IAO-03</t>
  </si>
  <si>
    <t xml:space="preserve">NIST Cybersecurity Framework 2.0; CSA IoT Security Controls Framework v2; NIST Privacy Framework 1.0</t>
  </si>
  <si>
    <t xml:space="preserve">The organization implements and operates mechanisms to protect sensitive and/or regulated data that is collected, developed, received, transmitted, used or stored in support of the performance of a contract.
Within the OT and AMI environment, this objective validates OT and AMI controls using operationally safe assessment methods and supports authorization decisions for zones, conduits and systems under consideration.</t>
  </si>
  <si>
    <t xml:space="preserve">IT Operations and OT Operations teams (asset custodians) are responsible for:
a. Ensuring sensitive / regulated data that is collected, developed, received, transmitted, used or stored in support of the performance of a contract is protected;
b. Documenting assessment boundaries that reflect OT and AMI zones, conduits and systems under consideration; and
c.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</si>
  <si>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Cybersecurity Supply Chain Risk Management (C-SCRM) program; Contract flow-down requirements.
In-scope requirement alignment: NIST CSF 2.0: GV.SC-05 | CSA IoT SCF: CLS-04 | NIST Privacy Framework: ID.DE-P3.
Validation: Annual conformity validation; evidence artifacts E-IAO-03; PPTDF applicability: Process.</t>
  </si>
  <si>
    <t xml:space="preserve">CLS-04</t>
  </si>
  <si>
    <t xml:space="preserve">ID.DE-P3</t>
  </si>
  <si>
    <t xml:space="preserve">∙ Cybersecurity Supply Chain Risk Management (C-SCRM) program
∙ Contract flow-down requirements</t>
  </si>
  <si>
    <t xml:space="preserve">IAO-04</t>
  </si>
  <si>
    <t xml:space="preserve">Threat Analysis &amp; Flaw Remediation During Development</t>
  </si>
  <si>
    <t xml:space="preserve">Mechanisms exist to require system developers and integrators to create and execute a Security Testing and Evaluation (ST&amp;E) plan, or similar process, to identify and remediate flaws during development.</t>
  </si>
  <si>
    <t xml:space="preserve">Does the organization require system developers and integrators to create and execute a Security Testing and Evaluation (ST&amp;E) plan, or similar process, to identify and remediate flaws during development?</t>
  </si>
  <si>
    <t xml:space="preserve">IEC 62443-2-1:2024; NIST SP 800-53B R5 - Privacy baseline</t>
  </si>
  <si>
    <t xml:space="preserve">The organization implements and operates mechanisms to require system developers and integrators to create and execute a Security Testing and Evaluation (ST&amp;E) plan, or similar process, to identify and remediate flaws during development.
Within the OT and AMI environment, this objective validates OT and AMI controls using operationally safe assessment methods and supports authorization decisions for zones, conduits and systems under consideration.</t>
  </si>
  <si>
    <t xml:space="preserve">OT Engineering and application development teams are responsible for:
a. Ensuring the breadth of penetration testing is defined;
b. Ensuring the depth of penetration testing is defined;
c. Ensuring constraints of penetration testing are defined;
d. Ensuring the developer of the system, system component, or system service is required to perform penetration testing at an organization-defined breadth;
e. Ensuring the developer of the system, system component, or system service is required to perform penetration testing at an organization-defined level of rigor;
f. Ensuring the developer of the system, system component, or system service is required to perform penetration testing under organization-defined constraints;
g. Documenting assessment boundaries that reflect OT and AMI zones, conduits and systems under consideration; and
h.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</si>
  <si>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Pre-production Control Validation Testing (CVT).
In-scope requirement alignment: IEC 62443-2-1: ORG 2.4(c) | NIST SP 800-53B Privacy: SA-11(05).
Validation: Annual conformity validation; evidence artifacts to be defined; PPTDF applicability: Process.</t>
  </si>
  <si>
    <t xml:space="preserve">ORG 2.4(c)</t>
  </si>
  <si>
    <t xml:space="preserve">8.25</t>
  </si>
  <si>
    <t xml:space="preserve">∙ Pre-production Control Validation Testing (CVT)</t>
  </si>
  <si>
    <t xml:space="preserve">IAO-05</t>
  </si>
  <si>
    <t xml:space="preserve">Capabilities Deficiency Tracking</t>
  </si>
  <si>
    <t xml:space="preserve">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</si>
  <si>
    <t xml:space="preserve">Does the organization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</si>
  <si>
    <t xml:space="preserve">E-RSK-03</t>
  </si>
  <si>
    <t xml:space="preserve">The organization implements and operates mechanisms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</si>
  <si>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deficiencies and vulnerabilities to be addressed by the plan of action are identified;
b. Ensuring a plan of action is developed to document the planned remediation actions of the organization to correct weaknesses or deficiencies noted during the assessment of the controls and to reduce or eliminate known vulnerabilities in the system;
c. Ensuring the frequency at which to update an existing plan of action based on the findings from control assessments, independent audits or reviews and continuous monitoring activities is defined;
d. Ensuring existing plan of action is updated organization-defined frequency based on the findings from control assessments, independent audits or reviews and continuous monitoring activities;
e. Ensuring a process to ensure the plan of action for the cybersecurity program and associated organizational systems documents remedial cybersecurity risk management actions to adequately respond to risks to organizational operations and assets, individuals, other organizations and the Nation;
f. Ensuring a process to ensure the plan of action for the privacy program and associated organizational systems documents remedial privacy risk management actions to adequately respond to risks to organizational operations and assets, individuals, other organizations and the Nation;
g. Ensuring a process to ensure the plan of action for the supply chain risk management program and associated organizational systems documents remedial supply chain risk management actions to adequately respond to risks to organizational operations and assets, individuals, other organizations and the Nation;
h. Ensuring a process to ensure the plan of action for the cybersecurity risk management programs and associated organizational systems is reported in accordance with established reporting requirements;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</si>
  <si>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Plan of Action and Milestones (POA&amp;M); Risk register.
In-scope requirement alignment: NIST SP 800-82 R3 (Moderate OT overlay): CA-05, PM-04 | NERC CIP: CIP-007-6 2.4 | DOE C2M2: RISK-3f, RISK-3g | NIST CSF 2.0: ID.RA-01, ID.IM-01, ID.IM-02 | NIST SP 800-161 R1 C-SCRM: CA-5 | NIST Privacy Framework: GV.MT-P4 | NIST SP 800-53B Privacy: CA-05, PM-04.
Validation: Annual conformity validation; evidence artifacts E-RSK-03; PPTDF applicability: Process.</t>
  </si>
  <si>
    <t xml:space="preserve">CA-05, PM-04, SA-15(02)</t>
  </si>
  <si>
    <t xml:space="preserve">CA-05, PM-04</t>
  </si>
  <si>
    <t xml:space="preserve">CIP-007-6 2.4</t>
  </si>
  <si>
    <t xml:space="preserve">RISK-3f, RISK-3g</t>
  </si>
  <si>
    <t xml:space="preserve">CA-5</t>
  </si>
  <si>
    <t xml:space="preserve">GV.MT-P4</t>
  </si>
  <si>
    <t xml:space="preserve">SG.CA Security Assessment and Authorization; SG.PM Security Program Management; SG.SA Smart Grid Information System and Services Acquisition</t>
  </si>
  <si>
    <t xml:space="preserve">∙ Plan of Action and Milestones (POA&amp;M)
∙ Risk register</t>
  </si>
  <si>
    <t xml:space="preserve">IAO-06</t>
  </si>
  <si>
    <t xml:space="preserve">Technical Verification</t>
  </si>
  <si>
    <t xml:space="preserve">Mechanisms exist to perform Information Assurance Program (IAP) activities to evaluate the design, implementation and effectiveness of technical security, compliance and resilience controls.</t>
  </si>
  <si>
    <t xml:space="preserve">Does the organization perform Information Assurance Program (IAP) activities to evaluate the design, implementation and effectiveness of technical security, compliance and resilience controls?</t>
  </si>
  <si>
    <t xml:space="preserve">IEC 62443-2-1:2024; NIST SP 800-82 R3 - Moderate OT Overlay; CISA Cross-Sector Cybersecurity Performance Goals; NIST SP 800-53B R5 - Moderate baseline; CSA IoT Security Controls Framework v2; NIST SP 800-161 R1 - C-SCRM Baseline; NIST SP 800-53B R5 - Privacy baseline</t>
  </si>
  <si>
    <t xml:space="preserve">The organization implements and operates mechanisms to perform Information Assurance Program (IAP) activities to evaluate the design, implementation and effectiveness of technical security, compliance and resilience controls.
Within the OT and AMI environment, this objective validates OT and AMI controls using operationally safe assessment methods and supports authorization decisions for zones, conduits and systems under consideration.</t>
  </si>
  <si>
    <t xml:space="preserve">The Managed Security Service Provider (MSSP), under the oversight of the Security Operations function and with OT visibility requirements, is responsible for:
a. Ensuring the frequency at which to assess controls in the system and its environment of operation is defined;
b. Ensuring individuals or roles to whom control assessment results are to be provided are defined;
c. Ensuring an appropriate assessor or assessment team is selected for the type of assessment to be conducted;
d. Ensuring a control assessment plan is developed that describes the scope of the assessment, including controls and control enhancements under assessment;
e. Ensuring the control assessment plan is reviewed and approved by the authorizing official or designated representative prior to conducting the assessment;
f. Ensuring controls are assessed in the system and its environment of operation per an organization-defined assessment frequency to determine the extent to which the controls are implemented correctly, operating as intended and producing the desired outcome with respect to meeting established cybersecurity / data privacy requirements;
g. Ensuring a control assessment report is produced that documents the results of the assessment;
h. Ensuring the results of the control assessment are provided to individuals or roles;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</si>
  <si>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In-scope requirement alignment: IEC 62443-2-1: ORG 2.4(b) | NIST SP 800-82 R3 (Moderate OT overlay): CA-02, CM-04(02) | CISA CPG: 2.Q | NIST SP 800-53B Moderate: CM-04(02) | NIST SP 800-161 R1 C-SCRM: CA-2 | CSA IoT SCF: IOT-01 | NIST SP 800-53B Privacy: CA-02.
Validation: Annual conformity validation; evidence artifacts to be defined; PPTDF applicability: Process.</t>
  </si>
  <si>
    <t xml:space="preserve">ORG 2.4(b)</t>
  </si>
  <si>
    <t xml:space="preserve">CA-02, CM-04(02)</t>
  </si>
  <si>
    <t xml:space="preserve">CM-04(02)</t>
  </si>
  <si>
    <t xml:space="preserve">IOT-01</t>
  </si>
  <si>
    <t xml:space="preserve">SG.CA Security Assessment and Authorization; SG.CM Configuration Management</t>
  </si>
  <si>
    <t xml:space="preserve">IAO-07</t>
  </si>
  <si>
    <t xml:space="preserve">Security Authorization</t>
  </si>
  <si>
    <t xml:space="preserve">Mechanisms exist to ensure Technology Assets, Applications and/or Services (TAAS) are officially authorized prior to "go live" in a production environment.</t>
  </si>
  <si>
    <t xml:space="preserve">Does the organization ensure Technology Assets, Applications and/or Services (TAAS) are officially authorized prior to "go live" in a production environment?</t>
  </si>
  <si>
    <t xml:space="preserve">NIST SP 800-82 R3 - Moderate OT Overlay; CISA Cross-Sector Cybersecurity Performance Goals; CSA IoT Security Controls Framework v2; NIST SP 800-161 R1 - C-SCRM Baseline; NIST SP 800-53B R5 - Privacy baseline</t>
  </si>
  <si>
    <t xml:space="preserve">The organization implements and operates mechanisms to ensure Technology Assets, Applications and/or Services (TAAS) are officially authorized prior to "go live" in a production environment.
Within the OT and AMI environment, this objective validates OT and AMI controls using operationally safe assessment methods and supports authorization decisions for zones, conduits and systems under consideration.</t>
  </si>
  <si>
    <t xml:space="preserve">The Chief Information Security Officer (CISO), in coordination with the OT Security Lead, is responsible for:
a. Ensuring the frequency at which to update the authorizations is defined;
b. Ensuring a senior official is assigned as the authorizing official for the system;
c. Ensuring the authorizations are updated organization-defined frequency;
d. Ensuring a senior official is assigned as the authorizing official for common controls available for inheritance by organizational systems;
e. Ensuring before commencing operations, the authorizing official for the system accepts the use of common controls inherited by the system;
f. Ensuring before commencing operations, the authorizing official for the system authorizes the system to operate;
g. Ensuring the authorizing official for common controls authorizes the use of those controls for inheritance by organizational systems;
h. Documenting assessment boundaries that reflect OT and AMI zones, conduits and systems under consideration; and
i.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</si>
  <si>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Enterprise IA program; Formal evaluation (e.g., Common Criteria, FedRAMP); Continuous assurance monitoring.
In-scope requirement alignment: NIST SP 800-82 R3 (Moderate OT overlay): CA-06 | CISA CPG: 2.Q | NIST SP 800-161 R1 C-SCRM: CA-6 | CSA IoT SCF: IOT-01 | NIST SP 800-53B Privacy: CA-06.
Validation: Annual conformity validation; evidence artifacts to be defined; PPTDF applicability: Process.</t>
  </si>
  <si>
    <t xml:space="preserve">CA-06</t>
  </si>
  <si>
    <t xml:space="preserve">CA-6</t>
  </si>
  <si>
    <t xml:space="preserve">MNT-01</t>
  </si>
  <si>
    <t xml:space="preserve">Maintenance Operations</t>
  </si>
  <si>
    <t xml:space="preserve">Maintenance</t>
  </si>
  <si>
    <t xml:space="preserve">MNT</t>
  </si>
  <si>
    <t xml:space="preserve">Mechanisms exist to develop, disseminate, review &amp; update procedures to facilitate the implementation of maintenance controls across the enterprise.</t>
  </si>
  <si>
    <t xml:space="preserve">Does the organization develop, disseminate, review &amp; update procedures to facilitate the implementation of maintenance controls across the enterprise?</t>
  </si>
  <si>
    <t xml:space="preserve">E-MNT-02, E-MNT-04</t>
  </si>
  <si>
    <t xml:space="preserve">NIST SP 800-82 R3 - Moderate OT Overlay; NIST Cybersecurity Framework 2.0; DOE Cybersecurity Capability Maturity Model; CSA IoT Security Controls Framework v2; NIST SP 800-161 R1 - C-SCRM Baseline; NIST Privacy Framework 1.0; NIST SP 800-53B R5 - Privacy baseline</t>
  </si>
  <si>
    <t xml:space="preserve">Manager, IT Operations</t>
  </si>
  <si>
    <t xml:space="preserve">Manager, OT Maintenance &amp; Field Services</t>
  </si>
  <si>
    <t xml:space="preserve">OT equipment manufacturers; field service contractors; remote maintenance vendors</t>
  </si>
  <si>
    <t xml:space="preserve">The organization shall perform and control maintenance of enterprise IT, OT and AMI assets, including field devices, so that maintenance activities, tools, media and remote maintenance sessions do not introduce security weaknesses or operational disruption. Vendor and remote maintenance of OT and AMI systems shall be pre-approved, authenticated, monitored and terminated when complete.</t>
  </si>
  <si>
    <t xml:space="preserve">The organization implements and operates mechanisms to develop, disseminate, review &amp; update procedures to facilitate the implementation of maintenance controls across the enterprise.
Within the OT and AMI environment, this objective controls local and remote maintenance of OT and AMI assets, including vendor sessions, maintenance laptops and portable tools used in substations, plants and meter shops.</t>
  </si>
  <si>
    <t xml:space="preserve">The Governance, Risk &amp; Compliance (GRC) function is responsible for:
a. Ensuring a maintenance policy is developed and documented;
b. Ensuring the maintenance policy is disseminated to organization-defined personnel or roles;
c. Ensuring maintenance procedures to facilitate the implementation of the maintenance policy and associated maintenance controls are developed and documented;
d. Ensuring the maintenance procedures are disseminated to organization-defined personnel or roles;
e. Ensuring maintenance management operations are conducted according to documented policies, standards, procedures and/or other organizational directives;
f. Ensuring adequate resources (e.g., people, processes, technologies, data and/or facilities) are provided to support maintenance management operations;
g. Ensuring responsibility and authority for the performance of maintenance management-related activities are assigned to designated personnel;
h. Ensuring personnel performing maintenance management-related activities have the skills and knowledge needed to perform their assigned duties;
i. Pre-approving, authenticating, monitoring and logging remote maintenance sessions to OT and AMI systems and verifying session termination; and
j.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</si>
  <si>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IT maintenance program.
In-scope requirement alignment: NIST SP 800-82 R3 (Moderate OT overlay): MA-01 | DOE C2M2: ARCHITECTURE-3i | NIST CSF 2.0: PR.PS, PR.PS-02, PR.PS-03 | NIST SP 800-161 R1 C-SCRM: MA-1 | CSA IoT SCF: OPA-01 | NIST Privacy Framework: PR.MA-P, PR.MA-P1 | NIST SP 800-53B Privacy: MA-01.
Validation: Annual conformity validation; evidence artifacts E-MNT-02, E-MNT-04; PPTDF applicability: Process.</t>
  </si>
  <si>
    <t xml:space="preserve">MA-01</t>
  </si>
  <si>
    <t xml:space="preserve">PR.PS, PR.PS-02, PR.PS-03</t>
  </si>
  <si>
    <t xml:space="preserve">MA-1</t>
  </si>
  <si>
    <t xml:space="preserve">OPA-01</t>
  </si>
  <si>
    <t xml:space="preserve">PR.MA-P, PR.MA-P1</t>
  </si>
  <si>
    <t xml:space="preserve">SG.MA Smart Grid Information System Development and Maintenance</t>
  </si>
  <si>
    <t xml:space="preserve">7.13</t>
  </si>
  <si>
    <t xml:space="preserve">∙ IT maintenance program</t>
  </si>
  <si>
    <t xml:space="preserve">MNT-02</t>
  </si>
  <si>
    <t xml:space="preserve">Controlled Maintenance</t>
  </si>
  <si>
    <t xml:space="preserve">Mechanisms exist to conduct controlled maintenance activities throughout the lifecycle of the Technology Asset, Application and/or Service (TAAS).</t>
  </si>
  <si>
    <t xml:space="preserve">Does the organization conduct controlled maintenance activities throughout the lifecycle of the Technology Asset, Application and/or Service (TAAS)?</t>
  </si>
  <si>
    <t xml:space="preserve">E-MNT-04</t>
  </si>
  <si>
    <t xml:space="preserve">NIST SP 800-82 R3 - Moderate OT Overlay; NIST Cybersecurity Framework 2.0; CSA IoT Security Controls Framework v2</t>
  </si>
  <si>
    <t xml:space="preserve">The organization implements and operates mechanisms to conduct controlled maintenance activities throughout the lifecycle of the Technology Asset, Application and/or Service (TAAS).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</si>
  <si>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maintenance, repair and replacement of systems, applications and/or services are scheduled in accordance with manufacturer or vendor specifications and/or organizational requirements;
b. Ensuring approved configuration-controlled changes to the system are implemented;
c. Ensuring system maintenance is performed;
d. Ensuring personnel or roles required to explicitly approve the removal of the system or system components from organizational facilities for off-site maintenance or repairs is/are defined;
e. Ensuring information to be removed from associated media prior to removal from organizational facilities for off-site maintenance, repair or replacement is defined;
f. Ensuring information to be included in organizational maintenance records is defined;
g. Ensuring maintenance, repair and replacement of system components are documented in accordance with manufacturer or vendor specifications and/or organizational requirements;
h. Ensuring records of maintenance, repair and replacement of system components are reviewed in accordance with manufacturer or vendor specifications and/or organizational requirements;
i. Pre-approving, authenticating, monitoring and logging remote maintenance sessions to OT and AMI systems and verifying session termination; and
j.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</si>
  <si>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IT maintenance program; VisibleOps security management.
In-scope requirement alignment: NIST SP 800-82 R3 (Moderate OT overlay): MA-02 | NIST CSF 2.0: PR.PS, PR.PS-02, PR.PS-03 | CSA IoT SCF: OPA-01.
Validation: Annual conformity validation; evidence artifacts E-MNT-04; PPTDF applicability: Process.</t>
  </si>
  <si>
    <t xml:space="preserve">MA-02</t>
  </si>
  <si>
    <t xml:space="preserve">∙ IT maintenance program
∙ VisibleOps security management</t>
  </si>
  <si>
    <t xml:space="preserve">MNT-03</t>
  </si>
  <si>
    <t xml:space="preserve">Timely Maintenance</t>
  </si>
  <si>
    <t xml:space="preserve">Mechanisms exist to obtain maintenance support and/or spare parts for Technology Assets, Applications and/or Services (TAAS) within a defined Recovery Time Objective (RTO).</t>
  </si>
  <si>
    <t xml:space="preserve">Does the organization obtain maintenance support and/or spare parts for Technology Assets, Applications and/or Services (TAAS) within a defined Recovery Time Objective (RTO)?</t>
  </si>
  <si>
    <t xml:space="preserve">NIST SP 800-82 R3 - Moderate OT Overlay; NIST Cybersecurity Framework 2.0; NIST SP 800-53B R5 - Moderate baseline; CSA IoT Security Controls Framework v2</t>
  </si>
  <si>
    <t xml:space="preserve">The organization implements and operates mechanisms to obtain maintenance support and/or spare parts for Technology Assets, Applications and/or Services (TAAS) within a defined Recovery Time Objective (RTO).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</si>
  <si>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system components for which maintenance support and/or spare parts are obtained are defined;
b. Ensuring time period within which maintenance support and/or spare parts are to be obtained after a failure are defined;
c. Ensuring maintenance support and/or spare parts are obtained for system components within an organization-defined time period of failure;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</si>
  <si>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MA-06 | NIST CSF 2.0: PR.PS-02, PR.PS-03 | NIST SP 800-53B Moderate: MA-06 | CSA IoT SCF: OPA-01.
Validation: Annual conformity validation; evidence artifacts E-MNT-04; PPTDF applicability: Process.</t>
  </si>
  <si>
    <t xml:space="preserve">MA-06</t>
  </si>
  <si>
    <t xml:space="preserve">PR.PS-02, PR.PS-03</t>
  </si>
  <si>
    <t xml:space="preserve">∙ Enterprise CMMS platform
∙ Automated maintenance scheduling
∙ Vendor access controls
∙ Remote access controls</t>
  </si>
  <si>
    <t xml:space="preserve">MNT-03.1</t>
  </si>
  <si>
    <t xml:space="preserve">Preventative Maintenance</t>
  </si>
  <si>
    <t xml:space="preserve">Mechanisms exist to perform preventive maintenance on critical Technology Assets, Applications and/or Services (TAAS).</t>
  </si>
  <si>
    <t xml:space="preserve">Does the organization perform preventive maintenance on critical Technology Assets, Applications and/or Services (TAAS)?</t>
  </si>
  <si>
    <t xml:space="preserve">The organization implements and operates mechanisms to perform preventive maintenance on critical Technology Assets, Applications and/or Services (TAAS).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</si>
  <si>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system components on which preventive maintenance is to be performed are defined;
b. Ensuring time intervals within which preventive maintenance is to be performed on system components are defined;
c. Ensuring preventive maintenance is performed on system components at organization-defined time intervals;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</si>
  <si>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CSF 2.0: PR.PS-02, PR.PS-03 | CSA IoT SCF: OPA-01.
Validation: Annual conformity validation; evidence artifacts E-MNT-04; PPTDF applicability: Process.</t>
  </si>
  <si>
    <t xml:space="preserve">MA-06(01)</t>
  </si>
  <si>
    <t xml:space="preserve">MNT-03.3</t>
  </si>
  <si>
    <t xml:space="preserve">Automated Support For Predictive Maintenance</t>
  </si>
  <si>
    <t xml:space="preserve">Automated mechanisms exist to transfer predictive maintenance data to a computerized maintenance management system.</t>
  </si>
  <si>
    <t xml:space="preserve">Does the organization use automated mechanisms to transfer predictive maintenance data to a computerized maintenance management system?</t>
  </si>
  <si>
    <t xml:space="preserve">The organization implements and operates automated mechanisms to transfer predictive maintenance data to a computerized maintenance management system.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</si>
  <si>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automated mechanisms used to transfer predictive maintenance data to a maintenance management system are defined;
b. Ensuring predictive maintenance data is transferred to a maintenance management system using automated mechanisms;
c. Pre-approving, authenticating, monitoring and logging remote maintenance sessions to OT and AMI systems and verifying session termination; and
d.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</si>
  <si>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CSA IoT SCF: OPA-02.
Validation: Quarterly conformity validation; evidence artifacts to be defined; PPTDF applicability: Technology.</t>
  </si>
  <si>
    <t xml:space="preserve">MA-06(03)</t>
  </si>
  <si>
    <t xml:space="preserve">OPA-02</t>
  </si>
  <si>
    <t xml:space="preserve">MNT-04</t>
  </si>
  <si>
    <t xml:space="preserve">Maintenance Tools</t>
  </si>
  <si>
    <t xml:space="preserve">Mechanisms exist to control and monitor the use of system maintenance tools.</t>
  </si>
  <si>
    <t xml:space="preserve">Does the organization control and monitor the use of system maintenance tools?</t>
  </si>
  <si>
    <t xml:space="preserve">NIST SP 800-82 R3 - Moderate OT Overlay; NIST SP 800-53B R5 - Moderate baseline; ANSI/ISA-62443-3-2:2020</t>
  </si>
  <si>
    <t xml:space="preserve">The organization implements and operates mechanisms to control and monitor the use of system maintenance tools.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</si>
  <si>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tools used to conduct system maintenance are controlled;
b. Ensuring techniques used to conduct system maintenance are controlled;
c. Ensuring mechanisms used to conduct system maintenance are controlled;
d. Ensuring personnel used to conduct system maintenance are controlled;
e. Ensuring the use of maintenance tools that execute with increased privilege is monitored;
f. Ensuring the use of system maintenance tools is approved;
g. Ensuring the use of system maintenance tools is controlled;
h. Ensuring the use of system maintenance tools is monitored;
i. Pre-approving, authenticating, monitoring and logging remote maintenance sessions to OT and AMI systems and verifying session termination; and
j.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</si>
  <si>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MA-03 | NIST SP 800-53B Moderate: MA-03 | ISA/IEC 62443-3-2: ZCR 3.4.
Validation: Annual conformity validation; evidence artifacts to be defined; PPTDF applicability: Process.</t>
  </si>
  <si>
    <t xml:space="preserve">MA-03, MA-03(05), MA-03(06)</t>
  </si>
  <si>
    <t xml:space="preserve">MA-03</t>
  </si>
  <si>
    <t xml:space="preserve">MNT-04.1</t>
  </si>
  <si>
    <t xml:space="preserve">Inspect Tools</t>
  </si>
  <si>
    <t xml:space="preserve">Mechanisms exist to inspect maintenance tools carried into a facility by maintenance personnel for improper or unauthorized modifications.</t>
  </si>
  <si>
    <t xml:space="preserve">Does the organization inspect maintenance tools carried into a facility by maintenance personnel for improper or unauthorized modifications?</t>
  </si>
  <si>
    <t xml:space="preserve">The organization implements and operates mechanisms to inspect maintenance tools carried into a facility by maintenance personnel for improper or unauthorized modifications.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</si>
  <si>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maintenance tools used by maintenance personnel are inspected for improper or unauthorized modifications;
b. Pre-approving, authenticating, monitoring and logging remote maintenance sessions to OT and AMI systems and verifying session termination; and
c.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</si>
  <si>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MA-03(01) | NIST SP 800-53B Moderate: MA-03(01) | ISA/IEC 62443-3-2: ZCR 3.4.
Validation: Annual conformity validation; evidence artifacts to be defined; PPTDF applicability: Technology.</t>
  </si>
  <si>
    <t xml:space="preserve">MA-03(01)</t>
  </si>
  <si>
    <t xml:space="preserve">MNT-04.2</t>
  </si>
  <si>
    <t xml:space="preserve">Inspect Media</t>
  </si>
  <si>
    <t xml:space="preserve">Mechanisms exist to check media containing diagnostic and test programs for malicious code before the media are used.</t>
  </si>
  <si>
    <t xml:space="preserve">Does the organization check media containing diagnostic and test programs for malicious code before the media are used?</t>
  </si>
  <si>
    <t xml:space="preserve">E-MNT-05</t>
  </si>
  <si>
    <t xml:space="preserve">The organization implements and operates mechanisms to check media containing diagnostic and test programs for malicious code before the media are used.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</si>
  <si>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media with diagnostic and test programs are checked for malicious code before the media are used in the system;
b. Pre-approving, authenticating, monitoring and logging remote maintenance sessions to OT and AMI systems and verifying session termination; and
c.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</si>
  <si>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MA-03(02) | NIST SP 800-53B Moderate: MA-03(02).
Validation: Annual conformity validation; evidence artifacts E-MNT-05; PPTDF applicability: Process.</t>
  </si>
  <si>
    <t xml:space="preserve">MA-03(02)</t>
  </si>
  <si>
    <t xml:space="preserve">MNT-04.3</t>
  </si>
  <si>
    <t xml:space="preserve">Prevent Unauthorized Removal</t>
  </si>
  <si>
    <t xml:space="preserve">Mechanisms exist to prevent or control the removal of equipment undergoing maintenance that contains organizational information.</t>
  </si>
  <si>
    <t xml:space="preserve">Does the organization prevent or control the removal of equipment undergoing maintenance that contains organizational information?</t>
  </si>
  <si>
    <t xml:space="preserve">The organization implements and operates mechanisms to prevent or control the removal of equipment undergoing maintenance that contains organizational information.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</si>
  <si>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personnel or roles who can authorize removal of equipment from the facility is/are defined;
b. Ensuring the removal of system maintenance equipment containing sensitive / regulated data is prevented by verifying that there is no sensitive / regulated data on the equipment, sanitizing or destroying the equipment, or retaining the equipment within the facility;
c. Ensuring the removal of maintenance equipment containing organizational information is prevented by sanitizing or destroying the equipment;
d. Ensuring the removal of maintenance equipment containing organizational information is prevented by retaining the equipment within the facility;
e. Ensuring the removal of maintenance equipment containing organizational information is prevented by obtaining an exemption from personnel or roles explicitly authorizing removal of the equipment from the facility;
f. Pre-approving, authenticating, monitoring and logging remote maintenance sessions to OT and AMI systems and verifying session termination; and
g.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</si>
  <si>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Physical Access Control (PAC).
In-scope requirement alignment: NIST SP 800-82 R3 (Moderate OT overlay): MA-03(03) | NIST SP 800-53B Moderate: MA-03(03).
Validation: Annual conformity validation; evidence artifacts to be defined; PPTDF applicability: Process.</t>
  </si>
  <si>
    <t xml:space="preserve">MA-03(03)</t>
  </si>
  <si>
    <t xml:space="preserve">∙ Physical Access Control (PAC)</t>
  </si>
  <si>
    <t xml:space="preserve">MNT-05</t>
  </si>
  <si>
    <t xml:space="preserve">Remote Maintenance</t>
  </si>
  <si>
    <t xml:space="preserve">Mechanisms exist to authorize, monitor and control remote, non-local maintenance and diagnostic activities.</t>
  </si>
  <si>
    <t xml:space="preserve">Does the organization authorize, monitor and control remote, non-local maintenance and diagnostic activities?</t>
  </si>
  <si>
    <t xml:space="preserve">The organization implements and operates mechanisms to authorize, monitor and control remote, non-local maintenance and diagnostic activities.
Within the OT and AMI environment, this objective controls local and remote maintenance of OT and AMI assets, including vendor sessions, maintenance laptops and portable tools used in substations, plants and meter shops.</t>
  </si>
  <si>
    <t xml:space="preserve">The Managed Security Service Provider (MSSP), under the oversight of the Security Operations function and with OT visibility requirements, is responsible for:
a. Ensuring nonlocal maintenance and diagnostic activities are approved;
b. Ensuring nonlocal maintenance and diagnostic activities are monitored;
c. Ensuring the use of nonlocal maintenance and diagnostic tools are allowed only as consistent with organizational policy;
d. Ensuring multifactor authentication is used to establish nonlocal maintenance sessions via external network connections;
e. Ensuring nonlocal maintenance sessions established via external network connections are terminated when nonlocal maintenance is complete;
f. Ensuring the use of nonlocal maintenance and diagnostic tools are documented in the security plan for the system;
g. Ensuring strong authentication is employed in the establishment of nonlocal maintenance and diagnostic sessions;
h. Ensuring records for nonlocal maintenance and diagnostic activities are maintained;
i. Pre-approving, authenticating (with multi-factor authentication), monitoring, logging and recording remote maintenance sessions to OT and AMI systems; and
j. Verifying termination of remote maintenance sessions and disabling vendor accounts when not in use.</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</si>
  <si>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MA-04 | NIST SP 800-161 R1 C-SCRM: MA-4 | NIST Privacy Framework: PR.MA-P2 | NIST SP 800-53B Privacy: MA-04 | ISA/IEC 62443-3-2: ZCR 3.6.
Validation: Annual conformity validation; evidence artifacts to be defined; PPTDF applicability: Process.</t>
  </si>
  <si>
    <t xml:space="preserve">ZCR 3.6</t>
  </si>
  <si>
    <t xml:space="preserve">MA-04</t>
  </si>
  <si>
    <t xml:space="preserve">MA-4</t>
  </si>
  <si>
    <t xml:space="preserve">PR.MA-P2</t>
  </si>
  <si>
    <t xml:space="preserve">MNT-05.1</t>
  </si>
  <si>
    <t xml:space="preserve">Auditing Remote Maintenance</t>
  </si>
  <si>
    <t xml:space="preserve">Mechanisms exist to audit remote, non-local maintenance and diagnostic sessions, as well as review the maintenance action performed during remote maintenance sessions.</t>
  </si>
  <si>
    <t xml:space="preserve">Does the organization audit remote, non-local maintenance and diagnostic sessions, as well as review the maintenance action performed during remote maintenance sessions?</t>
  </si>
  <si>
    <t xml:space="preserve">The organization implements and operates mechanisms to audit remote, non-local maintenance and diagnostic sessions, as well as review the maintenance action performed during remote maintenance sessions.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</si>
  <si>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nonlocal maintenance and diagnostic activities are monitored;
b. Ensuring audit events to be logged for nonlocal maintenance are defined;
c. Ensuring audit events to be logged for diagnostic sessions are defined;
d. Ensuring audit events are logged for nonlocal maintenance sessions;
e. Ensuring audit events are logged for nonlocal diagnostic sessions;
f. Ensuring the audit records of the maintenance sessions are reviewed to detect anomalous behavior;
g. Ensuring the audit records of the diagnostic sessions are reviewed to detect anomalous behavior;
h. Pre-approving, authenticating, monitoring and logging remote maintenance sessions to OT and AMI systems and verifying session termination; and
i.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</si>
  <si>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MA-01, MA-04, MA-04(01) | NIST SP 800-161 R1 C-SCRM: MA-1, MA-4 | NIST SP 800-53B Privacy: MA-01, MA-04.
Validation: Annual conformity validation; evidence artifacts to be defined; PPTDF applicability: Process.</t>
  </si>
  <si>
    <t xml:space="preserve">MA-01, MA-04, MA-04(01)</t>
  </si>
  <si>
    <t xml:space="preserve">MA-1, MA-4</t>
  </si>
  <si>
    <t xml:space="preserve">MA-01, MA-04</t>
  </si>
  <si>
    <t xml:space="preserve">MNT-05.2</t>
  </si>
  <si>
    <t xml:space="preserve">Remote Maintenance Notifications</t>
  </si>
  <si>
    <t xml:space="preserve">Mechanisms exist to require maintenance personnel to notify affected stakeholders when remote, non-local maintenance is planned (e.g., date/time).</t>
  </si>
  <si>
    <t xml:space="preserve">Does the organization require maintenance personnel to notify affected stakeholders when remote, non-local maintenance is planned (e.g., date/time)?</t>
  </si>
  <si>
    <t xml:space="preserve">The organization implements and operates mechanisms to require maintenance personnel to notify affected stakeholders when remote, non-local maintenance is planned (e.g., date/time).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</si>
  <si>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personnel and roles to be notified of the date and time of planned nonlocal maintenance is/are defined;
b. Ensuring personnel and roles are notified of the date and time of planned nonlocal maintenance;
c. Pre-approving, authenticating, monitoring and logging remote maintenance sessions to OT and AMI systems and verifying session termination; and
d.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</si>
  <si>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MA-01, MA-04 | NIST SP 800-161 R1 C-SCRM: MA-1, MA-4 | NIST SP 800-53B Privacy: MA-01, MA-04.
Validation: Annual conformity validation; evidence artifacts to be defined; PPTDF applicability: Process.</t>
  </si>
  <si>
    <t xml:space="preserve">MNT-05.5</t>
  </si>
  <si>
    <t xml:space="preserve">Remote Maintenance Pre-Approval</t>
  </si>
  <si>
    <t xml:space="preserve">Mechanisms exist to require maintenance personnel to obtain pre-approval and scheduling for remote, non-local maintenance sessions.</t>
  </si>
  <si>
    <t xml:space="preserve">Does the organization require maintenance personnel to obtain pre-approval and scheduling for remote, non-local maintenance sessions?</t>
  </si>
  <si>
    <t xml:space="preserve">The organization implements and operates mechanisms to require maintenance personnel to obtain pre-approval and scheduling for remote, non-local maintenance sessions.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</si>
  <si>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personnel or roles required to approve each nonlocal maintenance session is/are defined;
b. Ensuring the approval of each nonlocal maintenance session is required by personnel or roles;
c. Pre-approving, authenticating, monitoring and logging remote maintenance sessions to OT and AMI systems and verifying session termination; and
d.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</si>
  <si>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NERC CIP: CIP-005-7 3.1.
Validation: Annual conformity validation; evidence artifacts to be defined; PPTDF applicability: Process.</t>
  </si>
  <si>
    <t xml:space="preserve">MA-04(05)</t>
  </si>
  <si>
    <t xml:space="preserve">CIP-005-7 3.1</t>
  </si>
  <si>
    <t xml:space="preserve">MNT-06</t>
  </si>
  <si>
    <t xml:space="preserve">Authorized Maintenance Personnel</t>
  </si>
  <si>
    <t xml:space="preserve">Mechanisms exist to maintain a current list of authorized maintenance organizations or personnel.</t>
  </si>
  <si>
    <t xml:space="preserve">Does the organization maintain a current list of authorized maintenance organizations or personnel?</t>
  </si>
  <si>
    <t xml:space="preserve">The organization implements and operates mechanisms to maintain a current list of authorized maintenance organizations or personnel.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</si>
  <si>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a process for maintenance personnel authorization is established;
b. Ensuring a list of authorized maintenance organizations or personnel is maintained;
c. Ensuring non-escorted personnel who perform maintenance on the system possess the required access authorizations;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</si>
  <si>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Role Based Access Control (RBAC); Separation of Duties (SoD).
In-scope requirement alignment: NIST SP 800-82 R3 (Moderate OT overlay): MA-05 | NIST SP 800-161 R1 C-SCRM: MA-5.
Validation: Annual conformity validation; evidence artifacts to be defined; PPTDF applicability: Process.</t>
  </si>
  <si>
    <t xml:space="preserve">MA-05</t>
  </si>
  <si>
    <t xml:space="preserve">MA-5</t>
  </si>
  <si>
    <t xml:space="preserve">∙ Role Based Access Control (RBAC)
∙ Separation of Duties (SoD)</t>
  </si>
  <si>
    <t xml:space="preserve">MNT-07</t>
  </si>
  <si>
    <t xml:space="preserve">Maintain Configuration Control During Maintenance</t>
  </si>
  <si>
    <t xml:space="preserve">Mechanisms exist to maintain proper physical security and configuration control over technology assets awaiting service or repair.</t>
  </si>
  <si>
    <t xml:space="preserve">Does the organization maintain proper physical security and configuration control over technology assets awaiting service or repair?</t>
  </si>
  <si>
    <t xml:space="preserve">The organization implements and operates mechanisms to maintain proper physical security and configuration control over technology assets awaiting service or repair.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</si>
  <si>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system components requiring configuration control are defined;
b. Ensuring configuration control over organization-defined system components awaiting service or repair is maintained;
c. Ensuring configuration control over serviced or repaired organization-defined system components awaiting return to service is maintained;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</si>
  <si>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SR-11(02) | NIST SP 800-161 R1 C-SCRM: SR-11(2).
Validation: Annual conformity validation; evidence artifacts to be defined; PPTDF applicability: Process.</t>
  </si>
  <si>
    <t xml:space="preserve">SR-11(02)</t>
  </si>
  <si>
    <t xml:space="preserve">SR-11(2)</t>
  </si>
  <si>
    <t xml:space="preserve">MNT-08</t>
  </si>
  <si>
    <t xml:space="preserve">Field Maintenance</t>
  </si>
  <si>
    <t xml:space="preserve">Mechanisms exist to securely conduct field maintenance on geographically deployed assets.</t>
  </si>
  <si>
    <t xml:space="preserve">Does the organization securely conduct field maintenance on geographically deployed assets?</t>
  </si>
  <si>
    <t xml:space="preserve">The organization implements and operates mechanisms to securely conduct field maintenance on geographically deployed assets.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</si>
  <si>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systems or system components on which field maintenance is restricted or prohibited to trusted maintenance facilities are defined;
b. Ensuring trusted maintenance facilities that are not restricted or prohibited from conducting field maintenance are defined;
c. Ensuring field maintenance on systems or system components are restricted or prohibited to trusted maintenance facilities;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</si>
  <si>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MA-07.
Validation: Annual conformity validation; evidence artifacts to be defined; PPTDF applicability: Process.</t>
  </si>
  <si>
    <t xml:space="preserve">MA-07</t>
  </si>
  <si>
    <t xml:space="preserve">MDM-01</t>
  </si>
  <si>
    <t xml:space="preserve">Centralized Management Of Mobile Devices</t>
  </si>
  <si>
    <t xml:space="preserve">Mobile Device Management</t>
  </si>
  <si>
    <t xml:space="preserve">MDM</t>
  </si>
  <si>
    <t xml:space="preserve">Mechanisms exist to implement and govern Mobile Device Management (MDM) controls.</t>
  </si>
  <si>
    <t xml:space="preserve">Does the organization implement and govern Mobile Device Management (MDM) controls?</t>
  </si>
  <si>
    <t xml:space="preserve">Manager, Endpoint Engineering (Mobile)</t>
  </si>
  <si>
    <t xml:space="preserve">Manager, Field Operations (handheld and in-vehicle devices)</t>
  </si>
  <si>
    <t xml:space="preserve">Mobile device management vendor; field device suppliers</t>
  </si>
  <si>
    <t xml:space="preserve">The organization shall manage mobile devices used in OT, field and AMI operations, including handheld meter programming devices, tablets and in-vehicle computers, so that they are centrally managed, encrypted, restricted to authorized applications and connections, and can be remotely disabled if lost or compromised.</t>
  </si>
  <si>
    <t xml:space="preserve">The organization implements and operates mechanisms to implement and govern Mobile Device Management (MDM) controls.
Within the OT and AMI environment, this objective covers handheld meter programming devices, field tablets and in-vehicle computers that interact with meters, collectors and OT systems.</t>
  </si>
  <si>
    <t xml:space="preserve">Managed Service Providers (MSPs), under the oversight of IT and OT Operations, are responsible for:
a. Ensuring policies and standards facilitate the implementation of mobile device management controls;
b. Ensuring usage restrictions are established for mobile devices;
c. Ensuring Mobile Device Management (MDM) operations are conducted according to documented policies, standards, procedures and/or other organizational directives;
d. Ensuring adequate resources (e.g., people, processes, technologies, data and/or facilities) are provided to support Mobile Device Management (MDM) operations;
e. Ensuring responsibility and authority for the performance of Mobile Device Management (MDM)-related activities are assigned to designated personnel;
f. Ensuring personnel performing Mobile Device Management (MDM)-related activities have the skills and knowledge needed to perform their assigned duties;
g. Centrally managing and encrypting mobile devices that interact with OT and AMI assets, with remote-wipe capability; and
h.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</si>
  <si>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Mobile Device Management (MDM) program that covers organization-owned and personally-owned devices.
In-scope requirement alignment: IEC 62443-3-3: SR 2.3, SR 2.3(b) | CSA IoT SCF: SAP-05.
Validation: Annual conformity validation; evidence artifacts to be defined; PPTDF applicability: Technology.</t>
  </si>
  <si>
    <t xml:space="preserve">SR 2.3, SR 2.3(b)</t>
  </si>
  <si>
    <t xml:space="preserve">SAP-05</t>
  </si>
  <si>
    <t xml:space="preserve">∙ Mobile Device Management (MDM) program that covers organization-owned and personally-owned devices</t>
  </si>
  <si>
    <t xml:space="preserve">MDM-02</t>
  </si>
  <si>
    <t xml:space="preserve">Access Control For Mobile Devices</t>
  </si>
  <si>
    <t xml:space="preserve">Mechanisms exist to enforce access control requirements for the connection of mobile devices to organizational Technology Assets, Applications and/or Services (TAAS).</t>
  </si>
  <si>
    <t xml:space="preserve">Does the organization enforce access control requirements for the connection of mobile devices to organizational Technology Assets, Applications and/or Services (TAAS)?</t>
  </si>
  <si>
    <t xml:space="preserve">The organization implements and operates mechanisms to enforce access control requirements for the connection of mobile devices to organizational Technology Assets, Applications and/or Services (TAAS).
Within the OT and AMI environment, this objective covers handheld meter programming devices, field tablets and in-vehicle computers that interact with meters, collectors and OT systems.</t>
  </si>
  <si>
    <t xml:space="preserve">Managed Service Providers (MSPs), under the oversight of IT and OT Operations, are responsible for:
a. Ensuring configuration requirements are established for organization-controlled mobile devices, including when such devices are outside of the controlled area;
b. Ensuring connection requirements are established for organization-controlled mobile devices, including when such devices are outside of the controlled area;
c. Ensuring the connection of mobile devices to the system is authorized;
d. Ensuring mobile devices that process, store or transmit sensitive / regulated data are identified;
e. Ensuring mobile device connections are monitored and logged;
f. Ensuring implementation guidance is established for organization-controlled mobile devices, including when such devices are outside of the controlled area;
g. Centrally managing and encrypting mobile devices that interact with OT and AMI assets, with remote-wipe capability; and
h.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</si>
  <si>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Microsoft Entra; AWS IAM.
In-scope requirement alignment: NIST SP 800-82 R3 (Moderate OT overlay): AC-19 | NIST SP 800-161 R1 C-SCRM: AC-19.
Validation: Annual conformity validation; evidence artifacts to be defined; PPTDF applicability: Technology.</t>
  </si>
  <si>
    <t xml:space="preserve">AC-19</t>
  </si>
  <si>
    <t xml:space="preserve">MDM-03</t>
  </si>
  <si>
    <t xml:space="preserve">Full Device &amp; Container-Based Encryption</t>
  </si>
  <si>
    <t xml:space="preserve">Cryptographic mechanisms exist to protect the confidentiality and integrity of information on mobile devices through full-device or container encryption.</t>
  </si>
  <si>
    <t xml:space="preserve">Are cryptographic mechanisms utilized to protect the confidentiality and integrity of information on mobile devices through full-device or container encryption?</t>
  </si>
  <si>
    <t xml:space="preserve">The organization implements and operates cryptographic mechanisms to protect the confidentiality and integrity of information on mobile devices through full-device or container encryption.
Within the OT and AMI environment, this objective covers handheld meter programming devices, field tablets and in-vehicle computers that interact with meters, collectors and OT systems.</t>
  </si>
  <si>
    <t xml:space="preserve">Managed Service Providers (MSPs), under the oversight of IT and OT Operations, are responsible for:
a. Ensuring mobile devices on which to employ encryption are defined;
b. Ensuring full-device or container-based encryption is implemented to protect the confidentiality of sensitive / regulated data on mobile devices;
c. Ensuring mobile devices and mobile computing platforms that process, store or transmit sensitive / regulated data are identified;
d. Ensuring encryption is employed to protect sensitive / regulated data on identified mobile devices and mobile computing platforms;
e. Centrally managing and encrypting mobile devices that interact with OT and AMI assets, with remote-wipe capability; and
f.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</si>
  <si>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Microsoft Entra; AWS IAM.
In-scope requirement alignment: NIST SP 800-82 R3 (Moderate OT overlay): AC-19(05) | NIST SP 800-53B Moderate: AC-19(05) | CSA IoT SCF: SAP-05.
Validation: Annual conformity validation; evidence artifacts to be defined; PPTDF applicability: Technology.</t>
  </si>
  <si>
    <t xml:space="preserve">AC-19(05)</t>
  </si>
  <si>
    <t xml:space="preserve">MDM-06</t>
  </si>
  <si>
    <t xml:space="preserve">Personally-Owned Mobile Devices</t>
  </si>
  <si>
    <t xml:space="preserve">Mechanisms exist to restrict the connection of personally-owned, mobile devices to organizational Technology Assets, Applications and/or Services (TAAS).</t>
  </si>
  <si>
    <t xml:space="preserve">Does the organization restrict the connection of personally-owned, mobile devices to organizational Technology Assets, Applications and/or Services (TAAS)?</t>
  </si>
  <si>
    <t xml:space="preserve">The organization implements and operates mechanisms to restrict the connection of personally-owned, mobile devices to organizational Technology Assets, Applications and/or Services (TAAS).
Within the OT and AMI environment, this objective covers handheld meter programming devices, field tablets and in-vehicle computers that interact with meters, collectors and OT systems.</t>
  </si>
  <si>
    <t xml:space="preserve">All workforce members, including OT personnel, contractors and vendors with access to OT or AMI assets, are responsible for:
a. Ensuring the connection of personally-owned, mobile devices to organizational systems and networks is restricted;
b. Centrally managing and encrypting mobile devices that interact with OT and AMI assets, with remote-wipe capability; and
c.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</si>
  <si>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Microsoft Entra; AWS IAM.
In-scope requirement alignment: CSA IoT SCF: SAP-05.
Validation: Annual conformity validation; evidence artifacts to be defined; PPTDF applicability: Technology.</t>
  </si>
  <si>
    <t xml:space="preserve">MDM-07</t>
  </si>
  <si>
    <t xml:space="preserve">Organization-Owned Mobile Devices</t>
  </si>
  <si>
    <t xml:space="preserve">Mechanisms exist to prohibit the installation of non-approved applications or approved applications not obtained through the organization-approved application store.</t>
  </si>
  <si>
    <t xml:space="preserve">Does the organization prohibit the installation of non-approved applications or approved applications not obtained through the organization-approved application store?</t>
  </si>
  <si>
    <t xml:space="preserve">The organization implements and operates mechanisms to prohibit the installation of non-approved applications or approved applications not obtained through the organization-approved application store.
Within the OT and AMI environment, this objective covers handheld meter programming devices, field tablets and in-vehicle computers that interact with meters, collectors and OT systems.</t>
  </si>
  <si>
    <t xml:space="preserve">Managed Service Providers (MSPs), under the oversight of IT and OT Operations, are responsible for:
a. Ensuring the installation of non-approved applications or approved applications not obtained through the organization-approved application store is prohibited;
b. Centrally managing and encrypting mobile devices that interact with OT and AMI assets, with remote-wipe capability; and
c. Restricting mobile devices used for OT and AMI functions to authorized applications and connections.</t>
  </si>
  <si>
    <t xml:space="preserve">MDM-09</t>
  </si>
  <si>
    <t xml:space="preserve">Mobile Device Geofencing</t>
  </si>
  <si>
    <t xml:space="preserve">Mechanisms exist to restrict the functionality of mobile devices based on geographic location.</t>
  </si>
  <si>
    <t xml:space="preserve">Does the organization restrict the functionality of mobile devices based on geographic location?</t>
  </si>
  <si>
    <t xml:space="preserve">The organization implements and operates mechanisms to restrict the functionality of mobile devices based on geographic location.
Within the OT and AMI environment, this objective covers handheld meter programming devices, field tablets and in-vehicle computers that interact with meters, collectors and OT systems.</t>
  </si>
  <si>
    <t xml:space="preserve">IT Operations and OT Operations teams (asset custodians) are responsible for:
a. Ensuring the functionality of mobile devices is restricted based on geographic location;
b. Centrally managing and encrypting mobile devices that interact with OT and AMI assets, with remote-wipe capability; and
c.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</si>
  <si>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Microsoft Entra; AWS IAM.
In-scope requirement alignment: CSA IoT SCF: IAM-05.
Validation: Annual conformity validation; evidence artifacts to be defined; PPTDF applicability: Technology.</t>
  </si>
  <si>
    <t xml:space="preserve">IAM-05</t>
  </si>
  <si>
    <t xml:space="preserve">MDM-11</t>
  </si>
  <si>
    <t xml:space="preserve">Restricting Access To Authorized Technology Assets, Applications and/or Services (TAAS)</t>
  </si>
  <si>
    <t xml:space="preserve">Mechanisms exist to restrict the connectivity of unauthorized mobile devices from communicating with organizational Technology Assets, Applications and/or Services (TAAS).</t>
  </si>
  <si>
    <t xml:space="preserve">Does the organization restrict the connectivity of unauthorized mobile devices from communicating with organizational Technology Assets, Applications and/or Services (TAAS)?</t>
  </si>
  <si>
    <t xml:space="preserve">E-NET-06</t>
  </si>
  <si>
    <t xml:space="preserve">The organization implements and operates mechanisms to restrict the connectivity of unauthorized mobile devices from communicating with organizational Technology Assets, Applications and/or Services (TAAS).
Within the OT and AMI environment, this objective covers handheld meter programming devices, field tablets and in-vehicle computers that interact with meters, collectors and OT systems.</t>
  </si>
  <si>
    <t xml:space="preserve">IT Operations and OT Operations teams (asset custodians) are responsible for:
a. Ensuring the connectivity of unauthorized mobile devices is restricted from communicating with systems, applications and services;
b. Centrally managing and encrypting mobile devices that interact with OT and AMI assets, with remote-wipe capability; and
c.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</si>
  <si>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Enterprise UEM platform (e.g., Microsoft Intune, JAMF); MTD solution; Zero-trust mobile access.
In-scope requirement alignment: IEC 62443-3-3: SR 2.3(a), SR 2.3(c), SR 2.3 RE 1.
Validation: Annual conformity validation; evidence artifacts E-NET-06; PPTDF applicability: Technology.</t>
  </si>
  <si>
    <t xml:space="preserve">SR 2.3(a), SR 2.3(c), SR 2.3 RE 1</t>
  </si>
  <si>
    <t xml:space="preserve">∙ Enterprise UEM platform (e.g., Microsoft Intune, JAMF)
∙ MTD solution
∙ Zero-trust mobile access</t>
  </si>
  <si>
    <t xml:space="preserve">NET-01</t>
  </si>
  <si>
    <t xml:space="preserve">Network Security Controls (NSC)</t>
  </si>
  <si>
    <t xml:space="preserve">Network Security</t>
  </si>
  <si>
    <t xml:space="preserve">NET</t>
  </si>
  <si>
    <t xml:space="preserve">Mechanisms exist to develop, govern &amp; update procedures to facilitate the implementation of Network Security Controls (NSC).</t>
  </si>
  <si>
    <t xml:space="preserve">Does the organization develop, govern &amp; update procedures to facilitate the implementation of Network Security Controls (NSC)?</t>
  </si>
  <si>
    <t xml:space="preserve">E-NET-04</t>
  </si>
  <si>
    <t xml:space="preserve">IEC 62443-2-1:2024; IEC 62443-3-3:2013; NIST SP 800-82 R3 - Moderate OT Overlay; NERC CIP; NIST Cybersecurity Framework 2.0; DOE Cybersecurity Capability Maturity Model; CSA IoT Security Controls Framework v2; NIST SP 800-161 R1 - C-SCRM Baseline; NIST Privacy Framework 1.0; NIST SP 800-53B R5 - Privacy baseline</t>
  </si>
  <si>
    <t xml:space="preserve">Director, Network Engineering</t>
  </si>
  <si>
    <t xml:space="preserve">OT Network / AMI Telecommunications Engineering Lead</t>
  </si>
  <si>
    <t xml:space="preserve">Telecommunications / RF mesh / cellular carriers; network equipment vendors; AMI vendor</t>
  </si>
  <si>
    <t xml:space="preserve">The organization shall architect and operate defense-in-depth network protections that segment enterprise IT, OT and AMI networks into zones and conduits based on risk, enforce deny-by-default data flows between zones, protect wireless and backhaul communications, and tightly control remote access. Network security for OT and AMI shall preserve the availability and determinism of control and metering traffic.</t>
  </si>
  <si>
    <t xml:space="preserve">The organization implements and operates mechanisms to develop, govern &amp; update procedures to facilitate the implementation of Network Security Controls (NSC).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</si>
  <si>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system and communications protection procedures to facilitate the implementation of the system and communications protection policy and associated system and communications protection controls are developed and documented;
b. Ensuring network security management operations are conducted according to documented policies, standards, procedures and/or other organizational directives;
c. Ensuring adequate resources (e.g., people, processes, technologies, data and/or facilities) are provided to support network security management operations;
d. Ensuring responsibility and authority for the performance of network security management-related activities are assigned to designated personnel;
e. Ensuring personnel performing network security management-related activities have the skills and knowledge needed to perform their assigned duties;
f. Ensuring personnel or roles to whom the system and communications protection policy is to be disseminated is/are defined;
g. Ensuring personnel or roles to whom the system and communications protection procedures are to be disseminated is/are defined;
h. Ensuring an official to manage the system and communications protection policy and procedures is defined;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</si>
  <si>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NGFW with threat intelligence feeds; Zero-trust network architecture; SIEM integration; NAC; SD-WAN.
In-scope requirement alignment: IEC 62443-2-1: NET 1.2 | IEC 62443-3-3: SR 7.6 | NIST SP 800-82 R3 (Moderate OT overlay): SC-01 | NERC CIP: CIP-003-8 1.1.2, CIP-005-7 1.1, CIP-005-7 1.2 | DOE C2M2: ARCHITECTURE-2a, ARCHITECTURE-2c, ARCHITECTURE-2f | NIST CSF 2.0: PR.IR-01 | NIST SP 800-161 R1 C-SCRM: SC-1 | CSA IoT SCF: OPA-06, OPA-07, OPA-08, SNT-01 | NIST Privacy Framework: PR.PT-P3 | NIST SP 800-53B Privacy: SC-01.
Validation: Annual conformity validation; evidence artifacts E-NET-04; PPTDF applicability: Technology.</t>
  </si>
  <si>
    <t xml:space="preserve">NET 1.2</t>
  </si>
  <si>
    <t xml:space="preserve">SR 7.6</t>
  </si>
  <si>
    <t xml:space="preserve">SC-01</t>
  </si>
  <si>
    <t xml:space="preserve">CIP-003-8 1.1.2, CIP-005-7 1.1, CIP-005-7 1.2</t>
  </si>
  <si>
    <t xml:space="preserve">ARCHITECTURE-2a, ARCHITECTURE-2c, ARCHITECTURE-2f</t>
  </si>
  <si>
    <t xml:space="preserve">PR.IR-01</t>
  </si>
  <si>
    <t xml:space="preserve">SC-1</t>
  </si>
  <si>
    <t xml:space="preserve">OPA-06, OPA-07, OPA-08, SNT-01</t>
  </si>
  <si>
    <t xml:space="preserve">PR.PT-P3</t>
  </si>
  <si>
    <t xml:space="preserve">5.14, 8.12, 8.20, 8.21</t>
  </si>
  <si>
    <t xml:space="preserve">∙ Enterprise NGFW with threat intelligence feeds
∙ Zero-trust network architecture
∙ SIEM integration
∙ NAC
∙ SD-WAN</t>
  </si>
  <si>
    <t xml:space="preserve">NET-01.1</t>
  </si>
  <si>
    <t xml:space="preserve">Zero Trust Architecture (ZTA)</t>
  </si>
  <si>
    <t xml:space="preserve">Mechanisms exist to treat all users and devices as potential threats and prevent access to data and resources until the users can be properly authenticated and their access authorized.</t>
  </si>
  <si>
    <t xml:space="preserve">Does the organization treat all users and devices as potential threats and prevent access to data and resources until the users can be properly authenticated and their access authorized?</t>
  </si>
  <si>
    <t xml:space="preserve">E-NET-05</t>
  </si>
  <si>
    <t xml:space="preserve">The organization implements and operates mechanisms to treat all users and devices as potential threats and prevent access to data and resources until the users can be properly authenticated and their access authorized.
Within the OT and AMI environment, this objective implements ISA/IEC 62443-3-2 zones and conduits across enterprise, DMZ, control center, substation, backhaul and AMI mesh networks with deny-by-default conduit enforcement and monitored remote access.</t>
  </si>
  <si>
    <t xml:space="preserve">The Managed Security Service Provider (MSSP), under the oversight of the Security Operations function and with OT visibility requirements, is responsible for:
a. Ensuring all users are treated as potential threats and prevent access to data and resources until the user can be properly authenticated and their access authorized;
b. Ensuring all devices are treated as potential threats and prevent access to data and resources until the device can be properly authenticated and its access authorized;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</si>
  <si>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ZTA platform (e.g., Zscaler, Palo Alto Prisma Access); Identity-based access; Microsegmentation; Continuous validation.
In-scope requirement alignment: IEC 62443-4-2: NDR 1.13 | CSA IoT SCF: SNT-02.
Validation: Annual conformity validation; evidence artifacts E-NET-05; PPTDF applicability: Technology.</t>
  </si>
  <si>
    <t xml:space="preserve">NDR 1.13</t>
  </si>
  <si>
    <t xml:space="preserve">SNT-02</t>
  </si>
  <si>
    <t xml:space="preserve">NIST Tenet 3, NIST Tenet 5, NIST Tenet 6</t>
  </si>
  <si>
    <t xml:space="preserve">∙ Enterprise ZTA platform (e.g., Zscaler, Palo Alto Prisma Access)
∙ Identity-based access
∙ Microsegmentation
∙ Continuous validation</t>
  </si>
  <si>
    <t xml:space="preserve">NET-02</t>
  </si>
  <si>
    <t xml:space="preserve">Layered Network Defenses</t>
  </si>
  <si>
    <t xml:space="preserve">Mechanisms exist to implement security functions as a layered structure that minimizes interactions between layers of the design and avoids any dependence by lower layers on the functionality or correctness of higher layers.</t>
  </si>
  <si>
    <t xml:space="preserve">Does the organization implement security functions as a layered structure that minimizes interactions between layers of the design and avoids any dependence by lower layers on the functionality or correctness of higher layers?</t>
  </si>
  <si>
    <t xml:space="preserve">IEC 62443-2-1:2024; CISA Cross-Sector Cybersecurity Performance Goals; NIST Cybersecurity Framework 2.0; DOE Cybersecurity Capability Maturity Model; CSA IoT Security Controls Framework v2; NIST Privacy Framework 1.0</t>
  </si>
  <si>
    <t xml:space="preserve">The organization implements and operates mechanisms to implement security functions as a layered structure that minimizes interactions between layers of the design and avoids any dependence by lower layers on the functionality or correctness of higher layers.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</si>
  <si>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security functions are implemented as a layered structure that minimizes interactions between layers of the design and avoiding any dependence by lower layers on the functionality or correctness of higher layers;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</si>
  <si>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defense-in-depth architecture; NGFW, SIEM, EDR/XDR, WAF, email security, DLP, UEBA.
In-scope requirement alignment: IEC 62443-2-1: NET 1.2 | CISA CPG: 2.X | DOE C2M2: ARCHITECTURE-2c | NIST CSF 2.0: PR.IR-01 | CSA IoT SCF: SNT-01 | NIST Privacy Framework: PR.AC-P5, PR.PT-P3.
Validation: Annual conformity validation; evidence artifacts E-DCH-03, E-DCH-04, E-DCH-05; PPTDF applicability: Technology.</t>
  </si>
  <si>
    <t xml:space="preserve">2.X</t>
  </si>
  <si>
    <t xml:space="preserve">ARCHITECTURE-2c</t>
  </si>
  <si>
    <t xml:space="preserve">SNT-01</t>
  </si>
  <si>
    <t xml:space="preserve">PR.AC-P5, PR.PT-P3</t>
  </si>
  <si>
    <t xml:space="preserve">8.20</t>
  </si>
  <si>
    <t xml:space="preserve">∙ Enterprise defense-in-depth architecture
∙ NGFW, SIEM, EDR/XDR, WAF, email security, DLP, UEBA</t>
  </si>
  <si>
    <t xml:space="preserve">NET-02.1</t>
  </si>
  <si>
    <t xml:space="preserve">Denial of Service (DoS) Protection</t>
  </si>
  <si>
    <t xml:space="preserve">Automated mechanisms exist to protect against or limit the effects of denial of service attacks.</t>
  </si>
  <si>
    <t xml:space="preserve">Does the organization use automated mechanisms to protect against or limit the effects of denial of service attacks?</t>
  </si>
  <si>
    <t xml:space="preserve">IEC 62443-3-3:2013; IEC 62443-4-2:2019; NIST SP 800-82 R3 - Moderate OT Overlay; CSA IoT Security Controls Framework v2; NIST SP 800-53B R5 - Privacy baseline</t>
  </si>
  <si>
    <t xml:space="preserve">The organization implements and operates automated mechanisms to protect against or limit the effects of denial of service attacks.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</si>
  <si>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types of denial-of-service events to be protected against or limited are defined;
b. Ensuring resource prioritization is designed to limit negative effects of denial-of-service events;
c. Ensuring controls to achieve the denial-of-service objective by type of denial-of-service event are defined;
d. Ensuring controls by type of denial-of-service event are employed to achieve the denial-of-service protection objective;
e. Ensuring the ability of individuals to launch denial-of-service attacks against other systems is restricted;
f. Ensuring the effects of types of denial-of-service events are organizationally-defined;
g. Ensuring capacity, bandwidth or other redundancies to limit the effects of information flooding denial-of-service attacks are managed;
h. Ensuring monitoring tools for detecting indicators of denial-of-service attacks are defined;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</si>
  <si>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DDoS mitigation platform; BGP-based scrubbing centers; Always-on cloud DDoS protection; On-prem + cloud hybrid protection.
In-scope requirement alignment: IEC 62443-3-3: SR 7.1, SR 7.1 RE 1, SR 7.1 RE 2 | IEC 62443-4-2: CR 7.1, CR 7.1(1) | NIST SP 800-82 R3 (Moderate OT overlay): SC-05 | CSA IoT SCF: OPA-08, OPA-09 | NIST SP 800-53B Privacy: SC-05.
Validation: Quarterly conformity validation; evidence artifacts to be defined; PPTDF applicability: Technology.</t>
  </si>
  <si>
    <t xml:space="preserve">SR 7.1, SR 7.1 RE 1, SR 7.1 RE 2</t>
  </si>
  <si>
    <t xml:space="preserve">CR 7.1, CR 7.1(1)</t>
  </si>
  <si>
    <t xml:space="preserve">∙ Enterprise DDoS mitigation platform
∙ BGP-based scrubbing centers
∙ Always-on cloud DDoS protection
∙ On-prem + cloud hybrid protection</t>
  </si>
  <si>
    <t xml:space="preserve">NET-03</t>
  </si>
  <si>
    <t xml:space="preserve">Boundary Protection</t>
  </si>
  <si>
    <t xml:space="preserve">Mechanisms exist to monitor and control communications at the external network boundary and at key internal boundaries within the network.</t>
  </si>
  <si>
    <t xml:space="preserve">Does the organization monitor and control communications at the external network boundary and at key internal boundaries within the network?</t>
  </si>
  <si>
    <t xml:space="preserve">E-NET-08, E-NET-09</t>
  </si>
  <si>
    <t xml:space="preserve">IEC 62443-2-1:2024; IEC 62443-3-3:2013; IEC 62443-4-2:2019; NIST SP 800-82 R3 - Moderate OT Overlay; NERC CIP; CSA IoT Security Controls Framework v2; NIST SP 800-161 R1 - C-SCRM Baseline; NIST SP 800-53B R5 - Privacy baseline; ANSI/ISA-62443-3-2:2020</t>
  </si>
  <si>
    <t xml:space="preserve">The organization implements and operates mechanisms to monitor and control communications at the external network boundary and at key internal boundaries within the network.
Within the OT and AMI environment, this objective defines and protects the external boundary of OT and AMI networks and key internal boundaries between enterprise IT, the OT DMZ, control, safety and AMI field zones, consistent with ISA/IEC 62443-3-2 zone and conduit partitioning.</t>
  </si>
  <si>
    <t xml:space="preserve">IT Operations and OT Operations teams (asset custodians) are responsible for:
a. Ensuring the external system boundary is defined;
b. Ensuring key internal system boundaries are defined;
c. Ensuring communications are protected at the external system boundary;
d. Ensuring communications are protected at key internal boundaries;
e. Ensuring communications are monitored at the external system boundary;
f. Ensuring communications are controlled at the external system boundary;
g. Ensuring communications are monitored at key internal boundaries;
h. Ensuring communications are controlled at key internal boundaries;
i. Defining the external boundary and key internal boundaries of OT and AMI networks as zones and conduits, and documenting every access point;
j. Routing all communications between enterprise IT (including hosted services) and OT or AMI head-end systems through an OT DMZ with boundary protection devices and no direct connectivity; and
k. Monitoring and controlling communications at each zone boundary with deny-by-default rules and documented business justification for each permitted flow.</t>
  </si>
  <si>
    <t xml:space="preserve">OT/AMI implementation guidance: Model boundaries per ISA/IEC 62443-3-2 ZCR 1.1 and 3.x; align with IEC 62443-3-3 SR 5.2, NIST SP 800-82 R3 SC-7 and NERC CIP-005 Electronic Security Perimeters where applicable; consider data diodes for one-way historian or telemetry flows.
Suggested solutions and considerations (SCF 2026.2, enterprise): Enterprise perimeter security; NGFW, IPS, DMZ; Zero-trust perimeter; Continuous boundary monitoring.
In-scope requirement alignment: IEC 62443-2-1: NET 1.3 | IEC 62443-3-3: SR 5.2 | IEC 62443-4-2: CR 5.2, NDR 5.2 | NIST SP 800-82 R3 (Moderate OT overlay): SC-07 | NERC CIP: CIP-005-7 1.5 | NIST SP 800-161 R1 C-SCRM: SC-7 | CSA IoT SCF: IOT-10 | NIST SP 800-53B Privacy: SC-07(09), SC-07(11) | ISA/IEC 62443-3-2: ZCR 1.1, ZCR 3.6.
Validation: Annual conformity validation; evidence artifacts E-NET-08, E-NET-09; PPTDF applicability: Technology.</t>
  </si>
  <si>
    <t xml:space="preserve">NET 1.3</t>
  </si>
  <si>
    <t xml:space="preserve">SR 5.2</t>
  </si>
  <si>
    <t xml:space="preserve">CR 5.2, NDR 5.2</t>
  </si>
  <si>
    <t xml:space="preserve">ZCR 1.1, ZCR 3.6</t>
  </si>
  <si>
    <t xml:space="preserve">SC-07, SC-07(09), SC-07(11)</t>
  </si>
  <si>
    <t xml:space="preserve">SC-07</t>
  </si>
  <si>
    <t xml:space="preserve">CIP-005-7 1.5</t>
  </si>
  <si>
    <t xml:space="preserve">SC-7</t>
  </si>
  <si>
    <t xml:space="preserve">IOT-10</t>
  </si>
  <si>
    <t xml:space="preserve">SC-07(09), SC-07(11)</t>
  </si>
  <si>
    <t xml:space="preserve">8.20, 8.21</t>
  </si>
  <si>
    <t xml:space="preserve">∙ Enterprise perimeter security
∙ NGFW, IPS, DMZ
∙ Zero-trust perimeter
∙ Continuous boundary monitoring</t>
  </si>
  <si>
    <t xml:space="preserve">NET-03.1</t>
  </si>
  <si>
    <t xml:space="preserve">Limit Network Connections</t>
  </si>
  <si>
    <t xml:space="preserve">Mechanisms exist to limit the number of concurrent external network connections to its Technology Assets, Applications and/or Services (TAAS).</t>
  </si>
  <si>
    <t xml:space="preserve">Does the organization limit the number of concurrent external network connections to its Technology Assets, Applications and/or Services (TAAS)?</t>
  </si>
  <si>
    <t xml:space="preserve">The organization implements and operates mechanisms to limit the number of concurrent external network connections to its Technology Assets, Applications and/or Services (TAAS).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</si>
  <si>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number of external network connections to the system is limited;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</si>
  <si>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firewall management platform (e.g., Tufin, FireMon); Zero-trust network access (ZTNA); Automated rule optimization.
In-scope requirement alignment: NIST SP 800-82 R3 (Moderate OT overlay): SC-07(03) | NIST SP 800-53B Moderate: SC-07(03) | CSA IoT SCF: SWS-04 | NIST SP 800-53B Privacy: SI-04(25).
Validation: Annual conformity validation; evidence artifacts to be defined; PPTDF applicability: Technology.</t>
  </si>
  <si>
    <t xml:space="preserve">SC-07(03), SI-04(25)</t>
  </si>
  <si>
    <t xml:space="preserve">SC-07(03)</t>
  </si>
  <si>
    <t xml:space="preserve">SWS-04</t>
  </si>
  <si>
    <t xml:space="preserve">∙ Enterprise firewall management platform (e.g., Tufin, FireMon)
∙ Zero-trust network access (ZTNA)
∙ Automated rule optimization</t>
  </si>
  <si>
    <t xml:space="preserve">NET-03.2</t>
  </si>
  <si>
    <t xml:space="preserve">External Telecommunications Services</t>
  </si>
  <si>
    <t xml:space="preserve">Mechanisms exist to maintain a managed interface for each external telecommunication service that protects the confidentiality and integrity of the information being transmitted across each interface.</t>
  </si>
  <si>
    <t xml:space="preserve">Does the organization maintain a managed interface for each external telecommunication service that protects the confidentiality and integrity of the information being transmitted across each interface?</t>
  </si>
  <si>
    <t xml:space="preserve">The organization implements and operates mechanisms to maintain a managed interface for each external telecommunication service that protects the confidentiality and integrity of the information being transmitted across each interface.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</si>
  <si>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frequency at which to review exceptions to traffic flow policy is defined;
b. Ensuring a managed interface is implemented for each external telecommunication service;
c. Ensuring a traffic flow policy is established for each managed interface;
d. Ensuring the confidentiality of the information being transmitted across each interface is protected;
e. Ensuring the integrity of the information being transmitted across each interface is protected;
f. Ensuring each exception to the traffic flow policy is documented with a supporting mission or business need and duration of that need;
g. Ensuring exceptions to the traffic flow policy are reviewed frequently;
h. Ensuring exceptions to the traffic flow policy that are no longer supported by an explicit mission or business need are removed;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</si>
  <si>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telecom governance framework; Redundant multi-provider architecture; Automated failover; Provider security assessments.
In-scope requirement alignment: NIST SP 800-82 R3 (Moderate OT overlay): SC-07(04) | NIST SP 800-53B Moderate: SC-07(04) | NIST SP 800-53B Privacy: SC-07(09).
Validation: Annual conformity validation; evidence artifacts to be defined; PPTDF applicability: Process.</t>
  </si>
  <si>
    <t xml:space="preserve">SC-07(04), SC-07(09)</t>
  </si>
  <si>
    <t xml:space="preserve">SC-07(04)</t>
  </si>
  <si>
    <t xml:space="preserve">SC-07(09)</t>
  </si>
  <si>
    <t xml:space="preserve">∙ Enterprise telecom governance framework
∙ Redundant multi-provider architecture
∙ Automated failover
∙ Provider security assessments</t>
  </si>
  <si>
    <t xml:space="preserve">NET-03.4</t>
  </si>
  <si>
    <t xml:space="preserve">Personal Data (PD)</t>
  </si>
  <si>
    <t xml:space="preserve">Mechanisms exist to apply network-based processing rules to data elements of Personal Data (PD).</t>
  </si>
  <si>
    <t xml:space="preserve">Does the organization apply network-based processing rules to data elements of Personal Data (PD)?</t>
  </si>
  <si>
    <t xml:space="preserve">The organization implements and operates mechanisms to apply network-based processing rules to data elements of Personal Data (PD).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</si>
  <si>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processing rules for systems that process Personal Data (PD) are defined;
b. Ensuring processing rules are applied to data elements of Personal Data (PD) on systems that process Personal Data (PD);
c. Ensuring permitted processing is monitored at the external interfaces to the systems that process Personal Data (PD);
d. Ensuring permitted processing is monitored at key internal boundaries within the systems that process Personal Data (PD);
e. Ensuring each processing exception is documented for systems that process Personal Data (PD);
f. Ensuring exceptions for systems that process Personal Data (PD) are reviewed;
g. Ensuring exceptions for systems that process Personal Data (PD) that are no longer supported are removed;
h. Partitioning OT and AMI networks into zones and conduits based on risk assessment, with enterprise IT, OT, safety-related and AMI field networks in separate zones and all inter-zone traffic routed through monitored, deny-by-default conduits;
i. Maintaining an OT demilitarized zone (DMZ) for all data exchange between enterprise IT (including hosted services) and OT or AMI head-end systems, with no direct enterprise-to-OT connectivity; and
j.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</si>
  <si>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Data Loss Prevention (DLP).
In-scope requirement alignment: NIST SP 800-53B Privacy: SC-07(24).
Validation: Annual conformity validation; evidence artifacts to be defined; PPTDF applicability: Technology.</t>
  </si>
  <si>
    <t xml:space="preserve">SC-07(24)</t>
  </si>
  <si>
    <t xml:space="preserve">∙ Data Loss Prevention (DLP)</t>
  </si>
  <si>
    <t xml:space="preserve">NET-03.5</t>
  </si>
  <si>
    <t xml:space="preserve">Prevent Unauthorized Exfiltration</t>
  </si>
  <si>
    <t xml:space="preserve">Automated mechanisms exist to prevent the unauthorized exfiltration of sensitive and/or regulated data across managed interfaces.</t>
  </si>
  <si>
    <t xml:space="preserve">Does the organization use automated mechanisms to prevent the unauthorized exfiltration of sensitive and/or regulated data across managed interfaces?</t>
  </si>
  <si>
    <t xml:space="preserve">DOE Cybersecurity Capability Maturity Model; NIST SP 800-53B R5 - Privacy baseline</t>
  </si>
  <si>
    <t xml:space="preserve">The organization implements and operates automated mechanisms to prevent the unauthorized exfiltration of sensitive and/or regulated data across managed interfaces.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</si>
  <si>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exfiltration of information is prevented;
b. Ensuring the frequency for conducting exfiltration tests is defined;
c. Ensuring exfiltration tests are conducted per an organization-defined frequency;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</si>
  <si>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Data Loss Prevention (DLP).
In-scope requirement alignment: DOE C2M2: ARCHITECTURE-5f | NIST SP 800-53B Privacy: SC-07(10).
Validation: Quarterly conformity validation; evidence artifacts to be defined; PPTDF applicability: Technology.</t>
  </si>
  <si>
    <t xml:space="preserve">SC-07(10)</t>
  </si>
  <si>
    <t xml:space="preserve">ARCHITECTURE-5f</t>
  </si>
  <si>
    <t xml:space="preserve">NET-03.6</t>
  </si>
  <si>
    <t xml:space="preserve">Dynamic Isolation &amp; Segregation (Sandboxing)</t>
  </si>
  <si>
    <t xml:space="preserve">Automated mechanisms exist to dynamically isolate (e.g., sandbox) untrusted components during runtime, where the component is isolated in a fault-contained environment but it can still collaborate with the application.</t>
  </si>
  <si>
    <t xml:space="preserve">Does the organization use automated mechanisms to dynamically isolate (e.g., sandbox) untrusted components during runtime, where the component is isolated in a fault-contained environment but it can still collaborate with the application?</t>
  </si>
  <si>
    <t xml:space="preserve">The organization implements and operates automated mechanisms to dynamically isolate (e.g., sandbox) untrusted components during runtime, where the component is isolated in a fault-contained environment but it can still collaborate with the application.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</si>
  <si>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system components to be dynamically isolated from other system components are defined;
b. Ensuring the capability to dynamically isolate organization-defined system components from other system components is provided;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</si>
  <si>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sandboxing and dynamic isolation platform; Automated containment via SOAR; Network quarantine capabilities.
In-scope requirement alignment: DOE C2M2: ARCHITECTURE-2l.
Validation: Quarterly conformity validation; evidence artifacts to be defined; PPTDF applicability: Technology.</t>
  </si>
  <si>
    <t xml:space="preserve">SC-07(20)</t>
  </si>
  <si>
    <t xml:space="preserve">ARCHITECTURE-2l</t>
  </si>
  <si>
    <t xml:space="preserve">∙ Enterprise sandboxing and dynamic isolation platform
∙ Automated containment via SOAR
∙ Network quarantine capabilities</t>
  </si>
  <si>
    <t xml:space="preserve">NET-03.7</t>
  </si>
  <si>
    <t xml:space="preserve">Isolation of System Components</t>
  </si>
  <si>
    <t xml:space="preserve">Mechanisms exist to employ boundary protections to isolate Technology Assets, Applications and/or Services (TAAS) that support critical missions and/or business functions.</t>
  </si>
  <si>
    <t xml:space="preserve">Does the organization employ boundary protections to isolate Technology Assets, Applications and/or Services (TAAS) that support critical missions and/or business functions?</t>
  </si>
  <si>
    <t xml:space="preserve">The organization implements and operates mechanisms to employ boundary protections to isolate Technology Assets, Applications and/or Services (TAAS) that support critical missions and/or business functions.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</si>
  <si>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system components to be isolated by boundary protection mechanisms are defined;
b. Ensuring boundary protection mechanisms are employed to isolate system components supporting missions and/or business functions;
c. Ensuring missions and/or business functions to be supported by system components isolated by boundary protection mechanisms are defined;
d. Ensuring physical isolation techniques are defined;
e. Ensuring logical isolation techniques are defined;
f. Ensuring physical isolation techniques and/or organization-defined logical isolation techniques are employed in organizational systems and system components;
g. Partitioning OT and AMI networks into zones and conduits based on risk assessment, with enterprise IT, OT, safety-related and AMI field networks in separate zones and all inter-zone traffic routed through monitored, deny-by-default conduits;
h. Maintaining an OT demilitarized zone (DMZ) for all data exchange between enterprise IT (including hosted services) and OT or AMI head-end systems, with no direct enterprise-to-OT connectivity; and
i.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</si>
  <si>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microsegmentation platform (e.g., Illumio, VMware NSX); Zero-trust workload isolation; Automated policy enforcement.
In-scope requirement alignment: IEC 62443-2-1: NET 1.3, NET 1.7.
Validation: Annual conformity validation; evidence artifacts to be defined; PPTDF applicability: Technology.</t>
  </si>
  <si>
    <t xml:space="preserve">NET 1.3, NET 1.7</t>
  </si>
  <si>
    <t xml:space="preserve">SC-07(21)</t>
  </si>
  <si>
    <t xml:space="preserve">∙ Enterprise microsegmentation platform (e.g., Illumio, VMware NSX)
∙ Zero-trust workload isolation
∙ Automated policy enforcement</t>
  </si>
  <si>
    <t xml:space="preserve">NET-03.8</t>
  </si>
  <si>
    <t xml:space="preserve">Separate Subnet for Connecting to Different Security Domains</t>
  </si>
  <si>
    <t xml:space="preserve">Mechanisms exist to implement separate network addresses (e.g., different subnets) to connect to systems in different security domains.</t>
  </si>
  <si>
    <t xml:space="preserve">Does the organization implement separate network addresses (e.g., different subnets) to connect to systems in different security domains?</t>
  </si>
  <si>
    <t xml:space="preserve">The organization implements and operates mechanisms to implement separate network addresses (e.g., different subnets) to connect to systems in different security domains.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</si>
  <si>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separate network addresses are implemented to connect to systems in different security domains;
b. Ensuring critical system components and functions are logically isolated;
c. Ensuring critical system components and functions to be isolated are defined;
d. Ensuring subnetworks are separated organization-defined criteria to isolate critical system components and functions;
e. Ensuring physical isolation techniques are defined;
f. Ensuring logical isolation techniques are defined;
g. Ensuring physical isolation techniques and/or organization-defined logical isolation techniques are employed in organizational systems and system components;
h. Partitioning OT and AMI networks into zones and conduits based on risk assessment, with enterprise IT, OT, safety-related and AMI field networks in separate zones and all inter-zone traffic routed through monitored, deny-by-default conduits;
i. Maintaining an OT demilitarized zone (DMZ) for all data exchange between enterprise IT (including hosted services) and OT or AMI head-end systems, with no direct enterprise-to-OT connectivity; and
j.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</si>
  <si>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network architecture with security-domain-based subnets; Automated firewall policy enforcement between zones.
In-scope requirement alignment: IEC 62443-2-1: NET 1.3 | NIST SP 800-53B Privacy: SC-07(29).
Validation: Annual conformity validation; evidence artifacts to be defined; PPTDF applicability: Technology.</t>
  </si>
  <si>
    <t xml:space="preserve">SC-07(22), SC-07(29)</t>
  </si>
  <si>
    <t xml:space="preserve">∙ Enterprise network architecture with security-domain-based subnets
∙ Automated firewall policy enforcement between zones</t>
  </si>
  <si>
    <t xml:space="preserve">NET-04</t>
  </si>
  <si>
    <t xml:space="preserve">Data Flow Enforcement – Access Control Lists (ACLs)</t>
  </si>
  <si>
    <t xml:space="preserve">Mechanisms exist to implement and govern Access Control Lists (ACLs) to provide data flow enforcement that explicitly restrict network traffic to only what is authorized.</t>
  </si>
  <si>
    <t xml:space="preserve">Does the organization implement and govern Access Control Lists (ACLs) to provide data flow enforcement that explicitly restrict network traffic to only what is authorized?</t>
  </si>
  <si>
    <t xml:space="preserve">E-AST-12, E-AST-19, E-NET-06, E-NET-07, E-NET-10</t>
  </si>
  <si>
    <t xml:space="preserve">IEC 62443-2-1:2024; IEC 62443-3-3:2013; IEC 62443-4-2:2019; NIST SP 800-82 R3 - Moderate OT Overlay; NERC CIP; CISA Cross-Sector Cybersecurity Performance Goals; NIST SP 800-53B R5 - Moderate baseline; DOE Cybersecurity Capability Maturity Model; CSA IoT Security Controls Framework v2</t>
  </si>
  <si>
    <t xml:space="preserve">The organization implements and operates mechanisms to implement and govern Access Control Lists (ACLs) to provide data flow enforcement that explicitly restrict network traffic to only what is authorized.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</si>
  <si>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information flow control policies are defined;
b. Ensuring methods and enforcement mechanisms for controlling the flow of sensitive / regulated data are defined;
c. Ensuring approved authorizations are enforced for controlling the flow of information within the system and between connected systems based on organization-defined information flow control policies;
d. Ensuring designated sources and destinations (e.g., networks, individuals and devices) for sensitive / regulated data within the system and between interconnected systems are identified;
e. Ensuring authorizations for controlling the flow of sensitive / regulated data are defined;
f. Ensuring secure information transfer solutions are defined;
g. Ensuring information flows between security domains on connected systems are identified;
h. Ensuring solutions are employed to control information flows between security domains on connected systems;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</si>
  <si>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Access Control Lists (ACLs).
In-scope requirement alignment: IEC 62443-2-1: NET 1.6, NET 1.8 | IEC 62443-3-3: SR 1.13 RE 1, SR 5.3 | IEC 62443-4-2: NDR 1.13(1) | NIST SP 800-82 R3 (Moderate OT overlay): AC-04 | NERC CIP: CIP-005-7 1.3 | CISA CPG: 2.F, 2.W, 2.X | DOE C2M2: ARCHITECTURE-2e | NIST SP 800-53B Moderate: AC-04 | CSA IoT SCF: CLS-12, SWS-05.
Validation: Annual conformity validation; evidence artifacts E-AST-12, E-AST-19, E-NET-06, E-NET-07, E-NET-10; PPTDF applicability: Technology.</t>
  </si>
  <si>
    <t xml:space="preserve">NET 1.6, NET 1.8</t>
  </si>
  <si>
    <t xml:space="preserve">SR 1.13 RE 1, SR 5.3</t>
  </si>
  <si>
    <t xml:space="preserve">NDR 1.13(1)</t>
  </si>
  <si>
    <t xml:space="preserve">AC-04</t>
  </si>
  <si>
    <t xml:space="preserve">CIP-005-7 1.3</t>
  </si>
  <si>
    <t xml:space="preserve">2.F, 2.W, 2.X</t>
  </si>
  <si>
    <t xml:space="preserve">ARCHITECTURE-2e</t>
  </si>
  <si>
    <t xml:space="preserve">CLS-12, SWS-05</t>
  </si>
  <si>
    <t xml:space="preserve">5.14, 8.3, 8.20</t>
  </si>
  <si>
    <t xml:space="preserve">∙ Access Control Lists (ACLs)</t>
  </si>
  <si>
    <t xml:space="preserve">NET-04.1</t>
  </si>
  <si>
    <t xml:space="preserve">Deny Traffic by Default &amp; Allow Traffic by Exception</t>
  </si>
  <si>
    <t xml:space="preserve">Mechanisms exist to configure firewall and router configurations to deny network traffic by default and allow network traffic by exception (e.g., deny all, permit by exception).</t>
  </si>
  <si>
    <t xml:space="preserve">Does the organization configure firewall and router configurations to deny network traffic by default and allow network traffic by exception (e.g., deny all, permit by exception)?</t>
  </si>
  <si>
    <t xml:space="preserve">E-AST-12, E-AST-19, E-NET-07, E-NET-10</t>
  </si>
  <si>
    <t xml:space="preserve">IEC 62443-2-1:2024; IEC 62443-3-3:2013; IEC 62443-4-2:2019; NIST SP 800-82 R3 - Moderate OT Overlay; CISA Cross-Sector Cybersecurity Performance Goals; NIST SP 800-53B R5 - Moderate baseline; DOE Cybersecurity Capability Maturity Model; CSA IoT Security Controls Framework v2; NIST SP 800-53B R5 - Privacy baseline</t>
  </si>
  <si>
    <t xml:space="preserve">The organization implements and operates mechanisms to configure firewall and router configurations to deny network traffic by default and allow network traffic by exception (e.g., deny all, permit by exception).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</si>
  <si>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network communications traffic is denied by default;
b. Ensuring network communications traffic is allowed by exception;
c. Ensuring systems for which network communications traffic is denied by default and network communications traffic is allowed by exception are defined;
d. Ensuring authorized sources of incoming communications to be routed are defined;
e. Ensuring authorized destinations to which incoming communications from authorized sources may be routed are defined;
f. Ensuring only incoming communications from authorized sources are allowed to be routed to authorized destinations;
g. Partitioning OT and AMI networks into zones and conduits based on risk assessment, with enterprise IT, OT, safety-related and AMI field networks in separate zones and all inter-zone traffic routed through monitored, deny-by-default conduits;
h. Maintaining an OT demilitarized zone (DMZ) for all data exchange between enterprise IT (including hosted services) and OT or AMI head-end systems, with no direct enterprise-to-OT connectivity; and
i.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</si>
  <si>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Access Control Lists (ACLs).
In-scope requirement alignment: IEC 62443-2-1: NET 1.7 | IEC 62443-3-3: SR 5.2 RE 1, SR 5.3 RE 1 | IEC 62443-4-2: CR 5.3, NDR 1.13(1), NDR 5.2(1), NDR 5.2(2), NDR 5.3 | NIST SP 800-82 R3 (Moderate OT overlay): SC-07(05) | CISA CPG: 2.F, 2.W, 2.X | DOE C2M2: ARCHITECTURE-2e | NIST SP 800-53B Moderate: SC-07(05) | CSA IoT SCF: SWS-05 | NIST SP 800-53B Privacy: SC-07(11).
Validation: Annual conformity validation; evidence artifacts E-AST-12, E-AST-19, E-NET-07, E-NET-10; PPTDF applicability: Technology.</t>
  </si>
  <si>
    <t xml:space="preserve">NET 1.7</t>
  </si>
  <si>
    <t xml:space="preserve">SR 5.2 RE 1, SR 5.3 RE 1</t>
  </si>
  <si>
    <t xml:space="preserve">CR 5.3, NDR 1.13(1), NDR 5.2(1), NDR 5.2(2), NDR 5.3</t>
  </si>
  <si>
    <t xml:space="preserve">SC-07(05), SC-07(11)</t>
  </si>
  <si>
    <t xml:space="preserve">SC-07(05)</t>
  </si>
  <si>
    <t xml:space="preserve">SWS-05</t>
  </si>
  <si>
    <t xml:space="preserve">SC-07(11)</t>
  </si>
  <si>
    <t xml:space="preserve">5.14, 8.20</t>
  </si>
  <si>
    <t xml:space="preserve">∙ Secure Baseline Configurations (SBC)
∙ Access Control Lists (ACLs)</t>
  </si>
  <si>
    <t xml:space="preserve">NET-04.5</t>
  </si>
  <si>
    <t xml:space="preserve">Metadata</t>
  </si>
  <si>
    <t xml:space="preserve">Mechanisms exist to enforce information flow controls based on metadata.</t>
  </si>
  <si>
    <t xml:space="preserve">Does the organization enforce information flow controls based on metadata?</t>
  </si>
  <si>
    <t xml:space="preserve">The organization implements and operates mechanisms to enforce information flow controls based on metadata.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</si>
  <si>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metadata on which to base enforcement of information flow control is defined;
b. Ensuring information flow control enforcement is based on organization-defined metadata;
c. Ensuring secure information transfer solutions are defined;
d. Ensuring information flows between security domains on connected systems are identified;
e. Ensuring solutions are employed to control information flows between security domains on connected systems;
f. Partitioning OT and AMI networks into zones and conduits based on risk assessment, with enterprise IT, OT, safety-related and AMI field networks in separate zones and all inter-zone traffic routed through monitored, deny-by-default conduits;
g. Maintaining an OT demilitarized zone (DMZ) for all data exchange between enterprise IT (including hosted services) and OT or AMI head-end systems, with no direct enterprise-to-OT connectivity; and
h.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</si>
  <si>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metadata management and DLP platform; Automated metadata classification and stripping; DLP integration.
In-scope requirement alignment: CSA IoT SCF: DAT-01, GVN-06.
Validation: Annual conformity validation; evidence artifacts to be defined; PPTDF applicability: Technology.</t>
  </si>
  <si>
    <t xml:space="preserve">AC-04(06)</t>
  </si>
  <si>
    <t xml:space="preserve">∙ Enterprise metadata management and DLP platform
∙ Automated metadata classification and stripping
∙ DLP integration</t>
  </si>
  <si>
    <t xml:space="preserve">NET-05</t>
  </si>
  <si>
    <t xml:space="preserve">Interconnection Security Agreements (ISAs)</t>
  </si>
  <si>
    <t xml:space="preserve">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</si>
  <si>
    <t xml:space="preserve">Does the organization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</si>
  <si>
    <t xml:space="preserve">IEC 62443-2-1:2024; NIST SP 800-82 R3 - Moderate OT Overlay; NIST SP 800-161 R1 - C-SCRM Baseline</t>
  </si>
  <si>
    <t xml:space="preserve">The organization implements and operates mechanisms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</si>
  <si>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type of agreement used to approve and manage the exchange of information is defined (e.g., interconnection security agreements, information exchange security agreements, memoranda of understanding or agreement, service level agreements, user agreements, non-disclosure agreements or organization-defined type of agreements);
b. Ensuring security requirements for each system are documented as part of the exchange agreements;
c. Ensuring controls are documented as part of each exchange agreement;
d. Ensuring the frequency at which to review and update agreements is defined;
e. Ensuring interface characteristics for each system are documented as part of the exchange agreements;
f. Ensuring responsibilities for each system are documented as part of the exchange agreements;
g. Ensuring one or more of the following PARAMETER VALUES are selected: {interconnection security agreements; information exchange security agreements; memoranda of understanding or agreement; service-level agreements; user agreements; non-disclosure agreements; other types of agreements};
h. Ensuring the exchange of sensitive / regulated data between the system and other systems is approved using organization-defined values;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</si>
  <si>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Interconnection Security Agreement (ISA); Information Exchange Security Agreements (IESA); Memoranda of Understanding (MOU) / Agreement (MOA).
In-scope requirement alignment: IEC 62443-2-1: NET 1.2 | NIST SP 800-82 R3 (Moderate OT overlay): CA-03 | NIST SP 800-161 R1 C-SCRM: CA-3.
Validation: Annual conformity validation; evidence artifacts E-NET-06; PPTDF applicability: Process.</t>
  </si>
  <si>
    <t xml:space="preserve">CA-03, SC-07(25), SC-07(26)</t>
  </si>
  <si>
    <t xml:space="preserve">CA-03</t>
  </si>
  <si>
    <t xml:space="preserve">CA-3</t>
  </si>
  <si>
    <t xml:space="preserve">SG.CA Security Assessment and Authorization; SG.SC Smart Grid Information System and Communication Protection</t>
  </si>
  <si>
    <t xml:space="preserve">∙ Interconnection Security Agreement (ISA)
∙ Information Exchange Security Agreements (IESA)
∙ Memoranda of Understanding (MOU) / Agreement (MOA)</t>
  </si>
  <si>
    <t xml:space="preserve">NET-05.2</t>
  </si>
  <si>
    <t xml:space="preserve">Internal System Connections</t>
  </si>
  <si>
    <t xml:space="preserve">Mechanisms exist to control internal system connections through authorizing internal connections of systems and documenting, for each internal connection, the interface characteristics, security requirements and the nature of the information communicated.</t>
  </si>
  <si>
    <t xml:space="preserve">Does the organization control internal system connections through authorizing internal connections of systems and documenting, for each internal connection, the interface characteristics, security requirements and the nature of the information communicated?</t>
  </si>
  <si>
    <t xml:space="preserve">IEC 62443-2-1:2024; NIST SP 800-82 R3 - Moderate OT Overlay</t>
  </si>
  <si>
    <t xml:space="preserve">The organization implements and operates mechanisms to control internal system connections through authorizing internal connections of systems and documenting, for each internal connection, the interface characteristics, security requirements and the nature of the information communicated.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</si>
  <si>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internal connections of organization-defined system components to the system are authorized;
b. Ensuring for each internal connection, the interface characteristics are documented;
c. Ensuring for each internal connection, the security requirements are documented;
d. Ensuring for each internal connection, the privacy requirements are documented;
e. Ensuring for each internal connection, the nature of the information communicated is documented;
f. Ensuring internal system connections are terminated after organization-defined conditions;
g. Ensuring the continued need for each internal connection is reviewed organization-defined frequency;
h. Ensuring system components or classes of components requiring internal connections to the system are defined;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</si>
  <si>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CMDB (e.g., ServiceNow); Automated network discovery (e.g., Nmap, SolarWinds); Connection governance program.
In-scope requirement alignment: IEC 62443-2-1: NET 1.6, NET 2.1(b) | NIST SP 800-82 R3 (Moderate OT overlay): CA-09.
Validation: Annual conformity validation; evidence artifacts to be defined; PPTDF applicability: Technology.</t>
  </si>
  <si>
    <t xml:space="preserve">NET 1.6, NET 2.1(b)</t>
  </si>
  <si>
    <t xml:space="preserve">CA-09</t>
  </si>
  <si>
    <t xml:space="preserve">∙ Enterprise CMDB (e.g., ServiceNow)
∙ Automated network discovery (e.g., Nmap, SolarWinds)
∙ Connection governance program</t>
  </si>
  <si>
    <t xml:space="preserve">NET-06</t>
  </si>
  <si>
    <t xml:space="preserve">Network Segmentation (macrosegmentation)</t>
  </si>
  <si>
    <t xml:space="preserve">Mechanisms exist to implement network segmentation within network architectures to isolate Technology Assets, Applications and/or Services (TAAS) from other network resources.</t>
  </si>
  <si>
    <t xml:space="preserve">Does the organization implement network segmentation within network architectures to isolate Technology Assets, Applications and/or Services (TAAS) from other network resources?</t>
  </si>
  <si>
    <t xml:space="preserve">IEC 62443-2-1:2024; IEC 62443-3-3:2013; IEC 62443-4-2:2019; CISA Cross-Sector Cybersecurity Performance Goals; DOE Cybersecurity Capability Maturity Model; CSA IoT Security Controls Framework v2; NIST Privacy Framework 1.0; ANSI/ISA-62443-3-2:2020</t>
  </si>
  <si>
    <t xml:space="preserve">The organization implements and operates mechanisms to implement network segmentation within network architectures to isolate Technology Assets, Applications and/or Services (TAAS) from other network resources.
Within the OT and AMI environment, this objective implements ISA/IEC 62443-3-2 zone and conduit partitioning (ZCR 3.1 through 3.6), separating enterprise IT, OT, safety-related, wireless, temporarily connected and externally connected assets.</t>
  </si>
  <si>
    <t xml:space="preserve">IT Operations and OT Operations teams (asset custodians) are responsible for:
a. Ensuring logical isolation techniques are defined;
b. Ensuring mechanisms and/or techniques used to logically separate information flows are defined;
c. Ensuring information flows are separated logically using organization-defined mechanisms and/or techniques to accomplish organization-defined required separations;
d. Ensuring publicly accessible system components are identified;
e. Ensuring subnetworks for publicly accessible system components are physically or logically separated from internal networks;
f. Ensuring subnetworks are implemented for publicly accessible system components that are physically or logically separated from internal networks;
g. Ensuring physical isolation techniques and/or organization-defined logical isolation techniques are employed in organizational systems and system components;
h. Ensuring mechanisms and/or techniques used to physically separate information flows are defined;
i. Grouping OT and AMI assets into zones based on risk assessment, criticality, function and required access, and modelling communications between zones as conduits;
j. Placing enterprise IT, OT control, safety-related, AMI head-end, AMI field/wireless, temporarily connected and externally connected assets in separate zones; and
k. Documenting zone and conduit characteristics, including target security level, for each zone and conduit.</t>
  </si>
  <si>
    <t xml:space="preserve">OT/AMI implementation guidance: Apply the Purdue model and ISA/IEC 62443-3-2 ZCR 3 recommendations; use IEC 62443-3-3 SR 5.1 and NIST SP 800-82 R3 segmentation guidance; verify segmentation through configuration review and passive monitoring.
Suggested solutions and considerations (SCF 2026.2, enterprise): Subnetting; Virtual Local Area Network (VLAN).
In-scope requirement alignment: IEC 62443-2-1: NET 1.1, NET 1.3, NET 2.2 | IEC 62443-3-3: SR 5.1, SR 5.1 RE 1 | IEC 62443-4-2: CR 5.1 | CISA CPG: 2.F | DOE C2M2: ARCHITECTURE-2b, ARCHITECTURE-2d, ARCHITECTURE-2h | CSA IoT SCF: SAP-01 | NIST Privacy Framework: PR.AC-P5 | ISA/IEC 62443-3-2: ZCR 3.1, ZCR 3.2, ZCR 6.4.
Validation: Annual conformity validation; evidence artifacts to be defined; PPTDF applicability: Technology.</t>
  </si>
  <si>
    <t xml:space="preserve">NET 1.1, NET 1.3, NET 2.2</t>
  </si>
  <si>
    <t xml:space="preserve">SR 5.1, SR 5.1 RE 1</t>
  </si>
  <si>
    <t xml:space="preserve">CR 5.1</t>
  </si>
  <si>
    <t xml:space="preserve">ZCR 3.1, ZCR 3.2, ZCR 6.4</t>
  </si>
  <si>
    <t xml:space="preserve">AC-04(21)</t>
  </si>
  <si>
    <t xml:space="preserve">ARCHITECTURE-2b, ARCHITECTURE-2d, ARCHITECTURE-2h</t>
  </si>
  <si>
    <t xml:space="preserve">SAP-01</t>
  </si>
  <si>
    <t xml:space="preserve">8.20, 8.22</t>
  </si>
  <si>
    <t xml:space="preserve">∙ Subnetting
∙ Virtual Local Area Network (VLAN)</t>
  </si>
  <si>
    <t xml:space="preserve">NET-06.1</t>
  </si>
  <si>
    <t xml:space="preserve">Security Management Subnets</t>
  </si>
  <si>
    <t xml:space="preserve">Mechanisms exist to implement security management subnets to isolate security tools and support components from other internal system components by implementing separate subnetworks with managed interfaces to other components of the system.</t>
  </si>
  <si>
    <t xml:space="preserve">Does the organization implement security management subnets to isolate security tools and support components from other internal system components by implementing separate subnetworks with managed interfaces to other components of the system?</t>
  </si>
  <si>
    <t xml:space="preserve">IEC 62443-3-3:2013; CSA IoT Security Controls Framework v2; NIST SP 800-53B R5 - Privacy baseline</t>
  </si>
  <si>
    <t xml:space="preserve">The organization implements and operates mechanisms to implement security management subnets to isolate security tools and support components from other internal system components by implementing separate subnetworks with managed interfaces to other components of the system.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</si>
  <si>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cybersecurity tools, mechanisms and support components to be isolated from other internal system components are defined;
b. Ensuring cybersecurity tools, mechanisms and support components are isolated from other internal system components by implementing physically separate subnetworks with managed interfaces to other components of the system;
c. Ensuring security management subnets are logically isolated;
d. Ensuring security management subnet system components and functions to be isolated are defined;
e. Ensuring organization-defined criteria are used to isolate security management subnets;
f. Ensuring physical isolation techniques are defined;
g. Ensuring logical isolation techniques are defined;
h. Ensuring physical isolation techniques and/or organization-defined logical isolation techniques are employed in organizational systems and system components;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</si>
  <si>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out-of-band management network; Dedicated jump servers; Privileged access workstations (PAW).
In-scope requirement alignment: IEC 62443-3-3: SR 5.1 RE 2 | CSA IoT SCF: SAP-01 | NIST SP 800-53B Privacy: SC-07(29).
Validation: Annual conformity validation; evidence artifacts to be defined; PPTDF applicability: Technology.</t>
  </si>
  <si>
    <t xml:space="preserve">SR 5.1 RE 2</t>
  </si>
  <si>
    <t xml:space="preserve">SC-07(13), SC-07(29)</t>
  </si>
  <si>
    <t xml:space="preserve">8.22</t>
  </si>
  <si>
    <t xml:space="preserve">∙ Enterprise out-of-band management network
∙ Dedicated jump servers
∙ Privileged access workstations (PAW)</t>
  </si>
  <si>
    <t xml:space="preserve">NET-06.3</t>
  </si>
  <si>
    <t xml:space="preserve">Sensitive / Regulated Data Enclave (Secure Zone)</t>
  </si>
  <si>
    <t xml:space="preserve">Mechanisms exist to implement segmentation controls to restrict inbound and outbound connectivity for sensitive and/or regulated data enclaves (secure zones).</t>
  </si>
  <si>
    <t xml:space="preserve">Does the organization implement segmentation controls to restrict inbound and outbound connectivity for sensitive and/or regulated data enclaves (secure zones)?</t>
  </si>
  <si>
    <t xml:space="preserve">IEC 62443-2-1:2024; IEC 62443-3-3:2013; ANSI/ISA-62443-3-2:2020</t>
  </si>
  <si>
    <t xml:space="preserve">The organization implements and operates mechanisms to implement segmentation controls to restrict inbound and outbound connectivity for sensitive and/or regulated data enclaves (secure zones).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</si>
  <si>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segmentation controls restrict inbound and outbound connectivity for sensitive / regulated data enclaves (secure zones);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</si>
  <si>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secure data enclave with enhanced controls; Data loss prevention at enclave boundary; Microsegmentation.
In-scope requirement alignment: IEC 62443-2-1: NET 1.5 | IEC 62443-3-3: SR 5.1 RE 3, SR 5.2 RE 2 | ISA/IEC 62443-3-2: ZCR 3.1, ZCR 3.3.
Validation: Annual conformity validation; evidence artifacts to be defined; PPTDF applicability: Technology.</t>
  </si>
  <si>
    <t xml:space="preserve">NET 1.5</t>
  </si>
  <si>
    <t xml:space="preserve">SR 5.1 RE 3, SR 5.2 RE 2</t>
  </si>
  <si>
    <t xml:space="preserve">ZCR 3.1, ZCR 3.3</t>
  </si>
  <si>
    <t xml:space="preserve">∙ Enterprise secure data enclave with enhanced controls
∙ Data loss prevention at enclave boundary
∙ Microsegmentation</t>
  </si>
  <si>
    <t xml:space="preserve">NET-06.4</t>
  </si>
  <si>
    <t xml:space="preserve">Segregation From Enterprise Services</t>
  </si>
  <si>
    <t xml:space="preserve">Mechanisms exist to isolate sensitive and/or regulated data enclaves (secure zones) from corporate-provided IT resources by providing enclave-specific IT services (e.g., directory services, DNS, NTP, ITAM, antimalware, patch management, etc.) to those isolated network segments.</t>
  </si>
  <si>
    <t xml:space="preserve">Does the organization isolate sensitive and/or regulated data enclaves (secure zones) from corporate-provided IT resources by providing enclave-specific IT services (e.g., directory services, DNS, NTP, ITAM, antimalware, patch management, etc.) to those isolated network segments?</t>
  </si>
  <si>
    <t xml:space="preserve">DOE Cybersecurity Capability Maturity Model; CSA IoT Security Controls Framework v2; ANSI/ISA-62443-3-2:2020</t>
  </si>
  <si>
    <t xml:space="preserve">The organization implements and operates mechanisms to isolate sensitive and/or regulated data enclaves (secure zones) from corporate-provided IT resources by providing enclave-specific IT services (e.g., directory services, DNS, NTP, ITAM, antimalware, patch management, etc.) to those isolated network segments.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</si>
  <si>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sensitive / regulated data enclaves (secure zones) are isolated from corporate-provided IT resources by providing enclave-specific IT services (e.g., directory services, DNS, NTP, ITAM, antimalware, patch management, etc.) to those isolated network segments;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</si>
  <si>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network segmentation with isolated sensitive-system zones; Zero-trust access to sensitive zones.
In-scope requirement alignment: DOE C2M2: ARCHITECTURE-2i, ARCHITECTURE-2j | CSA IoT SCF: CCM-06, SAP-01 | ISA/IEC 62443-3-2: ZCR 3.2.
Validation: Annual conformity validation; evidence artifacts to be defined; PPTDF applicability: Technology.</t>
  </si>
  <si>
    <t xml:space="preserve">ZCR 3.2</t>
  </si>
  <si>
    <t xml:space="preserve">ARCHITECTURE-2i, ARCHITECTURE-2j</t>
  </si>
  <si>
    <t xml:space="preserve">CCM-06, SAP-01</t>
  </si>
  <si>
    <t xml:space="preserve">∙ Enterprise network segmentation with isolated sensitive-system zones
∙ Zero-trust access to sensitive zones</t>
  </si>
  <si>
    <t xml:space="preserve">NET-06.5</t>
  </si>
  <si>
    <t xml:space="preserve">Direct Internet Access Restrictions</t>
  </si>
  <si>
    <t xml:space="preserve">Mechanisms exist to prohibit, or strictly-control, Internet access from sensitive and/or regulated data enclaves (secure zones).</t>
  </si>
  <si>
    <t xml:space="preserve">Does the organization prohibit, or strictly-control, Internet access from sensitive and/or regulated data enclaves (secure zones)?</t>
  </si>
  <si>
    <t xml:space="preserve">NIST SP 800-82 R3 - Moderate OT Overlay; CISA Cross-Sector Cybersecurity Performance Goals</t>
  </si>
  <si>
    <t xml:space="preserve">The organization implements and operates mechanisms to prohibit, or strictly-control, Internet access from sensitive and/or regulated data enclaves (secure zones).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</si>
  <si>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Internet access from sensitive / regulated data enclaves (secure zones) is prohibited or strictly-controlled;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</si>
  <si>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Access Control Lists (ACLs).
In-scope requirement alignment: NIST SP 800-82 R3 (Moderate OT overlay): SC-07(28) | CISA CPG: 2.X.
Validation: Annual conformity validation; evidence artifacts to be defined; PPTDF applicability: Technology.</t>
  </si>
  <si>
    <t xml:space="preserve">SC-07(28)</t>
  </si>
  <si>
    <t xml:space="preserve">NET-06.9</t>
  </si>
  <si>
    <t xml:space="preserve">Separate Subnets To Isolate Functions</t>
  </si>
  <si>
    <t xml:space="preserve">Mechanisms exist to implement physically or logically separate subnetworks to isolate organization-defined Technology Assets, Applications, Services and/or Data (TAASD).</t>
  </si>
  <si>
    <t xml:space="preserve">Does the organization implement physically or logically separate subnetworks to isolate organization-defined Technology Assets, Applications, Services and/or Data (TAASD)?</t>
  </si>
  <si>
    <t xml:space="preserve">The organization implements and operates mechanisms to implement physically or logically separate subnetworks to isolate organization-defined Technology Assets, Applications, Services and/or Data (TAASD).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</si>
  <si>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subnetworks are physically or logically separate to isolate organization-defined Technology Assets, Applications, Services and/or Data (TAASD);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</si>
  <si>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micro-segmentation platform (e.g., Illumio, Guardicore); Software-Defined Networking (SDN) for subnet isolation; ZTNA platform for workload-to-workload access control; Automated subnet policy enforcement.
In-scope requirement alignment: ISA/IEC 62443-3-2: ZCR 3.2, ZCR 3.4, ZCR 3.5.
Validation: Annual conformity validation; evidence artifacts to be defined; PPTDF applicability: Technology.</t>
  </si>
  <si>
    <t xml:space="preserve">ZCR 3.2, ZCR 3.4, ZCR 3.5</t>
  </si>
  <si>
    <t xml:space="preserve">∙ Enterprise micro-segmentation platform (e.g., Illumio, Guardicore)
∙ Software-Defined Networking (SDN) for subnet isolation
∙ ZTNA platform for workload-to-workload access control
∙ Automated subnet policy enforcement</t>
  </si>
  <si>
    <t xml:space="preserve">NET-07</t>
  </si>
  <si>
    <t xml:space="preserve">Network Connection Termination</t>
  </si>
  <si>
    <t xml:space="preserve">Mechanisms exist to terminate network connections at the end of a session or after an organization-defined time period of inactivity.</t>
  </si>
  <si>
    <t xml:space="preserve">Does the organization terminate network connections at the end of a session or after an organization-defined time period of inactivity?</t>
  </si>
  <si>
    <t xml:space="preserve">IEC 62443-2-1:2024; IEC 62443-4-2:2019; NIST SP 800-53B R5 - Moderate baseline</t>
  </si>
  <si>
    <t xml:space="preserve">The organization implements and operates mechanisms to terminate network connections at the end of a session or after an organization-defined time period of inactivity.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</si>
  <si>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a period of inactivity to terminate network connections associated with communications sessions is defined;
b. Ensuring network connections associated with communications sessions are terminated at the end of the sessions;
c. Ensuring network connections associated with communications sessions are terminated after the defined period of inactivity;
d. Ensuring network connections are terminated when nonlocal maintenance is completed;
e. Ensuring the time period of inactivity after which the system terminates a network connection associated with a communications session is defined;
f. Ensuring the network connection associated with a communications session is terminated at the end of the session or after an organization-defined time period of inactivity;
g. Partitioning OT and AMI networks into zones and conduits based on risk assessment, with enterprise IT, OT, safety-related and AMI field networks in separate zones and all inter-zone traffic routed through monitored, deny-by-default conduits;
h. Maintaining an OT demilitarized zone (DMZ) for all data exchange between enterprise IT (including hosted services) and OT or AMI head-end systems, with no direct enterprise-to-OT connectivity; and
i.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</si>
  <si>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session management platform; Automated session termination via NAC/IAM; Zero-trust continuous session validation.
In-scope requirement alignment: IEC 62443-2-1: NET 3.3 | IEC 62443-4-2: CR 2.6 | NIST SP 800-53B Moderate: SC-10.
Validation: Annual conformity validation; evidence artifacts to be defined; PPTDF applicability: Technology.</t>
  </si>
  <si>
    <t xml:space="preserve">NET 3.3</t>
  </si>
  <si>
    <t xml:space="preserve">CR 2.6</t>
  </si>
  <si>
    <t xml:space="preserve">SC-10</t>
  </si>
  <si>
    <t xml:space="preserve">∙ Enterprise session management platform
∙ Automated session termination via NAC/IAM
∙ Zero-trust continuous session validation</t>
  </si>
  <si>
    <t xml:space="preserve">NET-08</t>
  </si>
  <si>
    <t xml:space="preserve">Network Intrusion Detection / Prevention Systems (NIDS / NIPS)</t>
  </si>
  <si>
    <t xml:space="preserve">Mechanisms exist to employ Network Intrusion Detection / Prevention Systems (NIDS/NIPS) to detect and/or prevent intrusions into the network.</t>
  </si>
  <si>
    <t xml:space="preserve">Does the organization employ Network Intrusion Detection / Prevention Systems (NIDS/NIPS) to detect and/or prevent intrusions into the network?</t>
  </si>
  <si>
    <t xml:space="preserve">The organization implements and operates mechanisms to employ Network Intrusion Detection / Prevention Systems (NIDS/NIPS) to detect and/or prevent intrusions into the network.
Within the OT and AMI environment, this objective implements ISA/IEC 62443-3-2 zones and conduits across enterprise, DMZ, control center, substation, backhaul and AMI mesh networks with deny-by-default conduit enforcement and monitored remote access.</t>
  </si>
  <si>
    <t xml:space="preserve">The Managed Security Service Provider (MSSP), under the oversight of the Security Operations function and with OT visibility requirements, is responsible for:
a. Ensuring Network Intrusion Detection / Prevention Systems (NIDS/NIPS) is utilized to detect and/or prevent intrusions into the network;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</si>
  <si>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Network Intrusion Detection System (NIDS); Network Intrusion Prevention Systems (NIPS).
In-scope requirement alignment: NERC CIP: CIP-005-7 1.5.
Validation: Annual conformity validation; evidence artifacts to be defined; PPTDF applicability: Technology.</t>
  </si>
  <si>
    <t xml:space="preserve">8.21</t>
  </si>
  <si>
    <t xml:space="preserve">∙ Network Intrusion Detection System (NIDS)
∙ Network Intrusion Prevention Systems (NIPS)</t>
  </si>
  <si>
    <t xml:space="preserve">NET-08.1</t>
  </si>
  <si>
    <t xml:space="preserve">DMZ Networks</t>
  </si>
  <si>
    <t xml:space="preserve">Mechanisms exist to monitor De-Militarized Zone (DMZ) network segments to separate untrusted networks from trusted networks.</t>
  </si>
  <si>
    <t xml:space="preserve">Does the organization monitor De-Militarized Zone (DMZ) network segments to separate untrusted networks from trusted networks?</t>
  </si>
  <si>
    <t xml:space="preserve">The organization implements and operates mechanisms to monitor De-Militarized Zone (DMZ) network segments to separate untrusted networks from trusted networks.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</si>
  <si>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De-Militarized Zone (DMZ) network segments exist to separate untrusted networks from trusted networks;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</si>
  <si>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Architectural review board; System Security Plan (SSP).
In-scope requirement alignment: IEC 62443-3-3: SR 1.13.
Validation: Annual conformity validation; evidence artifacts to be defined; PPTDF applicability: Technology.</t>
  </si>
  <si>
    <t xml:space="preserve">SR 1.13</t>
  </si>
  <si>
    <t xml:space="preserve">∙ Architectural review board
∙ System Security Plan (SSP)</t>
  </si>
  <si>
    <t xml:space="preserve">NET-08.2</t>
  </si>
  <si>
    <t xml:space="preserve">Wireless Intrusion Detection / Prevention Systems (WIDS / WIPS) Deployment</t>
  </si>
  <si>
    <t xml:space="preserve">Mechanisms exist to utilize Wireless Intrusion Detection / Protection Systems (WIDS / WIPS) on wireless network segments.</t>
  </si>
  <si>
    <t xml:space="preserve">Does the organization utilize Wireless Intrusion Detection / Protection Systems (WIDS / WIPS) on wireless network segments?</t>
  </si>
  <si>
    <t xml:space="preserve">The organization implements and operates mechanisms to utilize Wireless Intrusion Detection / Protection Systems (WIDS / WIPS) on wireless network segments.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</si>
  <si>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wireless network segments implement Wireless Intrusion Detection / Prevention Systems (WIDS/WIPS) technologies;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</si>
  <si>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Wireless Intrusion Detection System (WIDS); Wireless Intrusion Prevention Systems (WIPS).
In-scope requirement alignment: CSA IoT SCF: MON-08.
Validation: Annual conformity validation; evidence artifacts to be defined; PPTDF applicability: Technology.</t>
  </si>
  <si>
    <t xml:space="preserve">SI-04(15)</t>
  </si>
  <si>
    <t xml:space="preserve">∙ Wireless Intrusion Detection System (WIDS)
∙ Wireless Intrusion Prevention Systems (WIPS)</t>
  </si>
  <si>
    <t xml:space="preserve">NET-09</t>
  </si>
  <si>
    <t xml:space="preserve">Session Integrity</t>
  </si>
  <si>
    <t xml:space="preserve">Mechanisms exist to protect the authenticity and integrity of communications sessions.</t>
  </si>
  <si>
    <t xml:space="preserve">Does the organization protect the authenticity and integrity of communications sessions?</t>
  </si>
  <si>
    <t xml:space="preserve">The organization implements and operates mechanisms to protect the authenticity and integrity of communications sessions.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</si>
  <si>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authenticity of communications sessions is protected;
b. Ensuring the confidentiality and/or integrity of information is/are maintained during preparation for transmission;
c. Ensuring the confidentiality and/or integrity of information is/are maintained during reception;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</si>
  <si>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WAF (e.g., Imperva, Cloudflare); Application-level session integrity; Token binding; Zero-trust session validation.
In-scope requirement alignment: IEC 62443-2-1: USER 1.16 | IEC 62443-3-3: SR 3.8 | IEC 62443-4-2: CR 3.8, CR 3.8(a), CR 3.8(b), CR 3.8(c) | NIST SP 800-82 R3 (Moderate OT overlay): SC-23 | NIST SP 800-53B Moderate: SC-23.
Validation: Annual conformity validation; evidence artifacts to be defined; PPTDF applicability: Technology.</t>
  </si>
  <si>
    <t xml:space="preserve">USER 1.16</t>
  </si>
  <si>
    <t xml:space="preserve">SR 3.8</t>
  </si>
  <si>
    <t xml:space="preserve">CR 3.8, CR 3.8(a), CR 3.8(b), CR 3.8(c)</t>
  </si>
  <si>
    <t xml:space="preserve">SC-23</t>
  </si>
  <si>
    <t xml:space="preserve">∙ Enterprise WAF (e.g., Imperva, Cloudflare)
∙ Application-level session integrity
∙ Token binding
∙ Zero-trust session validation</t>
  </si>
  <si>
    <t xml:space="preserve">NET-09.1</t>
  </si>
  <si>
    <t xml:space="preserve">Invalidate Session Identifiers at Logout</t>
  </si>
  <si>
    <t xml:space="preserve">Automated mechanisms exist to invalidate session identifiers upon user logout or other session termination.</t>
  </si>
  <si>
    <t xml:space="preserve">Does the organization use automated mechanisms to invalidate session identifiers upon user logout or other session termination?</t>
  </si>
  <si>
    <t xml:space="preserve">The organization implements and operates automated mechanisms to invalidate session identifiers upon user logout or other session termination.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</si>
  <si>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session identifiers are invalidated upon user logout or other session termination;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</si>
  <si>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application security standards; Automated session management testing (DAST); Session token lifecycle management.
In-scope requirement alignment: IEC 62443-3-3: SR 3.8 RE 1.
Validation: Quarterly conformity validation; evidence artifacts to be defined; PPTDF applicability: Technology.</t>
  </si>
  <si>
    <t xml:space="preserve">SR 3.8 RE 1</t>
  </si>
  <si>
    <t xml:space="preserve">SC-23(01)</t>
  </si>
  <si>
    <t xml:space="preserve">∙ Enterprise application security standards
∙ Automated session management testing (DAST)
∙ Session token lifecycle management</t>
  </si>
  <si>
    <t xml:space="preserve">NET-09.2</t>
  </si>
  <si>
    <t xml:space="preserve">Unique System-Generated Session Identifiers</t>
  </si>
  <si>
    <t xml:space="preserve">Automated mechanisms exist to generate and recognize unique session identifiers for each session.</t>
  </si>
  <si>
    <t xml:space="preserve">Does the organization use automated mechanisms to generate and recognize unique session identifiers for each session?</t>
  </si>
  <si>
    <t xml:space="preserve">The organization implements and operates automated mechanisms to generate and recognize unique session identifiers for each session.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</si>
  <si>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randomness requirements for generating a unique session identifier for each session are defined;
b. Ensuring a unique session identifier is generated for each session with organization-defined randomness requirements;
c. Ensuring only system-generated session identifiers are recognized;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</si>
  <si>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application security framework; SAST/DAST automation (e.g., Veracode, Checkmarx); Session management standards.
In-scope requirement alignment: IEC 62443-3-3: SR 3.8 RE 2, SR 3.8 RE 3.
Validation: Quarterly conformity validation; evidence artifacts to be defined; PPTDF applicability: Technology.</t>
  </si>
  <si>
    <t xml:space="preserve">SR 3.8 RE 2, SR 3.8 RE 3</t>
  </si>
  <si>
    <t xml:space="preserve">SC-23(03)</t>
  </si>
  <si>
    <t xml:space="preserve">∙ Enterprise application security framework
∙ SAST/DAST automation (e.g., Veracode, Checkmarx)
∙ Session management standards</t>
  </si>
  <si>
    <t xml:space="preserve">NET-10</t>
  </si>
  <si>
    <t xml:space="preserve">Domain Name Service (DNS) Resolution</t>
  </si>
  <si>
    <t xml:space="preserve">Mechanisms exist to ensure Domain Name Service (DNS) resolution is designed, implemented and managed to protect the security of name / address resolution.</t>
  </si>
  <si>
    <t xml:space="preserve">Does the organization ensure Domain Name Service (DNS) resolution is designed, implemented and managed to protect the security of name / address resolution?</t>
  </si>
  <si>
    <t xml:space="preserve">The organization implements and operates mechanisms to ensure Domain Name Service (DNS) resolution is designed, implemented and managed to protect the security of name / address resolution.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</si>
  <si>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additional data origin authentication is provided along with the authoritative name resolution data that the system returns in response to external name/address resolution queries;
b. Ensuring integrity verification artifacts are provided along with the authoritative name resolution data that the system returns in response to external name/address resolution queries;
c. Ensuring the means to indicate the security status of child zones (and if the child supports secure resolution services) is provided when operating as part of a distributed, hierarchical namespace;
d. Ensuring the means to enable verification of a chain of trust among parent and child domains when operating as part of a distributed, hierarchical namespace is provided;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</si>
  <si>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NIST SP 800-82 R3 (Moderate OT overlay): SC-20.
Validation: Annual conformity validation; evidence artifacts to be defined; PPTDF applicability: Technology.</t>
  </si>
  <si>
    <t xml:space="preserve">SC-20, SC-20(02)</t>
  </si>
  <si>
    <t xml:space="preserve">SC-20</t>
  </si>
  <si>
    <t xml:space="preserve">NET-10.1</t>
  </si>
  <si>
    <t xml:space="preserve">Architecture &amp; Provisioning for Name / Address Resolution Service</t>
  </si>
  <si>
    <t xml:space="preserve">Mechanisms exist to ensure systems that collectively provide Domain Name Service (DNS) resolution service are fault-tolerant and implement internal/external role separation.</t>
  </si>
  <si>
    <t xml:space="preserve">Does the organization ensure systems that collectively provide Domain Name Service (DNS) resolution service are fault-tolerant and implement internal/external role separation?</t>
  </si>
  <si>
    <t xml:space="preserve">The organization implements and operates mechanisms to ensure systems that collectively provide Domain Name Service (DNS) resolution service are fault-tolerant and implement internal/external role separation.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</si>
  <si>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systems that collectively provide name/address resolution services for an organization are fault-tolerant;
b. Ensuring the systems that collectively provide name/address resolution services for an organization implement internal role separation;
c. Ensuring the systems that collectively provide name/address resolution services for an organization implement external role separation;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</si>
  <si>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DNS security platform (e.g., Infoblox, BlueCat); DNSSEC; DNS firewall; High-availability DNS architecture.
In-scope requirement alignment: NIST SP 800-82 R3 (Moderate OT overlay): SC-22.
Validation: Annual conformity validation; evidence artifacts to be defined; PPTDF applicability: Technology.</t>
  </si>
  <si>
    <t xml:space="preserve">SC-22</t>
  </si>
  <si>
    <t xml:space="preserve">∙ Enterprise DNS security platform (e.g., Infoblox, BlueCat)
∙ DNSSEC
∙ DNS firewall
∙ High-availability DNS architecture</t>
  </si>
  <si>
    <t xml:space="preserve">NET-10.2</t>
  </si>
  <si>
    <t xml:space="preserve">Secure Name / Address Resolution Service (Recursive or Caching Resolver)</t>
  </si>
  <si>
    <t xml:space="preserve">Mechanisms exist to perform data origin authentication and data integrity verification on the Domain Name Service (DNS) resolution responses received from authoritative sources when requested by client systems.</t>
  </si>
  <si>
    <t xml:space="preserve">Does the organization perform data origin authentication and data integrity verification on the Domain Name Service (DNS) resolution responses received from authoritative sources when requested by client systems?</t>
  </si>
  <si>
    <t xml:space="preserve">The organization implements and operates mechanisms to perform data origin authentication and data integrity verification on the Domain Name Service (DNS) resolution responses received from authoritative sources when requested by client systems.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</si>
  <si>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data origin authentication is requested for the name/address resolution responses that the system receives from authoritative sources;
b. Ensuring data origin authentication is performed on the name/address resolution responses that the system receives from authoritative sources;
c. Ensuring data integrity verification is requested for the name/address resolution responses that the system receives from authoritative sources;
d. Ensuring data integrity verification is performed on the name/address resolution responses that the system receives from authoritative sources;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</si>
  <si>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DNS security platform with threat intelligence; Recursive resolver security; DNSSEC validation; DNS over HTTPS (DoH).
In-scope requirement alignment: NIST SP 800-82 R3 (Moderate OT overlay): SC-21.
Validation: Annual conformity validation; evidence artifacts to be defined; PPTDF applicability: Technology.</t>
  </si>
  <si>
    <t xml:space="preserve">SC-21</t>
  </si>
  <si>
    <t xml:space="preserve">∙ Enterprise DNS security platform with threat intelligence
∙ Recursive resolver security
∙ DNSSEC validation
∙ DNS over HTTPS (DoH)</t>
  </si>
  <si>
    <t xml:space="preserve">NET-10.3</t>
  </si>
  <si>
    <t xml:space="preserve">Sender Policy Framework (SPF)</t>
  </si>
  <si>
    <t xml:space="preserve">Mechanisms exist to validate the legitimacy of email communications through configuring a Domain Naming Service (DNS) Sender Policy Framework (SPF) record to specify the IP addresses and/or hostnames that are authorized to send email from the specified domain.</t>
  </si>
  <si>
    <t xml:space="preserve">Does the organization validate the legitimacy of email communications through configuring a Domain Naming Service (DNS) Sender Policy Framework (SPF) record to specify the IP addresses and/or hostnames that are authorized to send email from the specified domain?</t>
  </si>
  <si>
    <t xml:space="preserve">The organization implements and operates mechanisms to validate the legitimacy of email communications through configuring a Domain Naming Service (DNS) Sender Policy Framework (SPF) record to specify the IP addresses and/or hostnames that are authorized to send email from the specified domain.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</si>
  <si>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legitimacy of email communications is validated through configuring a Domain Naming Service (DNS) Sender Policy Framework (SPF) record to specify the IP addresses and/or hostnames that are authorized to send email from the specified domain;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</si>
  <si>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CISA CPG: 2.M.
Validation: Annual conformity validation; evidence artifacts to be defined; PPTDF applicability: Technology.</t>
  </si>
  <si>
    <t xml:space="preserve">2.M</t>
  </si>
  <si>
    <t xml:space="preserve">NET-11</t>
  </si>
  <si>
    <t xml:space="preserve">Out-of-Band Channels</t>
  </si>
  <si>
    <t xml:space="preserve">Mechanisms exist to utilize out-of-band channels for the electronic transmission of information and/or the physical shipment of system components or devices to authorized individuals.</t>
  </si>
  <si>
    <t xml:space="preserve">Does the organization utilize out-of-band channels for the electronic transmission of information and/or the physical shipment of system components or devices to authorized individuals?</t>
  </si>
  <si>
    <t xml:space="preserve">The organization implements and operates mechanisms to utilize out-of-band channels for the electronic transmission of information and/or the physical shipment of system components or devices to authorized individuals.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</si>
  <si>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out-of-band channels to be employed for the physical delivery or electronic transmission of information, system components or devices to individuals or the system are defined;
b. Ensuring out-of-band channels are employed for the physical delivery or electronic transmission of information, system components or devices to individuals or systems;
c. Ensuring information, system components or devices to employ out-of-band-channels for physical delivery or electronic transmission are defined;
d. Ensuring individuals or systems to which physical delivery or electronic transmission of information, system components or devices is to be achieved via the employment of out-of-band channels are defined;
e. Ensuring controls to be employed to ensure that only designated individuals or systems receive specific information, system components or devices are defined;
f. Ensuring individuals or systems designated to receive specific information, system components or devices are defined;
g. Ensuring information, system components or devices that only individuals or systems are designated to receive are defined;
h. Ensuring organization-defined controls are employed to ensure that only authorized individuals or systems receive information, system components or devices;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</si>
  <si>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out-of-band management network (OOBM); Dedicated OOB access for critical systems; Emergency communication protocols.
In-scope requirement alignment: CSA IoT SCF: SWS-09.
Validation: Annual conformity validation; evidence artifacts to be defined; PPTDF applicability: Technology.</t>
  </si>
  <si>
    <t xml:space="preserve">SC-37, SC-37(01)</t>
  </si>
  <si>
    <t xml:space="preserve">SWS-09</t>
  </si>
  <si>
    <t xml:space="preserve">∙ Enterprise out-of-band management network (OOBM)
∙ Dedicated OOB access for critical systems
∙ Emergency communication protocols</t>
  </si>
  <si>
    <t xml:space="preserve">NET-12</t>
  </si>
  <si>
    <t xml:space="preserve">Safeguarding Data Over Open Networks</t>
  </si>
  <si>
    <t xml:space="preserve">Cryptographic mechanisms exist to implement strong cryptography and security protocols to safeguard sensitive and/or regulated data during transmission over open, public networks.</t>
  </si>
  <si>
    <t xml:space="preserve">Are cryptographic mechanisms utilized to implement strong cryptography and security protocols to safeguard sensitive and/or regulated data during transmission over open, public networks?</t>
  </si>
  <si>
    <t xml:space="preserve">NIST SP 800-82 R3 - Moderate OT Overlay; NIST SP 800-53B R5 - Moderate baseline; NIST SP 800-161 R1 - C-SCRM Baseline; NIST SP 800-53B R5 - Privacy baseline</t>
  </si>
  <si>
    <t xml:space="preserve">The organization implements and operates cryptographic mechanisms to implement strong cryptography and security protocols to safeguard sensitive and/or regulated data during transmission over open, public networks.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</si>
  <si>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approved authorizations for logical access to information and system resources are enforced in accordance with applicable access control policies;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</si>
  <si>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encryption governance program; TLS 1.3+; Certificate management platform (e.g., Venafi); Automated certificate monitoring.
In-scope requirement alignment: NIST SP 800-82 R3 (Moderate OT overlay): AC-02, AC-03, AC-05, SI-03, SI-04, SI-05, SI-07, SI-10 | NIST SP 800-53B Moderate: AC-05, SI-07, SI-10 | NIST SP 800-161 R1 C-SCRM: AC-2, AC-3, SI-3, SI-4, SI-5, SI-7 | NIST SP 800-53B Privacy: AC-02, AC-03, AC-05, SI-03, SI-04, SI-05, SI-07, SI-10.
Validation: Annual conformity validation; evidence artifacts to be defined; PPTDF applicability: Technology.</t>
  </si>
  <si>
    <t xml:space="preserve">AC-02, AC-03, AC-05, SI-03, SI-04, SI-05, SI-07, SI-10</t>
  </si>
  <si>
    <t xml:space="preserve">AC-05, SI-07, SI-10</t>
  </si>
  <si>
    <t xml:space="preserve">AC-2, AC-3, SI-3, SI-4, SI-5, SI-7</t>
  </si>
  <si>
    <t xml:space="preserve">SG.AC Access Control; SG.SI Smart Grid Information System and Information Integrity</t>
  </si>
  <si>
    <t xml:space="preserve">∙ Enterprise encryption governance program
∙ TLS 1.3+
∙ Certificate management platform (e.g., Venafi)
∙ Automated certificate monitoring</t>
  </si>
  <si>
    <t xml:space="preserve">NET-12.1</t>
  </si>
  <si>
    <t xml:space="preserve">Wireless Link Protection</t>
  </si>
  <si>
    <t xml:space="preserve">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</si>
  <si>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</si>
  <si>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The organization implements and operates mechanisms to protect external and internal wireless links from signal parameter attacks through monitoring for unauthorized wireless connections, including scanning for unauthorized wireless access points and taking appropriate action, if an unauthorized connection is discovered.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</si>
  <si>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external wireless links to be protected from particular types of signal parameter attacks are defined;
b. Ensuring internal wireless links to be protected from particular types of signal parameter attacks are defined;
c. Ensuring external wireless links are protected from types of signal parameter attacks or references to sources for such attacks;
d. Ensuring internal wireless links are protected from types of signal parameter attacks or references to sources for such attacks;
e. Ensuring types of signal parameter attacks or references to sources for such attacks from which to protect external wireless links are defined;
f. Ensuring types of signal parameter attacks or references to sources for such attacks from which to protect internal wireless links are defined;
g. Partitioning OT and AMI networks into zones and conduits based on risk assessment, with enterprise IT, OT, safety-related and AMI field networks in separate zones and all inter-zone traffic routed through monitored, deny-by-default conduits;
h. Maintaining an OT demilitarized zone (DMZ) for all data exchange between enterprise IT (including hosted services) and OT or AMI head-end systems, with no direct enterprise-to-OT connectivity; and
i.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</si>
  <si>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WLAN security platform; WPA3-Enterprise with RADIUS; Wireless IDS/IPS (e.g., Cisco Wireless, Aruba); RF scanning.
In-scope requirement alignment: CSA IoT SCF: SWS-07 | NIST SP 800-53B Privacy: SC-40.
Validation: Annual conformity validation; evidence artifacts to be defined; PPTDF applicability: Technology.</t>
  </si>
  <si>
    <t xml:space="preserve">SC-40</t>
  </si>
  <si>
    <t xml:space="preserve">∙ Enterprise WLAN security platform
∙ WPA3-Enterprise with RADIUS
∙ Wireless IDS/IPS (e.g., Cisco Wireless, Aruba)
∙ RF scanning</t>
  </si>
  <si>
    <t xml:space="preserve">NET-12.2</t>
  </si>
  <si>
    <t xml:space="preserve">End-User Messaging Technologies</t>
  </si>
  <si>
    <t xml:space="preserve">Mechanisms exist to prohibit the transmission of unprotected sensitive and/or regulated data by end-user messaging technologies.</t>
  </si>
  <si>
    <t xml:space="preserve">Does the organization prohibit the transmission of unprotected sensitive and/or regulated data by end-user messaging technologies?</t>
  </si>
  <si>
    <t xml:space="preserve">The organization implements and operates mechanisms to prohibit the transmission of unprotected sensitive and/or regulated data by end-user messaging technologies.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</si>
  <si>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transmission of unprotected sensitive / regulated data by end-user messaging technologies is prohibited through administrative and/or technical means;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</si>
  <si>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Acceptable Use Policy (AUP); Data Loss Prevention (DLP).
In-scope requirement alignment: IEC 62443-2-1: NET 1.8.
Validation: Annual conformity validation; evidence artifacts to be defined; PPTDF applicability: Technology.</t>
  </si>
  <si>
    <t xml:space="preserve">NET 1.8</t>
  </si>
  <si>
    <t xml:space="preserve">∙ Acceptable Use Policy (AUP)
∙ Data Loss Prevention (DLP)</t>
  </si>
  <si>
    <t xml:space="preserve">NET-13</t>
  </si>
  <si>
    <t xml:space="preserve">Electronic Messaging</t>
  </si>
  <si>
    <t xml:space="preserve">Mechanisms exist to protect the confidentiality, integrity and availability of electronic messaging communications.</t>
  </si>
  <si>
    <t xml:space="preserve">Does the organization protect the confidentiality, integrity and availability of electronic messaging communications?</t>
  </si>
  <si>
    <t xml:space="preserve">The organization implements and operates mechanisms to protect the confidentiality, integrity and availability of electronic messaging communications.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</si>
  <si>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cryptographic mechanisms are implemented to protect message externals unless otherwise protected by alternative physical controls;
b. Ensuring alternative physical controls to protect message externals are defined;
c. Ensuring use of Voice over Internet Protocol (VoIP) technologies is controlled;
d. Ensuring use of Voice over Internet Protocol (VoIP) technologies is monitored;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</si>
  <si>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Acceptable Use Policy (AUP); Data Loss Prevention (DLP).
In-scope requirement alignment: CISA CPG: 2.M.
Validation: Annual conformity validation; evidence artifacts to be defined; PPTDF applicability: Technology.</t>
  </si>
  <si>
    <t xml:space="preserve">SC-08(03)</t>
  </si>
  <si>
    <t xml:space="preserve">NET-14</t>
  </si>
  <si>
    <t xml:space="preserve">Remote Access</t>
  </si>
  <si>
    <t xml:space="preserve">Mechanisms exist to define, control and review organization-approved, secure remote access methods.</t>
  </si>
  <si>
    <t xml:space="preserve">Does the organization define, control and review organization-approved, secure remote access methods?</t>
  </si>
  <si>
    <t xml:space="preserve">E-NET-03, E-IAM-14</t>
  </si>
  <si>
    <t xml:space="preserve">IEC 62443-2-1:2024; NIST SP 800-82 R3 - Moderate OT Overlay; NERC CIP; NIST SP 800-161 R1 - C-SCRM Baseline; NIST Privacy Framework 1.0; ANSI/ISA-62443-3-2:2020</t>
  </si>
  <si>
    <t xml:space="preserve">The organization shall restrict remote access to OT and AMI environments to authorized, strongly authenticated and monitored sessions that traverse managed access control points, so that vendors, integrators and remote operators cannot establish unmanaged paths into control or metering systems.</t>
  </si>
  <si>
    <t xml:space="preserve">The organization implements and operates mechanisms to define, control and review organization-approved, secure remote access methods.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</si>
  <si>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usage restrictions are established for each type of allowable remote system access;
b. Ensuring types of allowable remote system access are defined;
c. Ensuring connection requirements are established for each type of allowable remote system access;
d. Ensuring each type of remote system access is authorized prior to establishing such connections;
e. Ensuring configuration requirements are established for each type of allowable remote system access;
f. Ensuring remote access to the system is routed through authorized access control points;
g. Ensuring remote access to the system is routed through managed access control points;
h. Ensuring remote execution of privileged commands is authorized;
i. Requiring all remote access to OT and AMI environments to traverse a managed remote-access gateway in the OT DMZ with multi-factor authentication, time-bound approval and session logging;
j. Prohibiting direct remote connectivity (e.g., vendor modems, unmanaged VPNs, remote desktop exposed to enterprise or Internet networks) to OT and AMI assets; and
k. Providing the capability to immediately disconnect or disable remote access to OT and AMI environments.</t>
  </si>
  <si>
    <t xml:space="preserve">OT/AMI implementation guidance: Treat remote access as an external zone per ISA/IEC 62443-3-2 ZCR 3.6; align with IEC 62443-2-1 NET 3.x, NIST SP 800-82 R3 AC-17 and NERC CIP-005 R2 interactive remote access requirements where applicable.
Suggested solutions and considerations (SCF 2026.2, enterprise): Enterprise ZTNA/SASE platform (e.g., Zscaler, Palo Alto Prisma Access); VPN with MFA; Remote access monitoring and logging.
In-scope requirement alignment: IEC 62443-2-1: NET 3.1, NET 3.2, NET 3.2(a), NET 3.2(b), NET 3.2(c), NET 3.2(d), NET 3.2(e), NET 3.2(f), NET 3.2(g), NET 3.2(h) | NIST SP 800-82 R3 (Moderate OT overlay): AC-17 | NERC CIP: CIP-005-7 2.1, CIP-005-7 2.3, CIP-005-7 2.4 | NIST SP 800-161 R1 C-SCRM: AC-17 | NIST Privacy Framework: PR.AC-P3 | ISA/IEC 62443-3-2: ZCR 3.6.
Validation: Annual conformity validation; evidence artifacts E-NET-03, E-IAM-14; PPTDF applicability: Technology.</t>
  </si>
  <si>
    <t xml:space="preserve">NET 3.1, NET 3.2, NET 3.2(a), NET 3.2(b), NET 3.2(c), NET 3.2(d), NET 3.2(e), NET 3.2(f), NET 3.2(g), NET 3.2(h)</t>
  </si>
  <si>
    <t xml:space="preserve">AC-17, AC-17(06)</t>
  </si>
  <si>
    <t xml:space="preserve">AC-17</t>
  </si>
  <si>
    <t xml:space="preserve">CIP-005-7 2.1, CIP-005-7 2.3, CIP-005-7 2.4</t>
  </si>
  <si>
    <t xml:space="preserve">PR.AC-P3</t>
  </si>
  <si>
    <t xml:space="preserve">6.7</t>
  </si>
  <si>
    <t xml:space="preserve">∙ Enterprise ZTNA/SASE platform (e.g., Zscaler, Palo Alto Prisma Access)
∙ VPN with MFA
∙ Remote access monitoring and logging</t>
  </si>
  <si>
    <t xml:space="preserve">NET-14.1</t>
  </si>
  <si>
    <t xml:space="preserve">Automated Monitoring &amp; Control</t>
  </si>
  <si>
    <t xml:space="preserve">Automated mechanisms exist to monitor and control remote access sessions.</t>
  </si>
  <si>
    <t xml:space="preserve">Does the organization use automated mechanisms to monitor and control remote access sessions?</t>
  </si>
  <si>
    <t xml:space="preserve">The organization implements and operates automated mechanisms to monitor and control remote access sessions.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</si>
  <si>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remote access sessions are controlled;
b. Ensuring remote access sessions are permitted;
c. Ensuring the types of permitted remote access are identified;
d. Ensuring remote access sessions are monitored;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</si>
  <si>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SIEM/SOAR with remote access monitoring; Automated anomaly detection; Just-in-time access controls.
In-scope requirement alignment: NIST SP 800-82 R3 (Moderate OT overlay): AC-17(01) | NIST SP 800-53B Moderate: AC-17(01).
Validation: Quarterly conformity validation; evidence artifacts to be defined; PPTDF applicability: Technology.</t>
  </si>
  <si>
    <t xml:space="preserve">AC-17(01)</t>
  </si>
  <si>
    <t xml:space="preserve">∙ Enterprise SIEM/SOAR with remote access monitoring
∙ Automated anomaly detection
∙ Just-in-time access controls</t>
  </si>
  <si>
    <t xml:space="preserve">NET-14.2</t>
  </si>
  <si>
    <t xml:space="preserve">Protection of Confidentiality / Integrity Using Encryption</t>
  </si>
  <si>
    <t xml:space="preserve">Cryptographic mechanisms exist to protect the confidentiality and integrity of remote access sessions (e.g., VPN).</t>
  </si>
  <si>
    <t xml:space="preserve">Are cryptographic mechanisms utilized to protect the confidentiality and integrity of remote access sessions (e.g., VPN)?</t>
  </si>
  <si>
    <t xml:space="preserve">NIST SP 800-82 R3 - Moderate OT Overlay; NERC CIP; NIST SP 800-53B R5 - Moderate baseline</t>
  </si>
  <si>
    <t xml:space="preserve">The organization implements and operates cryptographic mechanisms to protect the confidentiality and integrity of remote access sessions (e.g., VPN).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</si>
  <si>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cryptographic mechanisms to protect the confidentiality of remote access sessions are identified;
b. Ensuring cryptographic mechanisms to protect the confidentiality of remote access sessions are implemented;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</si>
  <si>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encrypted ZTNA/VPN platform; FIPS 140-2/140-3 compliant encryption; End-to-end encryption enforcement.
In-scope requirement alignment: NIST SP 800-82 R3 (Moderate OT overlay): AC-17(02) | NERC CIP: CIP-005-7 2.2 | NIST SP 800-53B Moderate: AC-17(02).
Validation: Annual conformity validation; evidence artifacts to be defined; PPTDF applicability: Technology.</t>
  </si>
  <si>
    <t xml:space="preserve">AC-17(02)</t>
  </si>
  <si>
    <t xml:space="preserve">CIP-005-7 2.2</t>
  </si>
  <si>
    <t xml:space="preserve">∙ Enterprise encrypted ZTNA/VPN platform
∙ FIPS 140-2/140-3 compliant encryption
∙ End-to-end encryption enforcement</t>
  </si>
  <si>
    <t xml:space="preserve">NET-14.3</t>
  </si>
  <si>
    <t xml:space="preserve">Managed Access Control Points</t>
  </si>
  <si>
    <t xml:space="preserve">Mechanisms exist to route all remote accesses through managed network access control points (e.g., VPN concentrator).</t>
  </si>
  <si>
    <t xml:space="preserve">Does the organization route all remote accesses through managed network access control points (e.g., VPN concentrator)?</t>
  </si>
  <si>
    <t xml:space="preserve">E-NET-09</t>
  </si>
  <si>
    <t xml:space="preserve">The organization implements and operates mechanisms to route all remote accesses through managed network access control points (e.g., VPN concentrator).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</si>
  <si>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managed access control points are identified and implemented;
b. Ensuring remote access is routed through managed network access control points;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</si>
  <si>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centralized remote access platform (ZTNA/VPN); All remote access through managed control points; SIEM monitoring.
In-scope requirement alignment: NIST SP 800-82 R3 (Moderate OT overlay): AC-17(03) | NIST SP 800-53B Moderate: AC-17(03) | ISA/IEC 62443-3-2: ZCR 3.6.
Validation: Annual conformity validation; evidence artifacts E-NET-09; PPTDF applicability: Technology.</t>
  </si>
  <si>
    <t xml:space="preserve">AC-17(03)</t>
  </si>
  <si>
    <t xml:space="preserve">∙ Enterprise centralized remote access platform (ZTNA/VPN)
∙ All remote access through managed control points
∙ SIEM monitoring</t>
  </si>
  <si>
    <t xml:space="preserve">NET-14.4</t>
  </si>
  <si>
    <t xml:space="preserve">Remote Privileged Commands &amp; Sensitive Data Access</t>
  </si>
  <si>
    <t xml:space="preserve">Mechanisms exist to restrict the execution of privileged commands and access to security-relevant information via remote access only for compelling operational needs.</t>
  </si>
  <si>
    <t xml:space="preserve">Does the organization restrict the execution of privileged commands and access to security-relevant information via remote access only for compelling operational needs?</t>
  </si>
  <si>
    <t xml:space="preserve">The organization implements and operates mechanisms to restrict the execution of privileged commands and access to security-relevant information via remote access only for compelling operational needs.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</si>
  <si>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privileged commands authorized for remote execution are identified;
b. Ensuring security-relevant information authorized to be accessed remotely is identified;
c. Ensuring the execution of the identified privileged commands via remote access is authorized;
d. Ensuring access to the identified security-relevant information via remote access is authorized;
e. Ensuring remote execution of privileged commands is authorized;
f. Ensuring remote access to security-relevant information is authorized;
g. Ensuring the rationale for remote access is documented in the security plan for the system;
h. Partitioning OT and AMI networks into zones and conduits based on risk assessment, with enterprise IT, OT, safety-related and AMI field networks in separate zones and all inter-zone traffic routed through monitored, deny-by-default conduits;
i. Maintaining an OT demilitarized zone (DMZ) for all data exchange between enterprise IT (including hosted services) and OT or AMI head-end systems, with no direct enterprise-to-OT connectivity; and
j.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</si>
  <si>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PAM with privileged remote access control (e.g., CyberArk); Session recording; Just-in-time privileged access.
In-scope requirement alignment: NIST SP 800-82 R3 (Moderate OT overlay): AC-17(04) | NIST SP 800-53B Moderate: AC-17(04).
Validation: Annual conformity validation; evidence artifacts to be defined; PPTDF applicability: Technology.</t>
  </si>
  <si>
    <t xml:space="preserve">AC-17(04)</t>
  </si>
  <si>
    <t xml:space="preserve">∙ Enterprise PAM with privileged remote access control (e.g., CyberArk)
∙ Session recording
∙ Just-in-time privileged access</t>
  </si>
  <si>
    <t xml:space="preserve">NET-14.5</t>
  </si>
  <si>
    <t xml:space="preserve">Work From Anywhere (WFA) - Telecommuting Security</t>
  </si>
  <si>
    <t xml:space="preserve">Mechanisms exist to define secure telecommuting practices and govern remote access to Technology Assets, Applications, Services and/or Data (TAASD) for remote workers.</t>
  </si>
  <si>
    <t xml:space="preserve">Does the organization define secure telecommuting practices and govern remote access to Technology Assets, Applications, Services and/or Data (TAASD) for remote workers?</t>
  </si>
  <si>
    <t xml:space="preserve">The organization implements and operates mechanisms to define secure telecommuting practices and govern remote access to Technology Assets, Applications, Services and/or Data (TAASD) for remote workers.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</si>
  <si>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secure telecommuting practices are defined;
b. Ensuring technical measures govern remote access to systems and data for remote workers;
c. Ensuring administrative measures govern rules of behavior for telecommuting practices;
d. Ensuring security requirements to be employed at alternate work sites are defined;
e. Ensuring alternate work sites allowed for use by employees are determined;
f. Partitioning OT and AMI networks into zones and conduits based on risk assessment, with enterprise IT, OT, safety-related and AMI field networks in separate zones and all inter-zone traffic routed through monitored, deny-by-default conduits;
g. Maintaining an OT demilitarized zone (DMZ) for all data exchange between enterprise IT (including hosted services) and OT or AMI head-end systems, with no direct enterprise-to-OT connectivity; and
h.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</si>
  <si>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WFA security framework; SASE platform (e.g., Zscaler, Netskope); UEM for remote endpoints; Security awareness training for remote work.
In-scope requirement alignment: NIST Privacy Framework: PR.AC-P3.
Validation: Annual conformity validation; evidence artifacts E-NET-03, E-IAM-14; PPTDF applicability: Process.</t>
  </si>
  <si>
    <t xml:space="preserve">6.7, 7.9</t>
  </si>
  <si>
    <t xml:space="preserve">∙ Enterprise WFA security framework
∙ SASE platform (e.g., Zscaler, Netskope)
∙ UEM for remote endpoints
∙ Security awareness training for remote work</t>
  </si>
  <si>
    <t xml:space="preserve">NET-14.6</t>
  </si>
  <si>
    <t xml:space="preserve">Third-Party Remote Access Governance</t>
  </si>
  <si>
    <t xml:space="preserve">Mechanisms exist to proactively control and monitor third-party accounts used to access, support, or maintain system components via remote access.</t>
  </si>
  <si>
    <t xml:space="preserve">Does the organization proactively control and monitor third-party accounts used to access, support, or maintain system components via remote access?</t>
  </si>
  <si>
    <t xml:space="preserve">E-IAM-14</t>
  </si>
  <si>
    <t xml:space="preserve">NERC CIP; ANSI/ISA-62443-3-2:2020</t>
  </si>
  <si>
    <t xml:space="preserve">The organization implements and operates mechanisms to proactively control and monitor third-party accounts used to access, support, or maintain system components via remote access.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</si>
  <si>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proactively control and monitor third-party accounts used to access, support or maintain system components via remote access;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</si>
  <si>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third-party remote access platform (e.g., BeyondTrust, CyberArk); Just-in-time access; Session recording and monitoring.
In-scope requirement alignment: NERC CIP: CIP-005-7 2.4, CIP-005-7 2.5, CIP-005-7 3.1, CIP-005-7 3.2 | ISA/IEC 62443-3-2: ZCR 3.6.
Validation: Quarterly conformity validation; evidence artifacts E-IAM-14; PPTDF applicability: Process.</t>
  </si>
  <si>
    <t xml:space="preserve">CIP-005-7 2.4, CIP-005-7 2.5, CIP-005-7 3.1, CIP-005-7 3.2</t>
  </si>
  <si>
    <t xml:space="preserve">∙ Enterprise third-party remote access platform (e.g., BeyondTrust, CyberArk)
∙ Just-in-time access
∙ Session recording and monitoring</t>
  </si>
  <si>
    <t xml:space="preserve">NET-14.8</t>
  </si>
  <si>
    <t xml:space="preserve">Expeditious Disconnect / Disable Capability</t>
  </si>
  <si>
    <t xml:space="preserve">Mechanisms exist to provide the capability to expeditiously disconnect or disable a user's remote access session.</t>
  </si>
  <si>
    <t xml:space="preserve">Does the organization provide the capability to expeditiously disconnect or disable a user's remote access session?</t>
  </si>
  <si>
    <t xml:space="preserve">The organization implements and operates mechanisms to provide the capability to expeditiously disconnect or disable a user's remote access session.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</si>
  <si>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time period within which to disconnect or disable remote access to the system is defined;
b. Ensuring the capability to disconnect or disable remote access to the system within an organization-defined time period is provided;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</si>
  <si>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remote access platform with automated disconnect capability (SOAR integration); Zero-trust session termination.
In-scope requirement alignment: NIST SP 800-82 R3 (Moderate OT overlay): AC-17(09) | NERC CIP: CIP-005-7 2.5, CIP-005-7 3.2.
Validation: Annual conformity validation; evidence artifacts to be defined; PPTDF applicability: Technology.</t>
  </si>
  <si>
    <t xml:space="preserve">AC-17(09)</t>
  </si>
  <si>
    <t xml:space="preserve">∙ Enterprise remote access platform with automated disconnect capability (SOAR integration)
∙ Zero-trust session termination</t>
  </si>
  <si>
    <t xml:space="preserve">NET-15</t>
  </si>
  <si>
    <t xml:space="preserve">Wireless Networking</t>
  </si>
  <si>
    <t xml:space="preserve">Mechanisms exist to control authorized wireless usage and monitor for unauthorized wireless access.</t>
  </si>
  <si>
    <t xml:space="preserve">Does the organization control authorized wireless usage and monitor for unauthorized wireless access?</t>
  </si>
  <si>
    <t xml:space="preserve">IEC 62443-2-1:2024; IEC 62443-3-3:2013; IEC 62443-4-2:2019; NIST SP 800-82 R3 - Moderate OT Overlay; NIST SP 800-161 R1 - C-SCRM Baseline; NIST SP 800-53B R5 - Privacy baseline; ANSI/ISA-62443-3-2:2020</t>
  </si>
  <si>
    <t xml:space="preserve">The organization shall protect wireless and radio-frequency communications used by OT and AMI, including RF mesh, cellular backhaul and plant wireless networks, through authentication, encryption, boundary definition and rogue detection, treating wireless networks as distinct zones.</t>
  </si>
  <si>
    <t xml:space="preserve">The organization implements and operates mechanisms to control authorized wireless usage and monitor for unauthorized wireless access.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</si>
  <si>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usage restrictions are established for each type of wireless access to the system;
b. Ensuring connection requirements are established for each type of wireless access to the system;
c. Ensuring wireless access points are identified;
d. Ensuring wireless access is authorized prior to allowing such connections;
e. Ensuring each type of wireless access to the system is defined;
f. Modelling AMI RF mesh, cellular backhaul and plant wireless networks as separate zones with access points or gateways as conduits; and
g. Enforcing authentication and encryption for wireless communications and detecting rogue or unauthorized wireless devices in OT and AMI environments.</t>
  </si>
  <si>
    <t xml:space="preserve">OT/AMI implementation guidance: Apply ISA/IEC 62443-3-2 ZCR 3.5; align with IEC 62443-3-3 SR 1.6 and NIST SP 800-82 R3 AC-18.
Suggested solutions and considerations (SCF 2026.2, enterprise): Secure Baseline Configurations (SBC).
In-scope requirement alignment: IEC 62443-2-1: NET 2.1 | IEC 62443-3-3: SR 1.6 RE 1, SR 2.2 | IEC 62443-4-2: NDR 1.6 | NIST SP 800-82 R3 (Moderate OT overlay): AC-18 | NIST SP 800-161 R1 C-SCRM: AC-18 | NIST SP 800-53B Privacy: AC-18 | ISA/IEC 62443-3-2: ZCR 3.5.
Validation: Annual conformity validation; evidence artifacts to be defined; PPTDF applicability: Technology.</t>
  </si>
  <si>
    <t xml:space="preserve">NET 2.1</t>
  </si>
  <si>
    <t xml:space="preserve">SR 1.6 RE 1, SR 2.2</t>
  </si>
  <si>
    <t xml:space="preserve">NDR 1.6</t>
  </si>
  <si>
    <t xml:space="preserve">NET-15.1</t>
  </si>
  <si>
    <t xml:space="preserve">Authentication &amp; Encryption</t>
  </si>
  <si>
    <t xml:space="preserve">Mechanisms exist to secure Wi-Fi (e.g., IEEE 802.11) and prevent unauthorized access by:
(1) Authenticating devices trying to connect; and 
(2) Encrypting transmitted data.</t>
  </si>
  <si>
    <t xml:space="preserve">Does the organization secure Wi-Fi (e.g., IEEE 802.11) and prevent unauthorized access by:
 (1) Authenticating devices trying to connect; and 
 (2) Encrypting transmitted data?</t>
  </si>
  <si>
    <t xml:space="preserve">IEC 62443-4-2:2019; NIST SP 800-82 R3 - Moderate OT Overlay; NIST SP 800-53B R5 - Moderate baseline; ANSI/ISA-62443-3-2:2020</t>
  </si>
  <si>
    <t xml:space="preserve">The organization implements and operates mechanisms to secure Wi-Fi (e.g., IEEE 802.11) and prevent unauthorized access by: (1) Authenticating devices trying to connect; and (2) Encrypting transmitted data.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</si>
  <si>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wireless access to the system is protected using authentication;
b. Ensuring wireless access to the system is protected using encryption;
c. Ensuring information is/are maintained during preparation for transmission;
d. Ensuring information is/are maintained during reception;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</si>
  <si>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IEC 62443-4-2: NDR 1.6(1) | NIST SP 800-82 R3 (Moderate OT overlay): AC-18(01) | NIST SP 800-53B Moderate: AC-18(01) | ISA/IEC 62443-3-2: ZCR 3.5.
Validation: Annual conformity validation; evidence artifacts to be defined; PPTDF applicability: Technology.</t>
  </si>
  <si>
    <t xml:space="preserve">NDR 1.6(1)</t>
  </si>
  <si>
    <t xml:space="preserve">AC-18(01)</t>
  </si>
  <si>
    <t xml:space="preserve">NET-15.2</t>
  </si>
  <si>
    <t xml:space="preserve">Disable Wireless Networking</t>
  </si>
  <si>
    <t xml:space="preserve">Mechanisms exist to disable unnecessary wireless networking capabilities that are internally embedded within system components prior to issuance to end users.</t>
  </si>
  <si>
    <t xml:space="preserve">Does the organization disable unnecessary wireless networking capabilities that are internally embedded within system components prior to issuance to end users?</t>
  </si>
  <si>
    <t xml:space="preserve">The organization implements and operates mechanisms to disable unnecessary wireless networking capabilities that are internally embedded within system components prior to issuance to end users.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</si>
  <si>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when not intended for use, wireless networking capabilities embedded within system components are disabled prior to issuance and deployment;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</si>
  <si>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NIST SP 800-82 R3 (Moderate OT overlay): AC-18(03) | NIST SP 800-53B Moderate: AC-18(03).
Validation: Annual conformity validation; evidence artifacts to be defined; PPTDF applicability: Technology.</t>
  </si>
  <si>
    <t xml:space="preserve">AC-18(03)</t>
  </si>
  <si>
    <t xml:space="preserve">NET-15.4</t>
  </si>
  <si>
    <t xml:space="preserve">Wireless Boundaries</t>
  </si>
  <si>
    <t xml:space="preserve">Mechanisms exist to confine wireless communications to organization-controlled boundaries.</t>
  </si>
  <si>
    <t xml:space="preserve">Does the organization confine wireless communications to organization-controlled boundaries?</t>
  </si>
  <si>
    <t xml:space="preserve">The organization implements and operates mechanisms to confine wireless communications to organization-controlled boundaries.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</si>
  <si>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transmission power levels are calibrated to reduce the probability that signals from wireless access points can be received outside of organization-controlled boundaries;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</si>
  <si>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wireless management platform; RF signal monitoring; Directional antenna design; Wireless boundary testing.
In-scope requirement alignment: ISA/IEC 62443-3-2: ZCR 3.5.
Validation: Annual conformity validation; evidence artifacts to be defined; PPTDF applicability: Technology.</t>
  </si>
  <si>
    <t xml:space="preserve">AC-18(05)</t>
  </si>
  <si>
    <t xml:space="preserve">∙ Enterprise wireless management platform
∙ RF signal monitoring
∙ Directional antenna design
∙ Wireless boundary testing</t>
  </si>
  <si>
    <t xml:space="preserve">NET-15.5</t>
  </si>
  <si>
    <t xml:space="preserve">Rogue Wireless Detection</t>
  </si>
  <si>
    <t xml:space="preserve">Mechanisms exist to test for the presence of Wireless Access Points (WAPs) and identify all authorized and unauthorized WAPs within the facility(ies).</t>
  </si>
  <si>
    <t xml:space="preserve">Does the organization test for the presence of Wireless Access Points (WAPs) and identify all authorized and unauthorized WAPs within the facility(ies)?</t>
  </si>
  <si>
    <t xml:space="preserve">E-NET-02</t>
  </si>
  <si>
    <t xml:space="preserve">The organization implements and operates mechanisms to test for the presence of Wireless Access Points (WAPs) and identify all authorized and unauthorized WAPs within the facility(ies).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</si>
  <si>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all authorized and unauthorized Wireless Access Points (WAPs) are identified within the facility(ies);
b. Ensuring rogue WAPs are responded to in accordance with published incident response plans;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</si>
  <si>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WIDS/WIPS with automated rogue AP detection and blocking (e.g., Cisco, Aruba, Juniper Mist).
In-scope requirement alignment: CSA IoT SCF: SWS-06.
Validation: Annual conformity validation; evidence artifacts E-NET-02; PPTDF applicability: Technology.</t>
  </si>
  <si>
    <t xml:space="preserve">SWS-06</t>
  </si>
  <si>
    <t xml:space="preserve">∙ Enterprise WIDS/WIPS with automated rogue AP detection and blocking (e.g., Cisco, Aruba, Juniper Mist)</t>
  </si>
  <si>
    <t xml:space="preserve">NET-17</t>
  </si>
  <si>
    <t xml:space="preserve">Data Loss Prevention (DLP)</t>
  </si>
  <si>
    <t xml:space="preserve">Automated mechanisms exist to implement Data Loss Prevention (DLP) to protect sensitive information as it is stored, transmitted and processed.</t>
  </si>
  <si>
    <t xml:space="preserve">Does the organization use automated mechanisms to implement Data Loss Prevention (DLP) to protect sensitive information as it is stored, transmitted and processed?</t>
  </si>
  <si>
    <t xml:space="preserve">DOE Cybersecurity Capability Maturity Model; CSA IoT Security Controls Framework v2; NIST SP 800-53B R5 - Privacy baseline</t>
  </si>
  <si>
    <t xml:space="preserve">The organization implements and operates automated mechanisms to implement Data Loss Prevention (DLP) to protect sensitive information as it is stored, transmitted and processed.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</si>
  <si>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points where communications traffic is to be analyzed are defined;
b. Ensuring outbound communications traffic is analyzed at interfaces external to the system to detect covert exfiltration of information;
c. Ensuring outbound communications traffic is analyzed at interfaces internal to the system to detect covert exfiltration of information;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</si>
  <si>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Data Loss Prevention (DLP).
In-scope requirement alignment: DOE C2M2: ARCHITECTURE-5f | CSA IoT SCF: DAT-02 | NIST SP 800-53B Privacy: SC-07(10), SI-04(18).
Validation: Quarterly conformity validation; evidence artifacts to be defined; PPTDF applicability: Technology.</t>
  </si>
  <si>
    <t xml:space="preserve">SC-07(10), SI-04(18)</t>
  </si>
  <si>
    <t xml:space="preserve">DAT-02</t>
  </si>
  <si>
    <t xml:space="preserve">NET-18</t>
  </si>
  <si>
    <t xml:space="preserve">DNS &amp; Content Filtering</t>
  </si>
  <si>
    <t xml:space="preserve">Mechanisms exist to force Internet-bound network traffic through a proxy device (e.g., Policy Enforcement Point (PEP)) for URL content filtering and DNS filtering to limit a user's ability to connect to dangerous or prohibited Internet sites.</t>
  </si>
  <si>
    <t xml:space="preserve">Does the organization force Internet-bound network traffic through a proxy device (e.g., Policy Enforcement Point (PEP)) for URL content filtering and DNS filtering to limit a user's ability to connect to dangerous or prohibited Internet sites?</t>
  </si>
  <si>
    <t xml:space="preserve">E-NET-01</t>
  </si>
  <si>
    <t xml:space="preserve">The organization implements and operates mechanisms to force Internet-bound network traffic through a proxy device (e.g., Policy Enforcement Point (PEP)) for URL content filtering and DNS filtering to limit a user's ability to connect to dangerous or prohibited Internet sites.
Within the OT and AMI environment, this objective implements ISA/IEC 62443-3-2 zones and conduits across enterprise, DMZ, control center, substation, backhaul and AMI mesh networks with deny-by-default conduit enforcement and monitored remote access.</t>
  </si>
  <si>
    <t xml:space="preserve">The Managed Security Service Provider (MSSP), under the oversight of the Security Operations function and with OT visibility requirements, is responsible for:
a. Ensuring Internet-bound network traffic is routed through a proxy device or service for URL content filtering and DNS filtering to limit a user's ability to connect to dangerous or prohibited Internet sites;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</si>
  <si>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NIST SP 800-82 R3 (Moderate OT overlay): SC-07(08) | CISA CPG: 2.M | DOE C2M2: ARCHITECTURE-2g, ARCHITECTURE-5f | NIST CSF 2.0: DE.CM-03 | NIST SP 800-53B Moderate: SC-07(08) | NIST SP 800-53B Privacy: SC-07(08), SC-18(03).
Validation: Annual conformity validation; evidence artifacts E-NET-01; PPTDF applicability: Technology.</t>
  </si>
  <si>
    <t xml:space="preserve">SC-07(08), SC-18(03)</t>
  </si>
  <si>
    <t xml:space="preserve">SC-07(08)</t>
  </si>
  <si>
    <t xml:space="preserve">ARCHITECTURE-2g, ARCHITECTURE-5f</t>
  </si>
  <si>
    <t xml:space="preserve">5.14, 8.23</t>
  </si>
  <si>
    <t xml:space="preserve">NET-18.1</t>
  </si>
  <si>
    <t xml:space="preserve">Route Internal Traffic to Proxy Servers</t>
  </si>
  <si>
    <t xml:space="preserve">Mechanisms exist to route internal communications traffic to external networks through organization-approved proxy servers at managed interfaces.</t>
  </si>
  <si>
    <t xml:space="preserve">Does the organization route internal communications traffic to external networks through organization-approved proxy servers at managed interfaces?</t>
  </si>
  <si>
    <t xml:space="preserve">The organization implements and operates mechanisms to route internal communications traffic to external networks through organization-approved proxy servers at managed interfaces.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</si>
  <si>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internal communications traffic to be routed to external networks is defined;
b. Ensuring external networks to which internal communications traffic is to be routed are defined;
c. Ensuring internal communications traffic is routed to external networks through authenticated proxy servers at managed interfaces;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</si>
  <si>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SWG (e.g., Zscaler, Netskope, Symantec Web Security); All internet traffic routed through proxy; SSL inspection.
In-scope requirement alignment: NIST SP 800-82 R3 (Moderate OT overlay): SC-07(08) | NIST SP 800-53B Moderate: SC-07(08) | NIST SP 800-53B Privacy: SC-07(08).
Validation: Annual conformity validation; evidence artifacts E-NET-01; PPTDF applicability: Technology.</t>
  </si>
  <si>
    <t xml:space="preserve">∙ Enterprise SWG (e.g., Zscaler, Netskope, Symantec Web Security)
∙ All internet traffic routed through proxy
∙ SSL inspection</t>
  </si>
  <si>
    <t xml:space="preserve">PES-01</t>
  </si>
  <si>
    <t xml:space="preserve">Physical &amp; Environmental Protections</t>
  </si>
  <si>
    <t xml:space="preserve">Physical &amp; Environmental Security</t>
  </si>
  <si>
    <t xml:space="preserve">PES</t>
  </si>
  <si>
    <t xml:space="preserve">Mechanisms exist to facilitate the operation of physical and environmental protection controls.</t>
  </si>
  <si>
    <t xml:space="preserve">Does the organization facilitate the operation of physical and environmental protection controls?</t>
  </si>
  <si>
    <t xml:space="preserve">E-PES-01, E-PES-05</t>
  </si>
  <si>
    <t xml:space="preserve">IEC 62443-2-1:2024; NIST SP 800-82 R3 - Moderate OT Overlay; NERC CIP; NIST Cybersecurity Framework 2.0; DOE Cybersecurity Capability Maturity Model; CSA IoT Security Controls Framework v2; NIST SP 800-161 R1 - C-SCRM Baseline; NIST Privacy Framework 1.0; NIST SP 800-53B R5 - Privacy baseline; ANSI/ISA-62443-3-2:2020</t>
  </si>
  <si>
    <t xml:space="preserve">Director, Corporate Security &amp; Facilities</t>
  </si>
  <si>
    <t xml:space="preserve">Manager, Substation, Plant &amp; Meter Shop Physical Security</t>
  </si>
  <si>
    <t xml:space="preserve">Physical security contractor; meter installation contractor; facility landlords</t>
  </si>
  <si>
    <t xml:space="preserve">The organization shall limit physical access to control centers, substations, plants, communications sites, meter shops and AMI head-end facilities to authorized individuals, monitor physical access, and provide environmental protections that prevent avoidable equipment failure and service interruption. Physical security for OT and AMI shall address distributed and unattended field locations.</t>
  </si>
  <si>
    <t xml:space="preserve">The organization implements and operates mechanisms to facilitate the operation of physical and environmental protection controls.
Within the OT and AMI environment, this objective addresses control centers, substations, plants, communications sites, meter shops and unattended field enclosures housing OT and AMI assets.</t>
  </si>
  <si>
    <t xml:space="preserve">The Chief Information Security Officer (CISO), in coordination with the OT Security Lead, is responsible for:
a. Ensuring the physical facility where organizational systems reside is protected;
b. Ensuring the location or site of the facility where the system resides is planned considering physical and environmental hazards;
c. Ensuring for existing facilities, physical and environmental hazards are considered in the organizational risk management strategy;
d. Ensuring physical security operations are conducted according to documented policies, standards, procedures and/or other organizational directives;
e. Ensuring adequate resources (e.g., people, processes, technologies, data and/or facilities) are provided to support physical security operations;
f. Ensuring responsibility and authority for the performance of physical security-related activities are assigned to designated personnel;
g. Ensuring the support infrastructure for organizational systems is protected;
h. Ensuring the physical facility where organizational systems reside is monitored;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</si>
  <si>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security platform (e.g., Lenel, Genetec); Integrated access control/CCTV; 24/7 security operations; Environmental monitoring.
In-scope requirement alignment: IEC 62443-2-1: ORG 3.1 | NIST SP 800-82 R3 (Moderate OT overlay): PE-01 | NERC CIP: CIP-003-8 1.1.3, CIP-003-8 1.2.2 | DOE C2M2: ACCESS-3a, ACCESS-3d, ARCHITECTURE-3a, ARCHITECTURE-3j | NIST CSF 2.0: ID.AM, PR.AA, PR.AA-06, PR.IR-02, DE.CM-02 | NIST SP 800-161 R1 C-SCRM: PE-1 | CSA IoT SCF: PHY-01 | NIST Privacy Framework: PR.PO-P4, PR.AC-P2 | NIST SP 800-53B Privacy: PE-01, PE-23 | ISA/IEC 62443-3-2: ZCR 6.5.
Validation: Annual conformity validation; evidence artifacts E-PES-01, E-PES-05; PPTDF applicability: Process.</t>
  </si>
  <si>
    <t xml:space="preserve">ORG 3.1</t>
  </si>
  <si>
    <t xml:space="preserve">ZCR 6.5</t>
  </si>
  <si>
    <t xml:space="preserve">PE-01, PE-23</t>
  </si>
  <si>
    <t xml:space="preserve">PE-01</t>
  </si>
  <si>
    <t xml:space="preserve">CIP-003-8 1.1.3, CIP-003-8 1.2.2</t>
  </si>
  <si>
    <t xml:space="preserve">ACCESS-3a, ACCESS-3d, ARCHITECTURE-3a, ARCHITECTURE-3j</t>
  </si>
  <si>
    <t xml:space="preserve">ID.AM, PR.AA, PR.AA-06, PR.IR-02, DE.CM-02</t>
  </si>
  <si>
    <t xml:space="preserve">PE-1</t>
  </si>
  <si>
    <t xml:space="preserve">PR.PO-P4, PR.AC-P2</t>
  </si>
  <si>
    <t xml:space="preserve">SG.PE Physical and Environmental Security</t>
  </si>
  <si>
    <t xml:space="preserve">5.14, 5.15, 5.18, 7.1, 7.5</t>
  </si>
  <si>
    <t xml:space="preserve">∙ Enterprise physical security platform (e.g., Lenel, Genetec)
∙ Integrated access control/CCTV
∙ 24/7 security operations
∙ Environmental monitoring</t>
  </si>
  <si>
    <t xml:space="preserve">PES-01.1</t>
  </si>
  <si>
    <t xml:space="preserve">Physical Security Plan (PSP)</t>
  </si>
  <si>
    <t xml:space="preserve">Mechanisms exist to document a Physical Security Plan (PSP), or similar document, to summarize the implemented security controls to protect physical access to technology assets, as well as applicable risks and threats.</t>
  </si>
  <si>
    <t xml:space="preserve">Does the organization document a Physical Security Plan (PSP), or similar document, to summarize the implemented security controls to protect physical access to technology assets, as well as applicable risks and threats?</t>
  </si>
  <si>
    <t xml:space="preserve">E-PES-04</t>
  </si>
  <si>
    <t xml:space="preserve">Facilities</t>
  </si>
  <si>
    <t xml:space="preserve">The organization implements and operates mechanisms to document a Physical Security Plan (PSP), or similar document, to summarize the implemented security controls to protect physical access to technology assets, as well as applicable risks and threats.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</si>
  <si>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 Site Security Plan (SitePlan) is documented for each server and communications room to summarize the implemented security controls to protect physical access to technology assets, as well as applicable risks and threats;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</si>
  <si>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Documented Site Security Plan (SitePlan).
In-scope requirement alignment: NERC CIP: CIP-006-6 R1, CIP-006-6 1.1.
Validation: Annual conformity validation; evidence artifacts E-PES-04; PPTDF applicability: Process.</t>
  </si>
  <si>
    <t xml:space="preserve">CIP-006-6 R1, CIP-006-6 1.1</t>
  </si>
  <si>
    <t xml:space="preserve">∙ Documented Site Security Plan (SitePlan)</t>
  </si>
  <si>
    <t xml:space="preserve">PES-01.2</t>
  </si>
  <si>
    <t xml:space="preserve">Zone-Based Physical Security</t>
  </si>
  <si>
    <t xml:space="preserve">Mechanisms exist to implement a zone-based approach to physical security.</t>
  </si>
  <si>
    <t xml:space="preserve">Does the organization implement a zone-based approach to physical security?</t>
  </si>
  <si>
    <t xml:space="preserve">E-PES-11</t>
  </si>
  <si>
    <t xml:space="preserve">The organization implements and operates mechanisms to implement a zone-based approach to physical security.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</si>
  <si>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 zone-based approach to physical security is developed;
b. Ensuring a zone-based approach to physical security is implemented;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</si>
  <si>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security program with comprehensive procedures; Regular exercises and audits; Third-party security assessments.
In-scope requirement alignment: NERC CIP: CIP-006-6 1.2.
Validation: Annual conformity validation; evidence artifacts E-PES-11; PPTDF applicability: Process.</t>
  </si>
  <si>
    <t xml:space="preserve">CIP-006-6 1.2</t>
  </si>
  <si>
    <t xml:space="preserve">∙ Enterprise physical security program with comprehensive procedures
∙ Regular exercises and audits
∙ Third-party security assessments</t>
  </si>
  <si>
    <t xml:space="preserve">PES-02</t>
  </si>
  <si>
    <t xml:space="preserve">Physical Access Authorizations</t>
  </si>
  <si>
    <t xml:space="preserve">Physical access control mechanisms exist to maintain a current list of personnel with authorized access to organizational facilities (except for those areas within the facility officially designated as publicly accessible).</t>
  </si>
  <si>
    <t xml:space="preserve">Does the organization maintain a current list of personnel with authorized access to organizational facilities (except for those areas within the facility officially designated as publicly accessible)?</t>
  </si>
  <si>
    <t xml:space="preserve">E-HRS-28, E-PES-03, E-PES-05, E-PES-10</t>
  </si>
  <si>
    <t xml:space="preserve">NIST SP 800-82 R3 - Moderate OT Overlay; NERC CIP; NIST Cybersecurity Framework 2.0; DOE Cybersecurity Capability Maturity Model; NIST SP 800-161 R1 - C-SCRM Baseline</t>
  </si>
  <si>
    <t xml:space="preserve">The organization implements and operates physical access control mechanisms to maintain a current list of personnel with authorized access to organizational facilities (except for those areas within the facility officially designated as publicly accessible).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</si>
  <si>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authorized individuals allowed physical access are identified;
b. Ensuring physical access to operating environments is limited to authorized individuals;
c. Ensuring physical access to organizational systems is limited to authorized individuals;
d. Ensuring physical access to equipment is limited to authorized individuals;
e. Ensuring the frequency at which to review the access list detailing authorized facility access by individuals is defined;
f. Ensuring a list of individuals with authorized access to the facility where the system resides is approved;
g. Ensuring a list of individuals with authorized access to the facility where the system resides is maintained;
h. Ensuring individuals from the facility access list are removed when access is no longer required;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</si>
  <si>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access platform (e.g., Lenel S2, Genetec); Multi-factor physical auth; Mantrap; Anti-tailgating controls.
In-scope requirement alignment: NIST SP 800-82 R3 (Moderate OT overlay): PE-02 | NERC CIP: CIP-004-7 4.1.2, CIP-004-7 4.2, CIP-004-7 6.1.2 | DOE C2M2: ACCESS-3b, ACCESS-3d, ACCESS-3f, ACCESS-3g, ACCESS-3i | NIST CSF 2.0: PR.AA, PR.AA-06 | NIST SP 800-161 R1 C-SCRM: PE-2.
Validation: Annual conformity validation; evidence artifacts E-HRS-28, E-PES-03, E-PES-05, E-PES-10; PPTDF applicability: Process.</t>
  </si>
  <si>
    <t xml:space="preserve">PE-02</t>
  </si>
  <si>
    <t xml:space="preserve">CIP-004-7 4.1.2, CIP-004-7 4.2, CIP-004-7 6.1.2</t>
  </si>
  <si>
    <t xml:space="preserve">ACCESS-3b, ACCESS-3d, ACCESS-3f, ACCESS-3g, ACCESS-3i</t>
  </si>
  <si>
    <t xml:space="preserve">PR.AA, PR.AA-06</t>
  </si>
  <si>
    <t xml:space="preserve">PE-2</t>
  </si>
  <si>
    <t xml:space="preserve">5.15, 5.18, 7.1</t>
  </si>
  <si>
    <t xml:space="preserve">∙ Enterprise physical access platform (e.g., Lenel S2, Genetec)
∙ Multi-factor physical auth
∙ Mantrap
∙ Anti-tailgating controls</t>
  </si>
  <si>
    <t xml:space="preserve">PES-02.1</t>
  </si>
  <si>
    <t xml:space="preserve">Role-Based Physical Access</t>
  </si>
  <si>
    <t xml:space="preserve">Physical access control mechanisms exist to authorize physical access to facilities based on the position or role of the individual.</t>
  </si>
  <si>
    <t xml:space="preserve">Does the organization authorize physical access to facilities based on the position or role of the individual?</t>
  </si>
  <si>
    <t xml:space="preserve">E-PES-03, E-PES-05, E-PES-10</t>
  </si>
  <si>
    <t xml:space="preserve">The organization implements and operates physical access control mechanisms to authorize physical access to facilities based on the position or role of the individual.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</si>
  <si>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access to the facility where the system resides is authorized based on position or role;
b. Ensuring physical access restrictions associated with changes to the system are defined and documented;
c. Ensuring the frequency at which to review the access list detailing authorized facility access by individuals is defined;
d. Ensuring authorization credentials for facility access are issued;
e. Enforcing and logging physical access to control centers, substations, communications sites, meter shops and head-end facilities, and reviewing access rights at least annually; and
f.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</si>
  <si>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visitor management platform (e.g., Lenel/Envoy integration); Automated visitor pre-registration; Background check integration.
In-scope requirement alignment: NERC CIP: CIP-006-6 1.2 | DOE C2M2: ACCESS-3e, ACCESS-3f | NIST CSF 2.0: PR.AA-06.
Validation: Annual conformity validation; evidence artifacts E-PES-03, E-PES-05, E-PES-10; PPTDF applicability: Facility.</t>
  </si>
  <si>
    <t xml:space="preserve">PE-02(01)</t>
  </si>
  <si>
    <t xml:space="preserve">ACCESS-3e, ACCESS-3f</t>
  </si>
  <si>
    <t xml:space="preserve">PR.AA-06</t>
  </si>
  <si>
    <t xml:space="preserve">∙ Enterprise visitor management platform (e.g., Lenel/Envoy integration)
∙ Automated visitor pre-registration
∙ Background check integration</t>
  </si>
  <si>
    <t xml:space="preserve">PES-02.2</t>
  </si>
  <si>
    <t xml:space="preserve">Dual Authorization for Physical Access</t>
  </si>
  <si>
    <t xml:space="preserve">Mechanisms exist to enforce a "two-person rule" for physical access by requiring two authorized individuals with separate access cards, keys or PINs, to access highly-sensitive areas (e.g., safe, high-security cage, etc.).</t>
  </si>
  <si>
    <t xml:space="preserve">Does the organization enforce a "two-person rule" for physical access by requiring two authorized individuals with separate access cards, keys or PINs, to access highly-sensitive areas (e.g., safe, high-security cage, etc.)?</t>
  </si>
  <si>
    <t xml:space="preserve">The organization implements and operates mechanisms to enforce a "two-person rule" for physical access by requiring two authorized individuals with separate access cards, keys or PINs, to access highly-sensitive areas (e.g., safe, high-security cage, etc.).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</si>
  <si>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 "two-person rule" is enforced for physical access by requiring two authorized individuals with separate access cards, keys or PINs, to access highly-sensitive areas (e.g., safe, high-security cage, etc.);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</si>
  <si>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visitor management platform with automated checkout workflows and real-time occupancy tracking.
In-scope requirement alignment: DOE C2M2: ACCESS-3f.
Validation: Annual conformity validation; evidence artifacts to be defined; PPTDF applicability: Process.</t>
  </si>
  <si>
    <t xml:space="preserve">ACCESS-3f</t>
  </si>
  <si>
    <t xml:space="preserve">∙ Enterprise visitor management platform with automated checkout workflows and real-time occupancy tracking</t>
  </si>
  <si>
    <t xml:space="preserve">PES-03</t>
  </si>
  <si>
    <t xml:space="preserve">Physical Access Control</t>
  </si>
  <si>
    <t xml:space="preserve">Physical access control mechanisms exist to enforce physical access authorizations for all physical access points (including designated entry/exit points) to facilities (excluding those areas within the facility officially designated as publicly accessible).</t>
  </si>
  <si>
    <t xml:space="preserve">Does the organization enforce physical access authorizations for all physical access points (including designated entry/exit points) to facilities (excluding those areas within the facility officially designated as publicly accessible)?</t>
  </si>
  <si>
    <t xml:space="preserve">E-PES-05, E-PES-06, E-PES-07, E-PES-08, E-PES-09</t>
  </si>
  <si>
    <t xml:space="preserve">NIST SP 800-82 R3 - Moderate OT Overlay; NERC CIP; NIST Cybersecurity Framework 2.0; DOE Cybersecurity Capability Maturity Model; CSA IoT Security Controls Framework v2; NIST SP 800-161 R1 - C-SCRM Baseline; NIST Privacy Framework 1.0</t>
  </si>
  <si>
    <t xml:space="preserve">The organization implements and operates physical access control mechanisms to enforce physical access authorizations for all physical access points (including designated entry/exit points) to facilities (excluding those areas within the facility officially designated as publicly accessible).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</si>
  <si>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access controls to control access to areas within the facility designated as publicly accessible are defined;
b. Ensuring physical access authorizations are enforced at entry and exit points to the facility where the system resides by controlling ingress and egress with physical access control systems, devices, or guards;
c. Ensuring physical access devices are identified;
d. Ensuring physical access devices are controlled;
e. Ensuring physical access devices are managed;
f. Ensuring visitors are escorted;
g. Ensuring physical access restrictions associated with changes to the system are enforced;
h. Ensuring keys, combinations, and other physical access devices are secured;
i. Enforcing physical access controls at control centers, substations, plants, communications sites, meter shops and head-end facilities proportional to zone criticality, and logging access; and
j. Protecting unattended field enclosures and collectors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</si>
  <si>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Staffed lobby (receptionist); Physical security guards; Verify individual access authorizations before granting access to the facility; Control entry to the facility containing the system using physical access devices and/or guards; Control access to areas officially designated as publicly accessible in accordance with the organization's assessment of risk; Secure keys, combinations and other physical access devices.
In-scope requirement alignment: NIST SP 800-82 R3 (Moderate OT overlay): PE-03 | NERC CIP: CIP-006-6 1.1, CIP-006-6 1.3, CIP-006-6 1.5, CIP-006-6 1.10 | DOE C2M2: ACCESS-3a, ACCESS-3d, ACCESS-3e, ACCESS-3f, ACCESS-3g, ACCESS-3j | NIST CSF 2.0: PR.AA, PR.AA-06, DE.CM-02 | NIST SP 800-161 R1 C-SCRM: PE-3 | CSA IoT SCF: PHY-01 | NIST Privacy Framework: PR.AC-P2.
Validation: Annual conformity validation; evidence artifacts E-PES-05, E-PES-06, E-PES-07, E-PES-08, E-PES-09; PPTDF applicability: Facility.</t>
  </si>
  <si>
    <t xml:space="preserve">PE-03, PE-03(02), PE-03(03)</t>
  </si>
  <si>
    <t xml:space="preserve">PE-03</t>
  </si>
  <si>
    <t xml:space="preserve">CIP-006-6 1.1, CIP-006-6 1.3, CIP-006-6 1.5, CIP-006-6 1.10</t>
  </si>
  <si>
    <t xml:space="preserve">ACCESS-3a, ACCESS-3d, ACCESS-3e, ACCESS-3f, ACCESS-3g, ACCESS-3j</t>
  </si>
  <si>
    <t xml:space="preserve">PR.AA, PR.AA-06, DE.CM-02</t>
  </si>
  <si>
    <t xml:space="preserve">PE-3</t>
  </si>
  <si>
    <t xml:space="preserve">PR.AC-P2</t>
  </si>
  <si>
    <t xml:space="preserve">5.15, 5.18, 7.1, 7.4</t>
  </si>
  <si>
    <t xml:space="preserve">∙ Staffed lobby (receptionist)
∙ Physical security guards
∙ Verify individual access authorizations before granting access to the facility.
∙ Control entry to the facility containing the system using physical access devices and/or guards.
∙ Control access to areas officially designated as publicly accessible in accordance with the organization's assessment of risk.
∙ Secure keys, combinations and other physical access devices.</t>
  </si>
  <si>
    <t xml:space="preserve">PES-03.1</t>
  </si>
  <si>
    <t xml:space="preserve">Controlled Ingress &amp; Egress Points</t>
  </si>
  <si>
    <t xml:space="preserve">Physical access control mechanisms exist to limit and monitor physical access through controlled ingress and egress points.</t>
  </si>
  <si>
    <t xml:space="preserve">Does the organization limit and monitor physical access through controlled ingress and egress points?</t>
  </si>
  <si>
    <t xml:space="preserve">E-PES-12</t>
  </si>
  <si>
    <t xml:space="preserve">The organization implements and operates physical access control mechanisms to limit and monitor physical access through controlled ingress and egress points.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</si>
  <si>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physical access control mechanisms limit physical access through controlled ingress and egress points;
b. Ensuring physical access control mechanisms monitor physical access through controlled ingress and egress points;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</si>
  <si>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Control entry to the facility containing the system using physical access devices and/or guards; Control access to areas officially designated as publicly accessible in accordance with the organization's assessment of risk.
In-scope requirement alignment: NERC CIP: CIP-006-6 1.5.
Validation: Annual conformity validation; evidence artifacts E-PES-12; PPTDF applicability: Facility.</t>
  </si>
  <si>
    <t xml:space="preserve">CIP-006-6 1.5</t>
  </si>
  <si>
    <t xml:space="preserve">7.1, 7.2</t>
  </si>
  <si>
    <t xml:space="preserve">∙ Control entry to the facility containing the system using physical access devices and/or guards.
∙ Control access to areas officially designated as publicly accessible in accordance with the organization's assessment of risk.</t>
  </si>
  <si>
    <t xml:space="preserve">PES-03.2</t>
  </si>
  <si>
    <t xml:space="preserve">Lockable Physical Casings</t>
  </si>
  <si>
    <t xml:space="preserve">Physical access control mechanisms exist to protect system components from unauthorized physical access (e.g., lockable physical casings).</t>
  </si>
  <si>
    <t xml:space="preserve">Does the organization protect system components from unauthorized physical access (e.g., lockable physical casings)?</t>
  </si>
  <si>
    <t xml:space="preserve">The organization implements and operates physical access control mechanisms to protect system components from unauthorized physical access (e.g., lockable physical casings).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</si>
  <si>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system components to be protected from unauthorized physical access are defined;
b. Ensuring lockable physical casings are used to protect system components from unauthorized access;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</si>
  <si>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DCIM/environmental monitoring platform (e.g., Nlyte, Schneider EcoStruxure); Redundant sensors; Automated HVAC controls.
In-scope requirement alignment: NIST SP 800-53B Privacy: SC-07(14).
Validation: Annual conformity validation; evidence artifacts to be defined; PPTDF applicability: Facility.</t>
  </si>
  <si>
    <t xml:space="preserve">PE-03(04), SC-07(14)</t>
  </si>
  <si>
    <t xml:space="preserve">SC-07(14)</t>
  </si>
  <si>
    <t xml:space="preserve">SG.PE Physical and Environmental Security; SG.SC Smart Grid Information System and Communication Protection</t>
  </si>
  <si>
    <t xml:space="preserve">∙ Enterprise DCIM/environmental monitoring platform (e.g., Nlyte, Schneider EcoStruxure)
∙ Redundant sensors
∙ Automated HVAC controls</t>
  </si>
  <si>
    <t xml:space="preserve">PES-03.3</t>
  </si>
  <si>
    <t xml:space="preserve">Physical Access Logs</t>
  </si>
  <si>
    <t xml:space="preserve">Physical access control mechanisms generate a log entry for each access attempt through controlled ingress and egress points.</t>
  </si>
  <si>
    <t xml:space="preserve">Physical access control mechanisms generate a log entry for each access attempt through controlled ingress and egress points?</t>
  </si>
  <si>
    <t xml:space="preserve">E-PES-02</t>
  </si>
  <si>
    <t xml:space="preserve">NIST SP 800-82 R3 - Moderate OT Overlay; NERC CIP; NIST Cybersecurity Framework 2.0; DOE Cybersecurity Capability Maturity Model</t>
  </si>
  <si>
    <t xml:space="preserve">The organization ensures that Physical access control mechanisms generate a log entry for each access attempt through controlled ingress and egress points.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</si>
  <si>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access audit logs for entry or exit points are maintained;
b. Ensuring time period for which to maintain visitor access records for the facility where the system resides is defined;
c. Ensuring visitor access records for the facility where the system resides are maintained for time period;
d. Ensuring the frequency at which to review visitor access records is defined;
e. Ensuring visitor access records are reviewed frequently;
f. Ensuring audit logs of physical access are maintained;
g. Ensuring personnel to whom visitor access records anomalies are reported to is/are defined;
h. Ensuring visitor access records anomalies are reported to personnel;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</si>
  <si>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Staffed lobby (receptionist); Visitor logbook.
In-scope requirement alignment: NIST SP 800-82 R3 (Moderate OT overlay): PE-08 | NERC CIP: CIP-006-6 1.4, CIP-006-6 1.8 | DOE C2M2: ACCESS-3c | NIST CSF 2.0: DE.CM-02.
Validation: Annual conformity validation; evidence artifacts E-PES-02; PPTDF applicability: Facility.</t>
  </si>
  <si>
    <t xml:space="preserve">PE-08</t>
  </si>
  <si>
    <t xml:space="preserve">CIP-006-6 1.4, CIP-006-6 1.8</t>
  </si>
  <si>
    <t xml:space="preserve">ACCESS-3c</t>
  </si>
  <si>
    <t xml:space="preserve">DE.CM-02</t>
  </si>
  <si>
    <t xml:space="preserve">7.2</t>
  </si>
  <si>
    <t xml:space="preserve">∙ Staffed lobby (receptionist)
∙ Visitor logbook</t>
  </si>
  <si>
    <t xml:space="preserve">PES-03.4</t>
  </si>
  <si>
    <t xml:space="preserve">Access To Critical Systems</t>
  </si>
  <si>
    <t xml:space="preserve">Physical access control mechanisms exist to enforce physical access to critical systems or sensitive and/or regulated data, in addition to the physical access controls for the facility.</t>
  </si>
  <si>
    <t xml:space="preserve">Does the organization enforce physical access to critical systems or sensitive and/or regulated data, in addition to the physical access controls for the facility?</t>
  </si>
  <si>
    <t xml:space="preserve">The organization implements and operates physical access control mechanisms to enforce physical access to critical systems or sensitive and/or regulated data, in addition to the physical access controls for the facility.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</si>
  <si>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spaces are defined;
b. Ensuring physical access controls are enforced for the facility at physical spaces;
c. Ensuring physical access authorizations are enforced;
d. Enforcing and logging physical access to control centers, substations, communications sites, meter shops and head-end facilities, and reviewing access rights at least annually; and
e.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</si>
  <si>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power management (UPS, generators, PDU monitoring); N+1 redundancy; DCIM integration; Automated failover.
In-scope requirement alignment: NIST Privacy Framework: PR.AC-P2.
Validation: Annual conformity validation; evidence artifacts to be defined; PPTDF applicability: Facility.</t>
  </si>
  <si>
    <t xml:space="preserve">PE-03(01)</t>
  </si>
  <si>
    <t xml:space="preserve">∙ Enterprise power management (UPS, generators, PDU monitoring)
∙ N+1 redundancy
∙ DCIM integration
∙ Automated failover</t>
  </si>
  <si>
    <t xml:space="preserve">PES-04</t>
  </si>
  <si>
    <t xml:space="preserve">Physical Security of Offices, Rooms &amp; Facilities</t>
  </si>
  <si>
    <t xml:space="preserve">Mechanisms exist to identify systems, equipment and respective operating environments that require limited physical access so that appropriate physical access controls are designed and implemented for offices, rooms and facilities.</t>
  </si>
  <si>
    <t xml:space="preserve">Does the organization identify systems, equipment and respective operating environments that require limited physical access so that appropriate physical access controls are designed and implemented for offices, rooms and facilities?</t>
  </si>
  <si>
    <t xml:space="preserve">The organization implements and operates mechanisms to identify systems, equipment and respective operating environments that require limited physical access so that appropriate physical access controls are designed and implemented for offices, rooms and facilities.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</si>
  <si>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identify systems, equipment and respective operating environments that require limited physical access so that appropriate physical access controls are designed and implemented for offices, rooms and facilities;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</si>
  <si>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"clean desk" requirements; Personnel manager spot checks.
In-scope requirement alignment: NIST Privacy Framework: PR.AC-P2.
Validation: Annual conformity validation; evidence artifacts to be defined; PPTDF applicability: Facility.</t>
  </si>
  <si>
    <t xml:space="preserve">5.15, 7.1, 7.3, 7.5, 7.7</t>
  </si>
  <si>
    <t xml:space="preserve">∙ "clean desk" requirements
∙ Personnel manager spot checks</t>
  </si>
  <si>
    <t xml:space="preserve">PES-04.1</t>
  </si>
  <si>
    <t xml:space="preserve">Working in Secure Areas</t>
  </si>
  <si>
    <t xml:space="preserve">Physical security mechanisms exist to allow only authorized personnel access to secure areas.</t>
  </si>
  <si>
    <t xml:space="preserve">Does the organization allow only authorized personnel access to secure areas?</t>
  </si>
  <si>
    <t xml:space="preserve">The organization implements and operates physical security mechanisms to allow only authorized personnel access to secure areas.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</si>
  <si>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security access controls allow only authorized personnel access to secure areas;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</si>
  <si>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Visitor escorts.
In-scope requirement alignment: NIST Privacy Framework: PR.AC-P2.
Validation: Annual conformity validation; evidence artifacts to be defined; PPTDF applicability: Facility.</t>
  </si>
  <si>
    <t xml:space="preserve">5.15, 7.2, 7.3, 7.6</t>
  </si>
  <si>
    <t xml:space="preserve">∙ Visitor escorts</t>
  </si>
  <si>
    <t xml:space="preserve">PES-05</t>
  </si>
  <si>
    <t xml:space="preserve">Monitoring Physical Access</t>
  </si>
  <si>
    <t xml:space="preserve">Physical access control mechanisms exist to monitor for, detect and respond to physical security incidents.</t>
  </si>
  <si>
    <t xml:space="preserve">Does the organization monitor for, detect and respond to physical security incidents?</t>
  </si>
  <si>
    <t xml:space="preserve">E-PES-05</t>
  </si>
  <si>
    <t xml:space="preserve">NIST SP 800-82 R3 - Moderate OT Overlay; NERC CIP; NIST Cybersecurity Framework 2.0; CSA IoT Security Controls Framework v2; NIST SP 800-161 R1 - C-SCRM Baseline</t>
  </si>
  <si>
    <t xml:space="preserve">The organization implements and operates physical access control mechanisms to monitor for, detect and respond to physical security incidents.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</si>
  <si>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the frequency at which to review physical access logs is defined;
b. Ensuring events or potential indications of events requiring physical access logs to be reviewed are defined;
c. Ensuring physical access to the facility where the system resides is monitored to detect physical security incidents;
d. Ensuring physical access logs are reviewed per an organization-defined frequency;
e. Ensuring physical security incidents are responded to;
f. Ensuring physical access logs are reviewed upon occurrence of organization-defined events or potential indicators of events;
g. Ensuring results of reviews are coordinated with organizational incident response capabilities;
h. Ensuring results of investigations are coordinated with organizational incident response capabilities;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</si>
  <si>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Physical alarm systems; Video surveillance systems; Physical security guards; Staffed lobby (receptionist).
In-scope requirement alignment: NIST SP 800-82 R3 (Moderate OT overlay): PE-06 | NERC CIP: CIP-006-6 1.4, CIP-006-6 1.6, CIP-006-6 1.7 | NIST CSF 2.0: DE.CM-02 | NIST SP 800-161 R1 C-SCRM: PE-6 | CSA IoT SCF: PHY-01.
Validation: Semi-Annual conformity validation; evidence artifacts E-PES-05; PPTDF applicability: Process.</t>
  </si>
  <si>
    <t xml:space="preserve">PE-06</t>
  </si>
  <si>
    <t xml:space="preserve">CIP-006-6 1.4, CIP-006-6 1.6, CIP-006-6 1.7</t>
  </si>
  <si>
    <t xml:space="preserve">PE-6</t>
  </si>
  <si>
    <t xml:space="preserve">7.4</t>
  </si>
  <si>
    <t xml:space="preserve">∙ Physical alarm systems
∙ Video surveillance systems
∙ Physical security guards
∙ Staffed lobby (receptionist)</t>
  </si>
  <si>
    <t xml:space="preserve">PES-05.1</t>
  </si>
  <si>
    <t xml:space="preserve">Intrusion Alarms / Surveillance Equipment</t>
  </si>
  <si>
    <t xml:space="preserve">Physical access control mechanisms exist to monitor physical intrusion alarms and surveillance equipment.</t>
  </si>
  <si>
    <t xml:space="preserve">Does the organization monitor physical intrusion alarms and surveillance equipment?</t>
  </si>
  <si>
    <t xml:space="preserve">NIST SP 800-82 R3 - Moderate OT Overlay; NERC CIP; NIST SP 800-53B R5 - Moderate baseline; CSA IoT Security Controls Framework v2</t>
  </si>
  <si>
    <t xml:space="preserve">The organization implements and operates physical access control mechanisms to monitor physical intrusion alarms and surveillance equipment.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</si>
  <si>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access to the facility where the system resides is monitored using physical intrusion alarms;
b. Ensuring physical access to the facility where the system resides is monitored using physical surveillance equipment;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</si>
  <si>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Physical alarm systems; Video surveillance systems.
In-scope requirement alignment: NIST SP 800-82 R3 (Moderate OT overlay): PE-06(01) | NERC CIP: CIP-006-6 1.5, CIP-006-6 1.7 | NIST SP 800-53B Moderate: PE-06(01) | CSA IoT SCF: PHY-01.
Validation: Annual conformity validation; evidence artifacts to be defined; PPTDF applicability: Facility.</t>
  </si>
  <si>
    <t xml:space="preserve">PE-06(01)</t>
  </si>
  <si>
    <t xml:space="preserve">CIP-006-6 1.5, CIP-006-6 1.7</t>
  </si>
  <si>
    <t xml:space="preserve">∙ Physical alarm systems
∙ Video surveillance systems</t>
  </si>
  <si>
    <t xml:space="preserve">PES-05.2</t>
  </si>
  <si>
    <t xml:space="preserve">Monitoring Physical Access To Critical Systems</t>
  </si>
  <si>
    <t xml:space="preserve">Facility security mechanisms exist to monitor physical access to critical systems or sensitive and/or regulated data, in addition to the physical access monitoring of the facility.</t>
  </si>
  <si>
    <t xml:space="preserve">Does the organization monitor physical access to critical systems or sensitive and/or regulated data, in addition to the physical access monitoring of the facility?</t>
  </si>
  <si>
    <t xml:space="preserve">NIST SP 800-82 R3 - Moderate OT Overlay; CSA IoT Security Controls Framework v2</t>
  </si>
  <si>
    <t xml:space="preserve">The organization implements and operates facility security mechanisms to monitor physical access to critical systems or sensitive and/or regulated data, in addition to the physical access monitoring of the facility.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</si>
  <si>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spaces containing one or more components of the system are defined;
b. Ensuring physical access to the system is monitored in addition to the physical access monitoring of the facility at physical spaces;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</si>
  <si>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Physical security guards.
In-scope requirement alignment: NIST SP 800-82 R3 (Moderate OT overlay): PE-06(04) | CSA IoT SCF: PHY-01.
Validation: Annual conformity validation; evidence artifacts to be defined; PPTDF applicability: Process.</t>
  </si>
  <si>
    <t xml:space="preserve">PE-06(04)</t>
  </si>
  <si>
    <t xml:space="preserve">∙ Physical security guards</t>
  </si>
  <si>
    <t xml:space="preserve">PES-06</t>
  </si>
  <si>
    <t xml:space="preserve">Visitor Control</t>
  </si>
  <si>
    <t xml:space="preserve">Physical access control mechanisms exist to identify, authorize and monitor visitors before allowing access to the facility (other than areas designated as publicly accessible).</t>
  </si>
  <si>
    <t xml:space="preserve">Does the organization identify, authorize and monitor visitors before allowing access to the facility (other than areas designated as publicly accessible)?</t>
  </si>
  <si>
    <t xml:space="preserve">The organization implements and operates physical access control mechanisms to identify, authorize and monitor visitors before allowing access to the facility (other than areas designated as publicly accessible).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</si>
  <si>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visitors are escorted;
b. Ensuring visitor activity is controlled;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</si>
  <si>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Staffed lobby (receptionist); Visitor logbook.
In-scope requirement alignment: NERC CIP: CIP-006-6 1.2, CIP-006-6 1.3, CIP-006-6 R2, CIP-006-6 2.2.
Validation: Annual conformity validation; evidence artifacts E-PES-02; PPTDF applicability: Facility.</t>
  </si>
  <si>
    <t xml:space="preserve">CIP-006-6 1.2, CIP-006-6 1.3, CIP-006-6 R2, CIP-006-6 2.2</t>
  </si>
  <si>
    <t xml:space="preserve">PES-06.2</t>
  </si>
  <si>
    <t xml:space="preserve">Identification Requirement</t>
  </si>
  <si>
    <t xml:space="preserve">Physical access control mechanisms exist to requires at least one(1) form of government-issued or organization-issued photo identification to authenticate individuals before they can gain access to the facility.</t>
  </si>
  <si>
    <t xml:space="preserve">Does the organization requires at least one(1) form of government-issued or organization-issued photo identification to authenticate individuals before they can gain access to the facility?</t>
  </si>
  <si>
    <t xml:space="preserve">The organization implements and operates physical access control mechanisms to requires at least one(1) form of government-issued or organization-issued photo identification to authenticate individuals before they can gain access to the facility.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</si>
  <si>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 list of acceptable forms of identification for visitor access to the facility where the system resides is defined;
b. Ensuring two forms of identification are required from list of acceptable forms of identification for visitor access to the facility where the system resides;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</si>
  <si>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fire suppression system (FM-200, Novec 1230); VESDA early smoke detection; Integration with building management system.
In-scope requirement alignment: NERC CIP: CIP-006-6 2.2.
Validation: Annual conformity validation; evidence artifacts to be defined; PPTDF applicability: Facility.</t>
  </si>
  <si>
    <t xml:space="preserve">PE-02(02)</t>
  </si>
  <si>
    <t xml:space="preserve">CIP-006-6 2.2</t>
  </si>
  <si>
    <t xml:space="preserve">∙ Enterprise fire suppression system (FM-200, Novec 1230)
∙ VESDA early smoke detection
∙ Integration with building management system</t>
  </si>
  <si>
    <t xml:space="preserve">PES-06.3</t>
  </si>
  <si>
    <t xml:space="preserve">Restrict Unescorted Access</t>
  </si>
  <si>
    <t xml:space="preserve">Physical access control mechanisms exist to restrict unescorted access to facilities to personnel with required security clearances, formal access authorizations and validate the need for access.</t>
  </si>
  <si>
    <t xml:space="preserve">Does the organization restrict unescorted access to facilities to personnel with required security clearances, formal access authorizations and validate the need for access?</t>
  </si>
  <si>
    <t xml:space="preserve">The organization implements and operates physical access control mechanisms to restrict unescorted access to facilities to personnel with required security clearances, formal access authorizations and validate the need for access.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</si>
  <si>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visitor activity is controlled;
b. Ensuring unescorted access to the facility where the system resides is restricted;
c. Ensuring visitor activity is monitored;
d. Ensuring visitors are escorted;
e. Ensuring physical access authorizations for unescorted access to the facility where the system resides are defined;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</si>
  <si>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emergency power off (EPO) system; EPO training and drills; Integration with facility management.
In-scope requirement alignment: NERC CIP: CIP-004-7 4.1.2, CIP-006-6 1.2, CIP-006-6 1.3, CIP-006-6 2.1.
Validation: Annual conformity validation; evidence artifacts to be defined; PPTDF applicability: People.</t>
  </si>
  <si>
    <t xml:space="preserve">PE-02(03)</t>
  </si>
  <si>
    <t xml:space="preserve">CIP-004-7 4.1.2, CIP-006-6 1.2, CIP-006-6 1.3, CIP-006-6 2.1</t>
  </si>
  <si>
    <t xml:space="preserve">∙ Enterprise emergency power off (EPO) system
∙ EPO training and drills
∙ Integration with facility management</t>
  </si>
  <si>
    <t xml:space="preserve">PES-06.5</t>
  </si>
  <si>
    <t xml:space="preserve">Minimize Visitor Personal Data (PD)</t>
  </si>
  <si>
    <t xml:space="preserve">Mechanisms exist to minimize the collection of Personal Data (PD) contained in visitor access records.</t>
  </si>
  <si>
    <t xml:space="preserve">Does the organization minimize the collection of Personal Data (PD) contained in visitor access records?</t>
  </si>
  <si>
    <t xml:space="preserve">The organization implements and operates mechanisms to minimize the collection of Personal Data (PD) contained in visitor access records.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</si>
  <si>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elements identified in the privacy risk assessment to limit Personal Data (PD) contained in visitor access logs are defined;
b. Ensuring Personal Data (PD) contained in visitor access records is limited to elements identified in the privacy risk assessment;
c. Ensuring processes that implement the privacy principle of minimization are defined;
d. Ensuring the privacy principle of minimization is implemented using organization-defined processes;
e. Enforcing and logging physical access to control centers, substations, communications sites, meter shops and head-end facilities, and reviewing access rights at least annually; and
f.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</si>
  <si>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emergency response program for IT facilities; Regular drills; Integration with corporate emergency management.
In-scope requirement alignment: NIST SP 800-82 R3 (Moderate OT overlay): PM-25 | NIST SP 800-53B Privacy: PE-08(03), PM-25, SA-08(33).
Validation: Annual conformity validation; evidence artifacts to be defined; PPTDF applicability: Data.</t>
  </si>
  <si>
    <t xml:space="preserve">PE-08(03), PM-25, SA-08(33)</t>
  </si>
  <si>
    <t xml:space="preserve">SG.PE Physical and Environmental Security; SG.PM Security Program Management; SG.SA Smart Grid Information System and Services Acquisition</t>
  </si>
  <si>
    <t xml:space="preserve">∙ Enterprise emergency response program for IT facilities
∙ Regular drills
∙ Integration with corporate emergency management</t>
  </si>
  <si>
    <t xml:space="preserve">PES-07</t>
  </si>
  <si>
    <t xml:space="preserve">Supporting Utilities</t>
  </si>
  <si>
    <t xml:space="preserve">Facility security mechanisms exist to protect power equipment and power cabling for the system from damage and destruction.</t>
  </si>
  <si>
    <t xml:space="preserve">Does the organization protect power equipment and power cabling for the system from damage and destruction?</t>
  </si>
  <si>
    <t xml:space="preserve">E-PES-01</t>
  </si>
  <si>
    <t xml:space="preserve">The organization shall provide supporting utilities, fire protection and environmental controls for facilities housing OT and AMI assets so that preventable hardware failures and service interruptions are avoided.</t>
  </si>
  <si>
    <t xml:space="preserve">The organization implements and operates facility security mechanisms to protect power equipment and power cabling for the system from damage and destruction.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</si>
  <si>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power equipment for the system is protected from damage and destruction;
b. Ensuring power cabling for the system is protected from damage and destruction;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</si>
  <si>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delivery security program; X-ray/screening for deliveries; Access controls at loading dock; CCTV monitoring.
In-scope requirement alignment: NIST SP 800-82 R3 (Moderate OT overlay): PE-09 | NIST CSF 2.0: PR.IR-02 | NIST SP 800-53B Moderate: PE-09.
Validation: Annual conformity validation; evidence artifacts E-PES-01; PPTDF applicability: Facility.</t>
  </si>
  <si>
    <t xml:space="preserve">PE-09</t>
  </si>
  <si>
    <t xml:space="preserve">PR.IR-02</t>
  </si>
  <si>
    <t xml:space="preserve">7.11, 7.12</t>
  </si>
  <si>
    <t xml:space="preserve">∙ Enterprise delivery security program
∙ X-ray/screening for deliveries
∙ Access controls at loading dock
∙ CCTV monitoring</t>
  </si>
  <si>
    <t xml:space="preserve">PES-07.2</t>
  </si>
  <si>
    <t xml:space="preserve">Emergency Shutoff</t>
  </si>
  <si>
    <t xml:space="preserve">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</si>
  <si>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 xml:space="preserve">Does the organization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</si>
  <si>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 xml:space="preserve">The organization implements and operates facility security mechanisms to shut off power in emergency situations by: (1) Placing emergency shutoff switches or devices in close proximity to systems or system components to facilitate safe and easy access for personnel; and (2) Protecting emergency power shutoff capability from unauthorized activation.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</si>
  <si>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system or individual system components that require the capability to shut off power in emergency situations is/are defined;
b. Ensuring location of emergency shutoff switches or devices by system or system component is defined;
c. Ensuring the capability to shut off power to system or individual system components in emergency situations is provided;
d. Ensuring emergency shutoff switches or devices are placed in location to facilitate access for authorized personnel;
e. Ensuring the emergency power shutoff capability is protected from unauthorized activation;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</si>
  <si>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asset management with automated movement tracking (RFID/barcode); Integration with physical access system.
In-scope requirement alignment: NIST SP 800-82 R3 (Moderate OT overlay): PE-10 | NIST SP 800-53B Moderate: PE-10.
Validation: Annual conformity validation; evidence artifacts to be defined; PPTDF applicability: Facility.</t>
  </si>
  <si>
    <t xml:space="preserve">PE-10</t>
  </si>
  <si>
    <t xml:space="preserve">7.11</t>
  </si>
  <si>
    <t xml:space="preserve">∙ Enterprise asset management with automated movement tracking (RFID/barcode)
∙ Integration with physical access system</t>
  </si>
  <si>
    <t xml:space="preserve">PES-07.3</t>
  </si>
  <si>
    <t xml:space="preserve">Emergency Power</t>
  </si>
  <si>
    <t xml:space="preserve">Facility security mechanisms exist to supply alternate power, capable of maintaining minimally-required operational capability, in the event of an extended loss of the primary power source.</t>
  </si>
  <si>
    <t xml:space="preserve">Does the organization supply alternate power, capable of maintaining minimally-required operational capability, in the event of an extended loss of the primary power source?</t>
  </si>
  <si>
    <t xml:space="preserve">IEC 62443-3-3:2013; NIST SP 800-82 R3 - Moderate OT Overlay; NIST SP 800-53B R5 - Moderate baseline</t>
  </si>
  <si>
    <t xml:space="preserve">The organization implements and operates facility security mechanisms to supply alternate power, capable of maintaining minimally-required operational capability, in the event of an extended loss of the primary power source.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</si>
  <si>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an uninterruptible power supply is provided to facilitate selected organization-defined values in the event of a primary power source loss;
b. Ensuring an alternate power supply provided for the system is activated upon organization-defined criteria;
c. Ensuring the alternate power supply provided for the system can maintain minimally required operational capability in the event of an extended loss of the primary power source;
d. Enforcing and logging physical access to control centers, substations, communications sites, meter shops and head-end facilities, and reviewing access rights at least annually; and
e.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</si>
  <si>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asset management platform with automated physical inventory (RFID, barcode); Scheduled audit program.
In-scope requirement alignment: IEC 62443-3-3: SR 7.5 | NIST SP 800-82 R3 (Moderate OT overlay): PE-11 | NIST SP 800-53B Moderate: PE-11.
Validation: Annual conformity validation; evidence artifacts to be defined; PPTDF applicability: Facility.</t>
  </si>
  <si>
    <t xml:space="preserve">SR 7.5</t>
  </si>
  <si>
    <t xml:space="preserve">PE-11, PE-11(01), PE-11(02)</t>
  </si>
  <si>
    <t xml:space="preserve">PE-11</t>
  </si>
  <si>
    <t xml:space="preserve">∙ Enterprise asset management platform with automated physical inventory (RFID, barcode)
∙ Scheduled audit program</t>
  </si>
  <si>
    <t xml:space="preserve">PES-07.4</t>
  </si>
  <si>
    <t xml:space="preserve">Emergency Lighting</t>
  </si>
  <si>
    <t xml:space="preserve">Facility security mechanisms exist to utilize and maintain automatic emergency lighting that activates in the event of a power outage or disruption and that covers emergency exits and evacuation routes within the facility.</t>
  </si>
  <si>
    <t xml:space="preserve">Does the organization utilize and maintain automatic emergency lighting that activates in the event of a power outage or disruption and that covers emergency exits and evacuation routes within the facility?</t>
  </si>
  <si>
    <t xml:space="preserve">The organization implements and operates facility security mechanisms to utilize and maintain automatic emergency lighting that activates in the event of a power outage or disruption and that covers emergency exits and evacuation routes within the facility.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</si>
  <si>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automatic emergency lighting that activates in the event of a power outage or disruption is employed for the system;
b. Ensuring automatic emergency lighting that activates in the event of a power outage or disruption is maintained for the system;
c. Ensuring automatic emergency lighting for the system covers emergency exits within the facility;
d. Ensuring automatic emergency lighting for the system covers evacuation routes within the facility;
e. Enforcing and logging physical access to control centers, substations, communications sites, meter shops and head-end facilities, and reviewing access rights at least annually; and
f.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</si>
  <si>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secure equipment storage and management program; Access-controlled vaults; Environmental monitoring.
In-scope requirement alignment: NIST SP 800-82 R3 (Moderate OT overlay): PE-12.
Validation: Annual conformity validation; evidence artifacts to be defined; PPTDF applicability: Facility.</t>
  </si>
  <si>
    <t xml:space="preserve">PE-12</t>
  </si>
  <si>
    <t xml:space="preserve">∙ Enterprise secure equipment storage and management program
∙ Access-controlled vaults
∙ Environmental monitoring</t>
  </si>
  <si>
    <t xml:space="preserve">PES-07.5</t>
  </si>
  <si>
    <t xml:space="preserve">Water Damage Protection</t>
  </si>
  <si>
    <t xml:space="preserve">Facility security mechanisms exist to protect systems from damage resulting from water leakage by providing master shutoff valves that are accessible, working properly and known to key personnel.</t>
  </si>
  <si>
    <t xml:space="preserve">Does the organization protect systems from damage resulting from water leakage by providing master shutoff valves that are accessible, working properly and known to key personnel?</t>
  </si>
  <si>
    <t xml:space="preserve">The organization implements and operates facility security mechanisms to protect systems from damage resulting from water leakage by providing master shutoff valves that are accessible, working properly and known to key personnel.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</si>
  <si>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the system is protected from damage resulting from water leakage by providing master shutoff or isolation valves;
b. Ensuring the master shutoff or isolation valves are accessible;
c. Ensuring the master shutoff or isolation valves are working properly;
d. Ensuring the master shutoff or isolation valves are known to key personnel;
e. Enforcing and logging physical access to control centers, substations, communications sites, meter shops and head-end facilities, and reviewing access rights at least annually; and
f.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</si>
  <si>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Water leak sensors; Humidity sensors.
In-scope requirement alignment: NIST SP 800-82 R3 (Moderate OT overlay): PE-15 | NIST CSF 2.0: PR.IR-02.
Validation: Annual conformity validation; evidence artifacts E-PES-01; PPTDF applicability: Facility.</t>
  </si>
  <si>
    <t xml:space="preserve">PE-15</t>
  </si>
  <si>
    <t xml:space="preserve">∙ Water leak sensors
∙ Humidity sensors</t>
  </si>
  <si>
    <t xml:space="preserve">PES-08</t>
  </si>
  <si>
    <t xml:space="preserve">Fire Protection</t>
  </si>
  <si>
    <t xml:space="preserve">Facility security mechanisms exist to utilize and maintain fire suppression and detection devices/systems for the system that are supported by an independent energy source.</t>
  </si>
  <si>
    <t xml:space="preserve">Does the organization utilize and maintain fire suppression and detection devices/systems for the system that are supported by an independent energy source?</t>
  </si>
  <si>
    <t xml:space="preserve">The organization implements and operates facility security mechanisms to utilize and maintain fire suppression and detection devices/systems for the system that are supported by an independent energy source.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</si>
  <si>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fire detection systems are employed;
b. Ensuring employed fire detection systems are supported by an independent energy source;
c. Ensuring employed fire detection systems are maintained;
d. Ensuring fire suppression systems are employed;
e. Ensuring employed fire suppression systems are supported by an independent energy source;
f. Ensuring employed fire suppression systems are maintained;
g. Enforcing and logging physical access to control centers, substations, communications sites, meter shops and head-end facilities, and reviewing access rights at least annually; and
h.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</si>
  <si>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cabling security and management program (e.g., structured cabling standards); Automated cable plant documentation.
In-scope requirement alignment: NIST SP 800-82 R3 (Moderate OT overlay): PE-13 | NIST CSF 2.0: PR.IR-02.
Validation: Annual conformity validation; evidence artifacts E-PES-01; PPTDF applicability: Facility.</t>
  </si>
  <si>
    <t xml:space="preserve">PE-13</t>
  </si>
  <si>
    <t xml:space="preserve">∙ Enterprise cabling security and management program (e.g., structured cabling standards)
∙ Automated cable plant documentation</t>
  </si>
  <si>
    <t xml:space="preserve">PES-08.1</t>
  </si>
  <si>
    <t xml:space="preserve">Fire Detection Devices</t>
  </si>
  <si>
    <t xml:space="preserve">Facility security mechanisms exist to utilize and maintain fire detection devices/systems that activate automatically and notify organizational personnel and emergency responders in the event of a fire.</t>
  </si>
  <si>
    <t xml:space="preserve">Does the organization utilize and maintain fire detection devices/systems that activate automatically and notify organizational personnel and emergency responders in the event of a fire?</t>
  </si>
  <si>
    <t xml:space="preserve">The organization implements and operates facility security mechanisms to utilize and maintain fire detection devices/systems that activate automatically and notify organizational personnel and emergency responders in the event of a fire.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</si>
  <si>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personnel or roles to be notified in the event of a fire is/are defined;
b. Ensuring emergency responders to be notified in the event of a fire are defined;
c. Ensuring fire detection systems that activate automatically are employed in the event of a fire;
d. Ensuring fire detection systems that notify organization-defined personnel or roles automatically are employed in the event of a fire;
e. Ensuring fire detection systems that notify organization-defined emergency responders automatically are employed in the event of a fire;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</si>
  <si>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cable management platform (e.g., Netbox, IT Portal); Automated cable plant documentation; DCIM integration.
In-scope requirement alignment: NIST SP 800-82 R3 (Moderate OT overlay): PE-13(01) | NIST SP 800-53B Moderate: PE-13(01).
Validation: Semi-Annual conformity validation; evidence artifacts to be defined; PPTDF applicability: Facility.</t>
  </si>
  <si>
    <t xml:space="preserve">PE-13(01)</t>
  </si>
  <si>
    <t xml:space="preserve">∙ Enterprise cable management platform (e.g., Netbox, IT Portal)
∙ Automated cable plant documentation
∙ DCIM integration</t>
  </si>
  <si>
    <t xml:space="preserve">PES-08.2</t>
  </si>
  <si>
    <t xml:space="preserve">Fire Suppression Devices</t>
  </si>
  <si>
    <t xml:space="preserve">Facility security mechanisms exist to utilize fire suppression devices/systems that provide automatic notification of any activation to organizational personnel and emergency responders.</t>
  </si>
  <si>
    <t xml:space="preserve">Does the organization utilize fire suppression devices/systems that provide automatic notification of any activation to organizational personnel and emergency responders?</t>
  </si>
  <si>
    <t xml:space="preserve">The organization implements and operates facility security mechanisms to utilize fire suppression devices/systems that provide automatic notification of any activation to organizational personnel and emergency responders.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</si>
  <si>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fire suppression systems that notify organization-defined personnel or roles automatically are employed;
b. Ensuring fire suppression systems that notify organization-defined emergency responders automatically are employed;
c. Ensuring personnel or roles to be notified in the event of a fire is/are defined;
d. Ensuring emergency responders to be notified in the event of a fire are defined;
e. Ensuring fire suppression systems that activate automatically are employed;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</si>
  <si>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cabling protection and management program; Armored conduits; Regular physical cable audits.
In-scope requirement alignment: NIST SP 800-53B Privacy: PE-13(02).
Validation: Semi-Annual conformity validation; evidence artifacts to be defined; PPTDF applicability: Facility.</t>
  </si>
  <si>
    <t xml:space="preserve">PE-13(02)</t>
  </si>
  <si>
    <t xml:space="preserve">∙ Enterprise cabling protection and management program
∙ Armored conduits
∙ Regular physical cable audits</t>
  </si>
  <si>
    <t xml:space="preserve">PES-08.3</t>
  </si>
  <si>
    <t xml:space="preserve">Automatic Fire Suppression</t>
  </si>
  <si>
    <t xml:space="preserve">Facility security mechanisms exist to employ an automatic fire suppression capability for critical systems when the facility is not staffed on a continuous basis.</t>
  </si>
  <si>
    <t xml:space="preserve">Does the organization employ an automatic fire suppression capability for critical systems when the facility is not staffed on a continuous basis?</t>
  </si>
  <si>
    <t xml:space="preserve">The organization implements and operates facility security mechanisms to employ an automatic fire suppression capability for critical systems when the facility is not staffed on a continuous basis.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</si>
  <si>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an automatic fire suppression capability is employed when the facility is not staffed on a continuous basis;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</si>
  <si>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cabling infrastructure program with full power/data separation; DCIM documentation.
In-scope requirement alignment: NIST SP 800-53B Privacy: PE-13(02).
Validation: Annual conformity validation; evidence artifacts to be defined; PPTDF applicability: Facility.</t>
  </si>
  <si>
    <t xml:space="preserve">∙ Enterprise cabling infrastructure program with full power/data separation
∙ DCIM documentation</t>
  </si>
  <si>
    <t xml:space="preserve">PES-09</t>
  </si>
  <si>
    <t xml:space="preserve">Temperature &amp; Humidity Controls</t>
  </si>
  <si>
    <t xml:space="preserve">Facility security mechanisms exist to maintain and monitor temperature and humidity levels within the facility.</t>
  </si>
  <si>
    <t xml:space="preserve">Does the organization maintain and monitor temperature and humidity levels within the facility?</t>
  </si>
  <si>
    <t xml:space="preserve">The organization implements and operates facility security mechanisms to maintain and monitor temperature and humidity levels within the facility.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</si>
  <si>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environmental control(s) for which to maintain a specified level in the facility where the system resides are defined;
b. Ensuring acceptable levels for environmental controls are defined;
c. Ensuring frequency at which to monitor environmental control levels is defined;
d. Ensuring levels are maintained at acceptable levels within the facility where the system resides;
e. Ensuring environmental control levels are monitored frequency;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</si>
  <si>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utility management platform; Redundant utility feeds; Automated utility monitoring; Emergency utility procedures.
In-scope requirement alignment: NIST SP 800-82 R3 (Moderate OT overlay): PE-14 | NIST CSF 2.0: PR.IR-02.
Validation: Annual conformity validation; evidence artifacts E-PES-01; PPTDF applicability: Facility.</t>
  </si>
  <si>
    <t xml:space="preserve">PE-14</t>
  </si>
  <si>
    <t xml:space="preserve">∙ Enterprise utility management platform
∙ Redundant utility feeds
∙ Automated utility monitoring
∙ Emergency utility procedures</t>
  </si>
  <si>
    <t xml:space="preserve">PES-10</t>
  </si>
  <si>
    <t xml:space="preserve">Delivery &amp; Removal</t>
  </si>
  <si>
    <t xml:space="preserve">Physical security mechanisms exist to isolate information processing facilities from points such as delivery and loading areas and other points to avoid unauthorized access.</t>
  </si>
  <si>
    <t xml:space="preserve">Does the organization isolate information processing facilities from points such as delivery and loading areas and other points to avoid unauthorized access?</t>
  </si>
  <si>
    <t xml:space="preserve">The organization implements and operates physical security mechanisms to isolate information processing facilities from points such as delivery and loading areas and other points to avoid unauthorized access.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</si>
  <si>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types of system components to be authorized and controlled when entering the facility are defined;
b. Ensuring types of system components to be authorized and controlled when exiting the facility are defined;
c. Ensuring types of system components are authorized and controlled when entering the facility;
d. Ensuring types of system components are authorized and controlled when exiting the facility;
e. Ensuring records of the system components are maintained;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</si>
  <si>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information handling program; Contracted shredding service (e.g., Iron Mountain); Regular compliance audits; Secure printer management.
In-scope requirement alignment: NIST SP 800-82 R3 (Moderate OT overlay): PE-16 | NIST SP 800-161 R1 C-SCRM: PE-16.
Validation: Annual conformity validation; evidence artifacts to be defined; PPTDF applicability: Facility.</t>
  </si>
  <si>
    <t xml:space="preserve">PE-16</t>
  </si>
  <si>
    <t xml:space="preserve">∙ Enterprise information handling program
∙ Contracted shredding service (e.g., Iron Mountain)
∙ Regular compliance audits
∙ Secure printer management</t>
  </si>
  <si>
    <t xml:space="preserve">PES-11</t>
  </si>
  <si>
    <t xml:space="preserve">Alternate Work Site</t>
  </si>
  <si>
    <t xml:space="preserve">Physical security mechanisms exist to utilize appropriate management, operational and technical controls at alternate work sites.</t>
  </si>
  <si>
    <t xml:space="preserve">Does the organization utilize appropriate management, operational and technical controls at alternate work sites?</t>
  </si>
  <si>
    <t xml:space="preserve">The organization implements and operates physical security mechanisms to utilize appropriate management, operational and technical controls at alternate work sites.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</si>
  <si>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alternate work sites allowed for use by employees are defined;
b. Ensuring security requirements to be employed at alternate work sites are defined;
c. Ensuring alternate work sites allowed for use by employees are determined;
d. Ensuring organization-defined security requirements are employed at alternate work sites;
e. Ensuring safeguarding measures for sensitive / regulated data are defined for alternate work sites;
f. Ensuring safeguarding measures for sensitive / regulated data are enforced for alternate work sites;
g. Ensuring the effectiveness of controls at alternate work sites is assessed;
h. Ensuring a means for employees to communicate with cybersecurity / data privacy personnel in case of incidents is provided;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</si>
  <si>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Formally-designated alternate work sites.
In-scope requirement alignment: NIST SP 800-82 R3 (Moderate OT overlay): PE-17 | NIST SP 800-53B Moderate: PE-17.
Validation: Annual conformity validation; evidence artifacts to be defined; PPTDF applicability: Facility.</t>
  </si>
  <si>
    <t xml:space="preserve">PE-17</t>
  </si>
  <si>
    <t xml:space="preserve">∙ Formally-designated alternate work sites</t>
  </si>
  <si>
    <t xml:space="preserve">PES-12</t>
  </si>
  <si>
    <t xml:space="preserve">Equipment Siting &amp; Protection</t>
  </si>
  <si>
    <t xml:space="preserve">Physical security mechanisms exist to locate system components within the facility to minimize potential damage from physical and environmental hazards and to minimize the opportunity for unauthorized access.</t>
  </si>
  <si>
    <t xml:space="preserve">Does the organization locate system components within the facility to minimize potential damage from physical and environmental hazards and to minimize the opportunity for unauthorized access?</t>
  </si>
  <si>
    <t xml:space="preserve">NERC CIP; CSA IoT Security Controls Framework v2; NIST SP 800-53B R5 - Privacy baseline</t>
  </si>
  <si>
    <t xml:space="preserve">The organization implements and operates physical security mechanisms to locate system components within the facility to minimize potential damage from physical and environmental hazards and to minimize the opportunity for unauthorized access.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</si>
  <si>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the location or site of the facility where the system resides is planned considering physical and environmental hazards;
b. Ensuring for existing facilities, physical and environmental hazards are considered in the organizational risk management strategy;
c. Ensuring physical and environmental hazards that could result in potential damage to system components within the facility are defined;
d. Ensuring system components are positioned within the facility to minimize potential damage from physical and environmental hazards and to minimize the opportunity for unauthorized access;
e. Ensuring managed interfaces to be protected against unauthorized physical connections are defined;
f. Ensuring managed interfaces are protected against unauthorized physical connections;
g. Enforcing and logging physical access to control centers, substations, communications sites, meter shops and head-end facilities, and reviewing access rights at least annually; and
h.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</si>
  <si>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security design program; Security zones with appropriate controls; Physical security reviews during facility design.
In-scope requirement alignment: NERC CIP: CIP-006-6 1.10 | CSA IoT SCF: PHY-01 | NIST SP 800-53B Privacy: PE-23, SC-07(14).
Validation: Annual conformity validation; evidence artifacts to be defined; PPTDF applicability: Facility.</t>
  </si>
  <si>
    <t xml:space="preserve">PE-18, PE-23, SC-07(14)</t>
  </si>
  <si>
    <t xml:space="preserve">PE-23, SC-07(14)</t>
  </si>
  <si>
    <t xml:space="preserve">7.3, 7.5, 7.8, 7.12</t>
  </si>
  <si>
    <t xml:space="preserve">∙ Enterprise physical security design program
∙ Security zones with appropriate controls
∙ Physical security reviews during facility design</t>
  </si>
  <si>
    <t xml:space="preserve">PES-12.1</t>
  </si>
  <si>
    <t xml:space="preserve">Transmission Medium Security</t>
  </si>
  <si>
    <t xml:space="preserve">Physical security mechanisms exist to protect power and telecommunications cabling carrying data or supporting information services from interception, interference or damage.</t>
  </si>
  <si>
    <t xml:space="preserve">Does the organization protect power and telecommunications cabling carrying data or supporting information services from interception, interference or damage?</t>
  </si>
  <si>
    <t xml:space="preserve">NIST SP 800-82 R3 - Moderate OT Overlay; NERC CIP; NIST SP 800-53B R5 - Moderate baseline; NIST SP 800-53B R5 - Privacy baseline</t>
  </si>
  <si>
    <t xml:space="preserve">The organization implements and operates physical security mechanisms to protect power and telecommunications cabling carrying data or supporting information services from interception, interference or damage.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</si>
  <si>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system distribution and transmission lines requiring physical access controls are defined;
b. Ensuring security controls to be implemented to control physical access to system distribution and transmission lines within the organizational facility are defined;
c. Ensuring physical access to system distribution and transmission lines within organizational facilities is controlled;
d. Ensuring managed interfaces to be protected against unauthorized physical connections are defined;
e. Ensuring managed interfaces are protected against unauthorized physical connections;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</si>
  <si>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endpoint management with enforced screen lock (e.g., Microsoft Intune, JAMF); Compliance reporting.
In-scope requirement alignment: NIST SP 800-82 R3 (Moderate OT overlay): PE-04 | NERC CIP: CIP-006-6 1.10 | NIST SP 800-53B Moderate: PE-04 | NIST SP 800-53B Privacy: SC-07(14).
Validation: Annual conformity validation; evidence artifacts to be defined; PPTDF applicability: Facility.</t>
  </si>
  <si>
    <t xml:space="preserve">PE-04, SC-07(14)</t>
  </si>
  <si>
    <t xml:space="preserve">PE-04</t>
  </si>
  <si>
    <t xml:space="preserve">7.12</t>
  </si>
  <si>
    <t xml:space="preserve">∙ Enterprise endpoint management with enforced screen lock (e.g., Microsoft Intune, JAMF)
∙ Compliance reporting</t>
  </si>
  <si>
    <t xml:space="preserve">PES-12.2</t>
  </si>
  <si>
    <t xml:space="preserve">Access Control for Output Devices</t>
  </si>
  <si>
    <t xml:space="preserve">Physical security mechanisms exist to restrict access to printers and other system output devices to prevent unauthorized individuals from obtaining the output.</t>
  </si>
  <si>
    <t xml:space="preserve">Does the organization restrict access to printers and other system output devices to prevent unauthorized individuals from obtaining the output?</t>
  </si>
  <si>
    <t xml:space="preserve">The organization implements and operates physical security mechanisms to restrict access to printers and other system output devices to prevent unauthorized individuals from obtaining the output.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</si>
  <si>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output devices that require physical access control to output are defined;
b. Ensuring physical access to output devices is controlled to prevent unauthorized individuals from obtaining access to sensitive / regulated data;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</si>
  <si>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Printer management (print only when at the printer with proximity card or code).
In-scope requirement alignment: NIST SP 800-82 R3 (Moderate OT overlay): PE-05 | NIST SP 800-53B Moderate: PE-05.
Validation: Annual conformity validation; evidence artifacts to be defined; PPTDF applicability: Facility.</t>
  </si>
  <si>
    <t xml:space="preserve">PE-05</t>
  </si>
  <si>
    <t xml:space="preserve">∙ Printer management (print only when at the printer with proximity card or code)</t>
  </si>
  <si>
    <t xml:space="preserve">PES-16</t>
  </si>
  <si>
    <t xml:space="preserve">Component Marking</t>
  </si>
  <si>
    <t xml:space="preserve">Physical security mechanisms exist to mark system hardware components indicating the impact or classification level of the information permitted to be processed, stored or transmitted by the hardware component.</t>
  </si>
  <si>
    <t xml:space="preserve">Does the organization mark system hardware components indicating the impact or classification level of the information permitted to be processed, stored or transmitted by the hardware component?</t>
  </si>
  <si>
    <t xml:space="preserve">The organization implements and operates physical security mechanisms to mark system hardware components indicating the impact or classification level of the information permitted to be processed, stored or transmitted by the hardware component.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</si>
  <si>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system hardware components to be marked indicating the impact level or classification level of the information permitted to be processed, stored or transmitted by the hardware component are defined;
b. Ensuring system hardware components are marked indicating the impact level or classification level of the information permitted to be processed, stored or transmitted by the hardware component;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</si>
  <si>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security resilience program; Backup physical security systems; Emergency response integration; Regular drills.
In-scope requirement alignment: NIST SP 800-82 R3 (Moderate OT overlay): PE-22 | NIST SP 800-53B Privacy: PE-22.
Validation: Annual conformity validation; evidence artifacts to be defined; PPTDF applicability: Facility.</t>
  </si>
  <si>
    <t xml:space="preserve">PE-22</t>
  </si>
  <si>
    <t xml:space="preserve">∙ Enterprise physical security resilience program
∙ Backup physical security systems
∙ Emergency response integration
∙ Regular drills</t>
  </si>
  <si>
    <t xml:space="preserve">PRI-01</t>
  </si>
  <si>
    <t xml:space="preserve">Data Privacy Program</t>
  </si>
  <si>
    <t xml:space="preserve">Data Privacy</t>
  </si>
  <si>
    <t xml:space="preserve">PRI</t>
  </si>
  <si>
    <t xml:space="preserve">Mechanisms exist to facilitate the implementation and operation of data protection controls throughout the data lifecycle to ensure all forms of Personal Data (PD) are processed lawfully, fairly and transparently.</t>
  </si>
  <si>
    <t xml:space="preserve">Does the organization facilitate the implementation and operation of data protection controls throughout the data lifecycle to ensure all forms of Personal Data (PD) are processed lawfully, fairly and transparently?</t>
  </si>
  <si>
    <t xml:space="preserve">E-GOV-02, E-GOV-08</t>
  </si>
  <si>
    <t xml:space="preserve">NIST SP 800-82 R3 - Moderate OT Overlay; NIST Cybersecurity Framework 2.0; CSA IoT Security Controls Framework v2; NIST Privacy Framework 1.0; NIST SP 800-53B R5 - Privacy baseline</t>
  </si>
  <si>
    <t xml:space="preserve">OT Core; Privacy (Customer Energy Usage Data)</t>
  </si>
  <si>
    <t xml:space="preserve">Chief Privacy Officer / Privacy Counsel</t>
  </si>
  <si>
    <t xml:space="preserve">Customer Data Steward (Customer Energy Usage Data)</t>
  </si>
  <si>
    <t xml:space="preserve">MDM provider; billing / customer information system provider; third-party data recipients</t>
  </si>
  <si>
    <t xml:space="preserve">The organization shall implement a risk-based and legally defensible data privacy program that governs the collection, use, retention, sharing and protection of personal data and Customer Energy Usage Data (CEUD) generated by Advanced Metering Infrastructure. Privacy practices shall honor customer transparency, choice and access rights, limit CEUD processing to authorized purposes, and satisfy applicable utility commission, state and federal privacy requirements.</t>
  </si>
  <si>
    <t xml:space="preserve">The organization implements and operates mechanisms to facilitate the implementation and operation of data protection controls throughout the data lifecycle to ensure all forms of Personal Data (PD) are processed lawfully, fairly and transparently.
Within the OT and AMI environment, this objective governs Customer Energy Usage Data and personal data collected through AMI meters and processed by head-end, meter data management, billing, analytics and third-party systems.</t>
  </si>
  <si>
    <t xml:space="preserve">The Chief Information Security Officer (CISO), in coordination with the OT Security Lead, is responsible for:
a. Ensuring an organization-wide privacy program plan that provides an overview of the agency’s privacy program is developed;
b. Ensuring data privacy operations are conducted according to documented policies, standards, procedures and/or other organizational directives;
c. Ensuring adequate resources (e.g., people, processes, technologies, data and/or facilities) are provided to support data privacy operations;
d. Ensuring responsibility and authority for the performance of data privacy-related activities are assigned to designated personnel;
e. Ensuring personnel performing data privacy-related activities have the skills and knowledge needed to perform their assigned duties;
f. Ensuring the privacy program plan includes a description of the structure of the privacy program;
g. Ensuring the privacy program plan includes a description of the resources dedicated to the privacy program;
h. Ensuring the privacy program plan provides an overview of the requirements for the privacy program; and
i. Including Customer Energy Usage Data and associated personal data collected through AMI within the scope of the data privacy program and documenting the applicable utility commission, state and federal privacy requirements.</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</si>
  <si>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privacy program.
In-scope requirement alignment: NIST SP 800-82 R3 (Moderate OT overlay): PM-18 | NIST CSF 2.0: GV.OC-03 | CSA IoT SCF: LGL-04 | NIST Privacy Framework: GV.PO-P1, GV.PO-P5, GV.PO-P6, GV.MT-P, CT-P, CT.PO-P2, CT.DM-P, CT.DP-P, CM.PO-P1, CM.AW-P, PR.PO-P9 | NIST SP 800-53B Privacy: PM-18, PT-01.
Validation: Annual conformity validation; evidence artifacts E-GOV-02, E-GOV-08; PPTDF applicability: Process.</t>
  </si>
  <si>
    <t xml:space="preserve">PM-18, PT-01</t>
  </si>
  <si>
    <t xml:space="preserve">PM-18</t>
  </si>
  <si>
    <t xml:space="preserve">LGL-04</t>
  </si>
  <si>
    <t xml:space="preserve">GV.PO-P1, GV.PO-P5, GV.PO-P6, GV.MT-P, CT-P, CT.PO-P2, CT.DM-P, CT.DP-P, CM.PO-P1, CM.AW-P, PR.PO-P9</t>
  </si>
  <si>
    <t xml:space="preserve">SG.PM Security Program Management; SG.ID Information and Document Management (PII transparency)</t>
  </si>
  <si>
    <t xml:space="preserve">5.1, 5.34</t>
  </si>
  <si>
    <t xml:space="preserve">∙ Data privacy program</t>
  </si>
  <si>
    <t xml:space="preserve">PRI-01.1</t>
  </si>
  <si>
    <t xml:space="preserve">Chief Privacy Officer (CPO)</t>
  </si>
  <si>
    <t xml:space="preserve">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</si>
  <si>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 xml:space="preserve">Does the organization appoints a Chief Privacy Officer (CPO) or similar role, with the authority, mission, accountability and resources to coordinate, develop and implement, applicable data privacy requirements and manage data privacy risks through the organization-wide data privacy program?</t>
  </si>
  <si>
    <t xml:space="preserve">E-HRS-08</t>
  </si>
  <si>
    <t xml:space="preserve">NIST SP 800-82 R3 - Moderate OT Overlay; NIST Privacy Framework 1.0; NIST SP 800-53B R5 - Privacy baseline</t>
  </si>
  <si>
    <t xml:space="preserve">The organization implements and operates mechanisms to appoints a Chief Privacy Officer (CPO) or similar role, with the authority, mission, accountability and resources to coordinate, develop and implement, applicable data privacy requirements and manage data privacy risks through the organization-wide data privacy program.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</si>
  <si>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senior organization official for privacy with authority, mission, accountability and resources is appointed;
b. Ensuring the senior organization official for privacy coordinates applicable privacy requirements;
c. Ensuring the senior organization official for privacy develops applicable privacy requirements;
d. Ensuring the senior organization official for privacy implements applicable privacy requirements;
e. Ensuring the senior organization official for privacy manages privacy risks through the organization-wide privacy program;
f. Identifying Customer Energy Usage Data and associated personal data as in-scope personal data and documenting its collection, processing, retention and sharing; and
g.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</si>
  <si>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Assigned Chief Privacy Officer (CPO) role.
In-scope requirement alignment: NIST SP 800-82 R3 (Moderate OT overlay): PM-19 | NIST Privacy Framework: GV.PO-P3 | NIST SP 800-53B Privacy: PM-19.
Validation: Annual conformity validation; evidence artifacts E-HRS-08; PPTDF applicability: People.</t>
  </si>
  <si>
    <t xml:space="preserve">PM-19</t>
  </si>
  <si>
    <t xml:space="preserve">GV.PO-P3</t>
  </si>
  <si>
    <t xml:space="preserve">∙ Assigned Chief Privacy Officer (CPO) role</t>
  </si>
  <si>
    <t xml:space="preserve">PRI-01.2</t>
  </si>
  <si>
    <t xml:space="preserve">Privacy Act Statements</t>
  </si>
  <si>
    <t xml:space="preserve">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</si>
  <si>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 xml:space="preserve">Does the organization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</si>
  <si>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 xml:space="preserve">The organization implements and operates mechanisms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</si>
  <si>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Privacy Act statements are included on forms that collect information that will be maintained in a Privacy Act system of records or Privacy Act statements are provided on separate forms that can be retained by individuals;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</si>
  <si>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privacy program.
In-scope requirement alignment: NIST Privacy Framework: CM.PO-P1 | NIST SP 800-53B Privacy: PT-05(02).
Validation: Annual conformity validation; evidence artifacts to be defined; PPTDF applicability: Process.</t>
  </si>
  <si>
    <t xml:space="preserve">PT-05(02)</t>
  </si>
  <si>
    <t xml:space="preserve">CM.PO-P1</t>
  </si>
  <si>
    <t xml:space="preserve">SG.ID Information and Document Management (PII transparency)</t>
  </si>
  <si>
    <t xml:space="preserve">PRI-01.3</t>
  </si>
  <si>
    <t xml:space="preserve">Dissemination of Data Privacy Program Information</t>
  </si>
  <si>
    <t xml:space="preserve">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</si>
  <si>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 xml:space="preserve">Does the organization: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</si>
  <si>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 xml:space="preserve">The organization ensures that 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</si>
  <si>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central resource webpage is maintained on the organization's principal public website;
b. Ensuring the webpage serves as a central source of information about the organization's privacy program;
c. Ensuring the webpage ensures that the public has access to information about organizational privacy activities;
d. Ensuring the webpage ensures that the public can communicate with its senior organization official for privacy;
e. Ensuring the webpage ensures that organizational privacy practices are publicly available;
f. Ensuring the webpage ensures that organizational privacy reports are publicly available;
g. Ensuring the webpage employs publicly facing email addresses and/or phone numbers to enable the public to provide feedback and/or direct questions to privacy offices regarding privacy practices;
h. Identifying Customer Energy Usage Data and associated personal data as in-scope personal data and documenting its collection, processing, retention and sharing; and
i.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</si>
  <si>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privacy program.
In-scope requirement alignment: NIST SP 800-82 R3 (Moderate OT overlay): PM-20 | NIST Privacy Framework: GV.PO-P1, CM.PO-P1, CM.AW-P1 | NIST SP 800-53B Privacy: PM-20.
Validation: Annual conformity validation; evidence artifacts to be defined; PPTDF applicability: Process.</t>
  </si>
  <si>
    <t xml:space="preserve">PM-20</t>
  </si>
  <si>
    <t xml:space="preserve">GV.PO-P1, CM.PO-P1, CM.AW-P1</t>
  </si>
  <si>
    <t xml:space="preserve">5.1</t>
  </si>
  <si>
    <t xml:space="preserve">PRI-01.4</t>
  </si>
  <si>
    <t xml:space="preserve">Data Protection Officer (DPO)</t>
  </si>
  <si>
    <t xml:space="preserve">Mechanisms exist to appoint a Data Protection Officer (DPO):
(1) Based on professional qualifications; and
(2) To be involved in all issues related to how Personal Data (PD) is collected, received, processed, stored, transmitted, shared, updated and/or disposed.</t>
  </si>
  <si>
    <t xml:space="preserve">Does the organization appoint a Data Protection Officer (DPO):
 (1) Based on professional qualifications; and
 (2) To be involved in all issues related to how Personal Data (PD) is collected, received, processed, stored, transmitted, shared, updated and/or disposed?</t>
  </si>
  <si>
    <t xml:space="preserve">E-HRS-10</t>
  </si>
  <si>
    <t xml:space="preserve">The organization implements and operates mechanisms to appoint a Data Protection Officer (DPO): (1) Based on professional qualifications; and (2) To be involved in all issues related to how Personal Data (PD) is collected, received, processed, stored, transmitted, shared, updated and/or disposed.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</si>
  <si>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Data Protection Officer (DPO) is appointed based on the basis of professional qualities;
b. Ensuring the role of the Data Protection Officer (DPO) is involved in all issues related to the protection of Personal Data (PD);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</si>
  <si>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privacy program; Assigned Data Protection Officer (DPO) role(s).
In-scope requirement alignment: NIST Privacy Framework: GV.PO-P3, CT.PO-P2, CM.PO-P2.
Validation: Annual conformity validation; evidence artifacts E-HRS-10; PPTDF applicability: People.</t>
  </si>
  <si>
    <t xml:space="preserve">GV.PO-P3, CT.PO-P2, CM.PO-P2</t>
  </si>
  <si>
    <t xml:space="preserve">∙ Data privacy program
∙ Assigned Data Protection Officer (DPO) role(s)</t>
  </si>
  <si>
    <t xml:space="preserve">PRI-01.8</t>
  </si>
  <si>
    <t xml:space="preserve">Data Fiduciary</t>
  </si>
  <si>
    <t xml:space="preserve">Mechanisms exist to appoint an individual to determine the following criteria about Personal Data (PD):
(1) The purpose why PD is necessary; 
(2) Authorized methods to collect, receive, process, store, transmit, share, update and/or dispose PD; and
(3) Authorized parties PD may be shared with.</t>
  </si>
  <si>
    <t xml:space="preserve">Does the organization appoint an individual to determine the following criteria about Personal Data (PD):
(1) The purpose why PD is necessary; 
(2) Authorized methods to collect, receive, process, store, transmit, share, update and/or dispose PD; and
(3) Authorized parties PD may be shared with?</t>
  </si>
  <si>
    <t xml:space="preserve">The organization implements and operates mechanisms to appoint an individual to determine the following criteria about Personal Data (PD): (1) The purpose why PD is necessary; (2) Authorized methods to collect, receive, process, store, transmit, share, update and/or dispose PD; and (3) Authorized parties PD may be shared with.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</si>
  <si>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an individual, or role, is appointed to determine along the purpose and means of processing of Personal Data (PD);
b. Ensuring the purpose and means of processing of Personal Data (PD) is documented;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</si>
  <si>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Enterprise data fiduciary framework; Legal compliance program; Data fiduciary accountability measures.
In-scope requirement alignment: NIST Privacy Framework: GV.PO-P3.
Validation: Annual conformity validation; evidence artifacts to be defined; PPTDF applicability: Process.</t>
  </si>
  <si>
    <t xml:space="preserve">∙ Enterprise data fiduciary framework
∙ Legal compliance program
∙ Data fiduciary accountability measures</t>
  </si>
  <si>
    <t xml:space="preserve">PRI-01.11</t>
  </si>
  <si>
    <t xml:space="preserve">Reasonable Data Privacy Practices</t>
  </si>
  <si>
    <t xml:space="preserve">Mechanisms exist to limit the collection, receiving, processing, storage, transmission, sharing, updating and/or disposal of Personal Data (PD) according to reasonable consumer expectations for what is necessary and proportionate.</t>
  </si>
  <si>
    <t xml:space="preserve">Does the organization limit the collection, receiving, processing, storage, transmission, sharing, updating and/or disposal of Personal Data (PD) according to reasonable consumer expectations for what is necessary and proportionate?</t>
  </si>
  <si>
    <t xml:space="preserve">The organization implements and operates mechanisms to limit the collection, receiving, processing, storage, transmission, sharing, updating and/or disposal of Personal Data (PD) according to reasonable consumer expectations for what is necessary and proportionate.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</si>
  <si>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reasonable consumer expectations are defined for what is necessary and proportionate for collecting, receiving, processing, storage, transmission, sharing, updating and/or disposal of Personal Data (PD);
b. Ensuring organization-specific practices are defined to limit the collection, receiving, processing, storage, transmission, sharing, updating and/or disposal of Personal Data (PD) according to reasonable consumer expectations for what is necessary and proportionate;
c. Ensuring the collection, receiving, processing, storage, transmission, sharing, updating and/or disposal of Personal Data (PD) is limited to reasonable consumer expectations for what is necessary and proportionate;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</si>
  <si>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Enterprise privacy management platform (e.g., OneTrust, TrustArc); Comprehensive privacy practices program; Regulatory compliance management.
In-scope requirement alignment: NIST Privacy Framework: GV.PO-P5, GV.MT-P3, GV.MT-P5, CT.PO-P1, CM.AW-P2, CM.AW-P3.
Validation: Annual conformity validation; evidence artifacts to be defined; PPTDF applicability: Process.</t>
  </si>
  <si>
    <t xml:space="preserve">GV.PO-P5, GV.MT-P3, GV.MT-P5, CT.PO-P1, CM.AW-P2, CM.AW-P3</t>
  </si>
  <si>
    <t xml:space="preserve">∙ Enterprise privacy management platform (e.g., OneTrust, TrustArc)
∙ Comprehensive privacy practices program
∙ Regulatory compliance management</t>
  </si>
  <si>
    <t xml:space="preserve">PRI-01.12</t>
  </si>
  <si>
    <t xml:space="preserve">Privacy-Aware Design</t>
  </si>
  <si>
    <t xml:space="preserve">Mechanisms exist to formally incorporate the organization's data privacy principles into engineering, product and model design requirements to ensure data privacy is built in by default and by design.</t>
  </si>
  <si>
    <t xml:space="preserve">Does the organization formally incorporate its data privacy principles into engineering, product and model design requirements to ensure data privacy is built in by default and by design?</t>
  </si>
  <si>
    <t xml:space="preserve">The organization implements and operates mechanisms to formally incorporate the organization's data privacy principles into engineering, product and model design requirements to ensure data privacy is built in by default and by design.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</si>
  <si>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organization's data privacy principles are defined;
b. Ensuring the organization's data privacy principles are formally incorporated into engineering, product and model design requirements to ensure data privacy is built in by default and by design;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</si>
  <si>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Enterprise privacy engineering framework; Automated privacy design reviews in SDLC; DPIA for all new data processing; Privacy technology stack (e.g., OneTrust).
In-scope requirement alignment: NIST Privacy Framework: CT.DM-P10.
Validation: Annual conformity validation; evidence artifacts to be defined; PPTDF applicability: Process.</t>
  </si>
  <si>
    <t xml:space="preserve">CT.DM-P10</t>
  </si>
  <si>
    <t xml:space="preserve">∙ Enterprise privacy engineering framework
∙ Automated privacy design reviews in SDLC
∙ DPIA for all new data processing
∙ Privacy technology stack (e.g., OneTrust)</t>
  </si>
  <si>
    <t xml:space="preserve">PRI-02</t>
  </si>
  <si>
    <t xml:space="preserve">Data Privacy Notice</t>
  </si>
  <si>
    <t xml:space="preserve">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</si>
  <si>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 xml:space="preserve">Does the organization: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</si>
  <si>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 xml:space="preserve">E-PRI-08</t>
  </si>
  <si>
    <t xml:space="preserve">The organization ensures that 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</si>
  <si>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privacy notice(s) are developed and posted on all external-facing websites;
b. Ensuring privacy notice(s) are developed and posted on all mobile applications;
c. Ensuring privacy notice(s) are developed and posted on all other digital services;
d. Ensuring the privacy notice(s) are written in plain language;
e. Ensuring the privacy notice(s) are organized in a way that is easy to understand and navigate;
f. Ensuring the privacy notice(s) provide the information needed by the public to make an informed decision about whether to interact with the organization;
g. Ensuring the privacy notice(s) provide the information needed by the public to make an informed decision about how to interact with the organization;
h. Ensuring the privacy notice(s) are updated whenever the organization makes a substantive change to the practices it describes;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</si>
  <si>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PM-20(01) | NIST Privacy Framework: CM.PO-P1, CM.AW-P1 | NIST SP 800-53B Privacy: PM-20(01), PT-05.
Validation: Annual conformity validation; evidence artifacts E-PRI-08; PPTDF applicability: Process.</t>
  </si>
  <si>
    <t xml:space="preserve">PM-20(01), PT-05</t>
  </si>
  <si>
    <t xml:space="preserve">PM-20(01)</t>
  </si>
  <si>
    <t xml:space="preserve">CM.PO-P1, CM.AW-P1</t>
  </si>
  <si>
    <t xml:space="preserve">5.34</t>
  </si>
  <si>
    <t xml:space="preserve">PRI-02.1</t>
  </si>
  <si>
    <t xml:space="preserve">Purpose Specification</t>
  </si>
  <si>
    <t xml:space="preserve">Mechanisms exist to ensure data privacy notices identify the purpose(s) for which Personal Data (PD) is collected, received, processed, stored, transmitted and/or shared.</t>
  </si>
  <si>
    <t xml:space="preserve">Does the organization ensure data privacy notices identify the purpose(s) for which Personal Data (PD) is collected, received, processed, stored, transmitted and/or shared?</t>
  </si>
  <si>
    <t xml:space="preserve">The organization implements and operates mechanisms to ensure data privacy notices identify the purpose(s) for which Personal Data (PD) is collected, received, processed, stored, transmitted and/or shared.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</si>
  <si>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purpose(s) for processing Personal Data (PD) is/are defined;
b. Ensuring the processing of Personal Data (PD) to be restricted is defined;
c. Ensuring mechanisms to be implemented for ensuring any changes in the processing of Personal Data (PD) are made in accordance with requirements are defined;
d. Ensuring requirements for changing the processing of Personal Data (PD) are defined;
e. Ensuring the purpose(s) for processing Personal Data (PD) is/are identified and documented;
f. Ensuring the purpose(s) is/are described in the public privacy notices of the organization;
g. Ensuring the purpose(s) is/are described in the policies of the organization;
h. Ensuring the processing of Personal Data (PD) is restricted to only that which is compatible with the identified purpose(s);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</si>
  <si>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CM.PO-P1 | NIST SP 800-53B Privacy: PT-03.
Validation: Annual conformity validation; evidence artifacts to be defined; PPTDF applicability: Process.</t>
  </si>
  <si>
    <t xml:space="preserve">PT-03</t>
  </si>
  <si>
    <t xml:space="preserve">PRI-02.2</t>
  </si>
  <si>
    <t xml:space="preserve">Automated Data Management Processes</t>
  </si>
  <si>
    <t xml:space="preserve">Automated mechanisms exist to adjust data that is able to be collected, received, processed, stored, transmitted, shared, updated and/or disposed, based on updated data subject authorization(s).</t>
  </si>
  <si>
    <t xml:space="preserve">Does the organization use automated mechanisms to adjust data that is able to be collected, received, processed, stored, transmitted, shared, updated and/or disposed, based on updated data subject authorization(s)?</t>
  </si>
  <si>
    <t xml:space="preserve">The organization implements and operates automated mechanisms to adjust data that is able to be collected, received, processed, stored, transmitted, shared, updated and/or disposed, based on updated data subject authorization(s).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</si>
  <si>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automated mechanisms used to manage enforcement of the authorized processing of Personal Data (PD) are defined;
b. Ensuring enforcement of the authorized processing of Personal Data (PD) is managed using automated mechanisms;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</si>
  <si>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PM-24 | NIST SP 800-53B Privacy: PM-24, PT-03(02).
Validation: Quarterly conformity validation; evidence artifacts to be defined; PPTDF applicability: Technology.</t>
  </si>
  <si>
    <t xml:space="preserve">PM-24, PT-02(02), PT-03(02)</t>
  </si>
  <si>
    <t xml:space="preserve">PM-24</t>
  </si>
  <si>
    <t xml:space="preserve">PM-24, PT-03(02)</t>
  </si>
  <si>
    <t xml:space="preserve">PRI-02.3</t>
  </si>
  <si>
    <t xml:space="preserve">Computer Matching Agreements (CMA)</t>
  </si>
  <si>
    <t xml:space="preserve">Mechanisms exist to publish Computer Matching Agreements (CMA) on the organization's public website(s).</t>
  </si>
  <si>
    <t xml:space="preserve">Does the organization publish Computer Matching Agreements (CMA) on its public website(s)?</t>
  </si>
  <si>
    <t xml:space="preserve">The organization implements and operates mechanisms to publish Computer Matching Agreements (CMA) on the organization's public website(s).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</si>
  <si>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approval to conduct the matching program is obtained from the data integrity board/function when a system or organization processes information for the purpose of conducting a matching program;
b. Ensuring a computer matching agreement is developed when a system or organization processes information for the purpose of conducting a matching program;
c. Ensuring a computer matching agreement is entered into when a system or organization processes information for the purpose of conducting a matching program;
d. Ensuring a matching notice is published in the Federal Register when a system or organization processes information for the purpose of conducting a matching program;
e. Ensuring the information produced by the matching program is independently verified before taking adverse action against an individual, if required, when a system or organization processes information for the purpose of conducting a matching program;
f. Ensuring individuals are provided with notice when a system or organization processes information for the purpose of conducting a matching program;
g. Ensuring individuals are provided with an opportunity to contest the findings before adverse action is taken against them when a system or organization processes information for the purpose of conducting a matching program;
h. Identifying Customer Energy Usage Data and associated personal data as in-scope personal data and documenting its collection, processing, retention and sharing; and
i.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</si>
  <si>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PM-24 | NIST SP 800-53B Privacy: PM-24, PT-08.
Validation: Annual conformity validation; evidence artifacts to be defined; PPTDF applicability: Process.</t>
  </si>
  <si>
    <t xml:space="preserve">PM-24, PT-08</t>
  </si>
  <si>
    <t xml:space="preserve">PRI-02.4</t>
  </si>
  <si>
    <t xml:space="preserve">System of Records Notice (SORN)</t>
  </si>
  <si>
    <t xml:space="preserve">Mechanisms exist to draft, publish and keep System of Records Notices (SORN) updated in accordance with regulatory guidance.</t>
  </si>
  <si>
    <t xml:space="preserve">Does the organization draft, publish and keep System of Records Notices (SORN) updated in accordance with regulatory guidance?</t>
  </si>
  <si>
    <t xml:space="preserve">The organization implements and operates mechanisms to draft, publish and keep System of Records Notices (SORN) updated in accordance with regulatory guidance.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</si>
  <si>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System of Records Notices (SORNs) are drafted in accordance with OMB guidance for systems that process information that will be maintained in a Privacy Act system of records;
b. Ensuring new and significantly modified system of records notices are submitted to the OMB and appropriate congressional committees for advance review for systems that process information that will be maintained in a Privacy Act system of records;
c. Ensuring System of Records Notices (SORNs) are published in the Federal Register for systems that process information that will be maintained in a Privacy Act system of records;
d. Ensuring System of Records Notices (SORNs) are kept accurate, up-to-date and scoped in accordance with policy for systems that process information that will be maintained in a Privacy Act system of records;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</si>
  <si>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PT-06.
Validation: Annual conformity validation; evidence artifacts to be defined; PPTDF applicability: Process.</t>
  </si>
  <si>
    <t xml:space="preserve">PT-06</t>
  </si>
  <si>
    <t xml:space="preserve">PRI-02.5</t>
  </si>
  <si>
    <t xml:space="preserve">System of Records Notice (SORN) Review Process</t>
  </si>
  <si>
    <t xml:space="preserve">Mechanisms exist to review all routine uses of data published in the System of Records Notices (SORN) to ensure continued accuracy and to ensure that routine uses continue to be compatible with the purpose for which the information was collected.</t>
  </si>
  <si>
    <t xml:space="preserve">Does the organization review all routine uses of data published in the System of Records Notices (SORN) to ensure continued accuracy and to ensure that routine uses continue to be compatible with the purpose for which the information was collected?</t>
  </si>
  <si>
    <t xml:space="preserve">The organization implements and operates mechanisms to review all routine uses of data published in the System of Records Notices (SORN) to ensure continued accuracy and to ensure that routine uses continue to be compatible with the purpose for which the information was collected.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</si>
  <si>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frequency at which to review all routine uses published in the System of Records Notice (SORN) is defined;
b. Ensuring all routine uses published in the system of records notice are reviewed frequently to ensure continued accuracy and to ensure that routine uses continue to be compatible with the purpose for which the information was collected;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</si>
  <si>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PT-06(01).
Validation: Annual conformity validation; evidence artifacts to be defined; PPTDF applicability: Process.</t>
  </si>
  <si>
    <t xml:space="preserve">PT-06(01)</t>
  </si>
  <si>
    <t xml:space="preserve">PRI-02.6</t>
  </si>
  <si>
    <t xml:space="preserve">Privacy Act Exemptions</t>
  </si>
  <si>
    <t xml:space="preserve">Mechanisms exist to review all Privacy Act exemptions claimed for the System of Records Notices (SORN) to ensure they remain appropriate and accurate.</t>
  </si>
  <si>
    <t xml:space="preserve">Does the organization review all Privacy Act exemptions claimed for the System of Records Notices (SORN) to ensure they remain appropriate and accurate?</t>
  </si>
  <si>
    <t xml:space="preserve">The organization implements and operates mechanisms to review all Privacy Act exemptions claimed for the System of Records Notices (SORN) to ensure they remain appropriate and accurate.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</si>
  <si>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frequency at which to review all Privacy Act exemptions claimed for the system of records is defined;
b. Ensuring all Privacy Act exemptions claimed for the system of records are reviewed frequently to ensure that they remain appropriate and necessary in accordance with law;
c. Ensuring all Privacy Act exemptions claimed for the system of records are reviewed frequently to ensure that they have been promulgated as regulations;
d. Ensuring all Privacy Act exemptions claimed for the system of records are reviewed frequently to ensure that they are accurately described in the system of records notice;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</si>
  <si>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PT-06(02).
Validation: Annual conformity validation; evidence artifacts to be defined; PPTDF applicability: Process.</t>
  </si>
  <si>
    <t xml:space="preserve">PT-06(02)</t>
  </si>
  <si>
    <t xml:space="preserve">PRI-03</t>
  </si>
  <si>
    <t xml:space="preserve">Data Subject Consent</t>
  </si>
  <si>
    <t xml:space="preserve">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</si>
  <si>
    <t xml:space="preserve">Does the organization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</si>
  <si>
    <t xml:space="preserve">The organization implements and operates mechanisms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</si>
  <si>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tools or mechanisms to be implemented for individuals to consent to the processing of their Personal Data (PD) are defined;
b. Ensuring tools or mechanisms are implemented for individuals to consent to the processing of their Personal Data (PD) prior to its collection that facilitates individuals’ informed decision-making;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</si>
  <si>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CT.PO-P1, CT.PO-P3 | NIST SP 800-53B Privacy: PT-04.
Validation: Semi-Annual conformity validation; evidence artifacts to be defined; PPTDF applicability: Process.</t>
  </si>
  <si>
    <t xml:space="preserve">PT-04</t>
  </si>
  <si>
    <t xml:space="preserve">CT.PO-P1, CT.PO-P3</t>
  </si>
  <si>
    <t xml:space="preserve">5.33</t>
  </si>
  <si>
    <t xml:space="preserve">PRI-03.1</t>
  </si>
  <si>
    <t xml:space="preserve">Tailored Consent</t>
  </si>
  <si>
    <t xml:space="preserve">Mechanisms exist to allow data subjects to modify permission to collect, receive, process, store, transmit, share, update and/or dispose selected attributes of their Personal Data (PD).</t>
  </si>
  <si>
    <t xml:space="preserve">Does the organization allow data subjects to modify permission to collect, receive, process, store, transmit, share, update and/or dispose selected attributes of their Personal Data (PD)?</t>
  </si>
  <si>
    <t xml:space="preserve">The organization implements and operates mechanisms to allow data subjects to modify permission to collect, receive, process, store, transmit, share, update and/or dispose selected attributes of their Personal Data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</si>
  <si>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tailoring mechanisms for processing selected elements of Personal Data (PD) permissions are defined;
b. Ensuring mechanisms are provided to allow individuals to tailor processing permissions to selected elements of Personal Data (PD);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</si>
  <si>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CT.PO-P3.
Validation: Annual conformity validation; evidence artifacts to be defined; PPTDF applicability: Process.</t>
  </si>
  <si>
    <t xml:space="preserve">PT-04(01)</t>
  </si>
  <si>
    <t xml:space="preserve">CT.PO-P3</t>
  </si>
  <si>
    <t xml:space="preserve">PRI-03.2</t>
  </si>
  <si>
    <t xml:space="preserve">Just-In-Time Notice &amp; Updated Consent</t>
  </si>
  <si>
    <t xml:space="preserve">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</si>
  <si>
    <t xml:space="preserve">Does the organization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</si>
  <si>
    <t xml:space="preserve">The organization implements and operates mechanisms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</si>
  <si>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consent mechanisms to be presented to individuals are defined;
b. Ensuring the frequency at which to present consent mechanisms to individuals is defined;
c. Ensuring Personal Data (PD) processing to be presented in conjunction with organization-defined consent mechanisms is defined;
d. Ensuring consent mechanisms are presented to individuals frequently and in conjunction with Personal Data (PD) processing;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</si>
  <si>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CT.PO-P1, CT.PO-P3.
Validation: Annual conformity validation; evidence artifacts to be defined; PPTDF applicability: Process.</t>
  </si>
  <si>
    <t xml:space="preserve">PT-04(02), PT-05(01)</t>
  </si>
  <si>
    <t xml:space="preserve">PRI-04</t>
  </si>
  <si>
    <t xml:space="preserve">Restrict Collection, Processing &amp; Sharing To Identified Purpose</t>
  </si>
  <si>
    <t xml:space="preserve">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</si>
  <si>
    <t xml:space="preserve">Does the organization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</si>
  <si>
    <t xml:space="preserve">E-PRI-02</t>
  </si>
  <si>
    <t xml:space="preserve">The organization implements and operates mechanisms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</si>
  <si>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type of processing of Personal Data (PD) is defined;
b. Ensuring the type of processing of Personal Data (PD) to be restricted is defined; and
c. Limiting the collection, processing and sharing of Customer Energy Usage Data to the purposes identified in customer notices and regulatory authorizations.</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</si>
  <si>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PT-02.
Validation: Annual conformity validation; evidence artifacts E-PRI-02; PPTDF applicability: Data.</t>
  </si>
  <si>
    <t xml:space="preserve">PT-02</t>
  </si>
  <si>
    <t xml:space="preserve">PRI-04.1</t>
  </si>
  <si>
    <t xml:space="preserve">Authority To Collect, Process, Store &amp; Share Personal Data (PD)</t>
  </si>
  <si>
    <t xml:space="preserve">Mechanisms exist to determine and document the legal authority that permits the organization to collect, receive, process, store, transmit, share, update and/or dispose Personal Data (PD), either generally or in support of a specific business process.</t>
  </si>
  <si>
    <t xml:space="preserve">Does the organization determine and document the legal authority that permits the organization to collect, receive, process, store, transmit, share, update and/or dispose Personal Data (PD), either generally or in support of a specific business process?</t>
  </si>
  <si>
    <t xml:space="preserve">The organization implements and operates mechanisms to determine and document the legal authority that permits the organization to collect, receive, process, store, transmit, share, update and/or dispose Personal Data (PD), either generally or in support of a specific business process.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</si>
  <si>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authority to permit the processing of Personal Data (PD) is defined;
b. Ensuring the authority that permits the processing of Personal Data (PD) is determined and documented;
c. Ensuring the processing of Personal Data (PD) is restricted to only that which is authorized;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</si>
  <si>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PT-02.
Validation: Annual conformity validation; evidence artifacts E-PRI-02; PPTDF applicability: Process.</t>
  </si>
  <si>
    <t xml:space="preserve">PRI-05</t>
  </si>
  <si>
    <t xml:space="preserve">Personal Data (PD) Retention &amp; Disposal</t>
  </si>
  <si>
    <t xml:space="preserve">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</si>
  <si>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 xml:space="preserve">Does the organization: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</si>
  <si>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 xml:space="preserve">E-AST-11, E-PRI-02</t>
  </si>
  <si>
    <t xml:space="preserve">NIST SP 800-82 R3 - Moderate OT Overlay; NIST Cybersecurity Framework 2.0; NIST SP 800-161 R1 - C-SCRM Baseline; NIST SP 800-53B R5 - Privacy baseline</t>
  </si>
  <si>
    <t xml:space="preserve">The organization ensures that 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
Within the OT and AMI environment, this objective governs Customer Energy Usage Data and personal data collected through AMI meters and processed by head-end, meter data management, billing, analytics and third-party systems.</t>
  </si>
  <si>
    <t xml:space="preserve">IT Operations and OT Operations teams (asset custodians) are responsible for:
a. Ensuring techniques used to dispose of information following the retention period are defined;
b. Ensuring techniques used to destroy information following the retention period are defined;
c. Ensuring techniques used to erase information following the retention period are defined;
d. Ensuring organization-defined techniques are used to dispose of information following the retention period;
e. Ensuring organization-defined techniques are used to destroy information following the retention period;
f. Ensuring organization-defined techniques are used to erase information following the retention period;
g. Ensuring information within the system is retained in accordance with applicable laws, Executive Orders, directives, regulations, policies, standards, guidelines and operational requirements;
h. Ensuring information output from the system is retained in accordance with applicable laws, Executive Orders, directives, regulations, policies, standards, guidelines and operational requirements;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</si>
  <si>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SI-12 | NIST CSF 2.0: ID.AM-07 | NIST SP 800-161 R1 C-SCRM: SI-12 | NIST SP 800-53B Privacy: SI-12, SI-12(03).
Validation: Annual conformity validation; evidence artifacts E-AST-11, E-PRI-02; PPTDF applicability: Data.</t>
  </si>
  <si>
    <t xml:space="preserve">AC-04(25), SI-12, SI-12(03)</t>
  </si>
  <si>
    <t xml:space="preserve">SI-12, SI-12(03)</t>
  </si>
  <si>
    <t xml:space="preserve">PRI-05.1</t>
  </si>
  <si>
    <t xml:space="preserve">Internal Use of Personal Data (PD) For Testing, Training and Research</t>
  </si>
  <si>
    <t xml:space="preserve">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</si>
  <si>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 xml:space="preserve">Does the organization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</si>
  <si>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 xml:space="preserve">The organization implements and operates mechanisms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
Within the OT and AMI environment, this objective governs Customer Energy Usage Data and personal data collected through AMI meters and processed by head-end, meter data management, billing, analytics and third-party systems.</t>
  </si>
  <si>
    <t xml:space="preserve">OT Engineering and application development teams are responsible for:
a. Ensuring elements of Personal Data (PD) being processed in the information life cycle are defined;
b. Ensuring techniques used to minimize the use of Personal Data (PD) for research, testing and training are defined;
c. Ensuring organization-defined techniques are used to minimize the use of Personal Data (PD) for research, testing and training;
d. Ensuring Personal Data (PD) being processed in the information life cycle is limited to organization-defined elements of Personal Data (PD);
e. Ensuring the frequency for reviewing policies that address the use of Personal Data (PD) for internal testing, training and research is defined;
f. Ensuring the frequency for updating policies that address the use of Personal Data (PD) for internal testing, training and research is defined;
g. Ensuring the frequency for reviewing procedures that address the use of Personal Data (PD) for internal testing, training and research is defined;
h. Ensuring the frequency for updating procedures that address the use of Personal Data (PD) for internal testing, training and research is defined;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</si>
  <si>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PM-25 | NIST SP 800-53B Privacy: PM-25, PT-02, PT-03, SI-12(01), SI-12(02).
Validation: Annual conformity validation; evidence artifacts E-PRI-02; PPTDF applicability: Data.</t>
  </si>
  <si>
    <t xml:space="preserve">PM-25, PT-02, PT-03, SI-12(01), SI-12(02)</t>
  </si>
  <si>
    <t xml:space="preserve">SG.PM Security Program Management; SG.ID Information and Document Management (PII transparency); SG.SI Smart Grid Information System and Information Integrity</t>
  </si>
  <si>
    <t xml:space="preserve">PRI-05.2</t>
  </si>
  <si>
    <t xml:space="preserve">Personal Data (PD) Accuracy &amp; Integrity</t>
  </si>
  <si>
    <t xml:space="preserve">Mechanisms exist to ensure the accuracy and relevance of Personal Data (PD) throughout the information lifecycle by:
(1) Keeping PD up-to-date; and 
(2) Remediating identified inaccuracies, as necessary.</t>
  </si>
  <si>
    <t xml:space="preserve">Does the organization ensure the accuracy and relevance of Personal Data (PD) throughout the information lifecycle by:
 (1) Keeping PD up-to-date; and 
 (2) Remediating identified inaccuracies, as necessary?</t>
  </si>
  <si>
    <t xml:space="preserve">The organization implements and operates mechanisms to ensure the accuracy and relevance of Personal Data (PD) throughout the information lifecycle by: (1) Keeping PD up-to-date; and (2) Remediating identified inaccuracies, as necessary.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</si>
  <si>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data integrity board/function is established;
b. Ensuring the data integrity board/function reviews proposals to conduct or participate in a matching program;
c. Ensuring the data integrity board/function conducts an annual review of all matching programs in which the agency has participated;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</si>
  <si>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PM-24 | NIST SP 800-53B Privacy: PM-24.
Validation: Annual conformity validation; evidence artifacts to be defined; PPTDF applicability: Data.</t>
  </si>
  <si>
    <t xml:space="preserve">PRI-05.3</t>
  </si>
  <si>
    <t xml:space="preserve">Data Anonymization</t>
  </si>
  <si>
    <t xml:space="preserve">Mechanisms exist to mask sensitive and/or regulated data through data anonymization, pseudonymization, redaction and/or de-identification.</t>
  </si>
  <si>
    <t xml:space="preserve">Does the organization mask sensitive and/or regulated data through data anonymization, pseudonymization, redaction and/or de-identification?</t>
  </si>
  <si>
    <t xml:space="preserve">The organization implements and operates mechanisms to mask sensitive and/or regulated data through data anonymization, pseudonymization, redaction and/or de-identification.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</si>
  <si>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direct identifiers in a dataset are removed, masked, encrypted, hashed or replaced;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</si>
  <si>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SI-19(04).
Validation: Annual conformity validation; evidence artifacts to be defined; PPTDF applicability: Data.</t>
  </si>
  <si>
    <t xml:space="preserve">PRI-05.4</t>
  </si>
  <si>
    <t xml:space="preserve">Usage Restrictions of Personal Data (PD)</t>
  </si>
  <si>
    <t xml:space="preserve">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</si>
  <si>
    <t xml:space="preserve">Does the organization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</si>
  <si>
    <t xml:space="preserve">The organization implements and operates mechanisms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</si>
  <si>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authority to permit the processing of Personal Data (PD) is defined;
b. Ensuring the type of processing of Personal Data (PD) is defined;
c. Ensuring the type of processing of Personal Data (PD) to be restricted is defined;
d. Ensuring the authority that permits the processing of Personal Data (PD) is determined and documented;
e. Ensuring the processing of Personal Data (PD) is restricted to only that which is authorized;
f. Ensuring processing conditions to be applied for specific categories of Personal Data (PD) are defined;
g. Ensuring processing conditions are applied for specific categories of Personal Data (PD);
h. Ensuring data mining prevention and detection techniques are defined;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</si>
  <si>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PM-25 | NIST Privacy Framework: CT.PO-P1, CT.PO-P2 | NIST SP 800-53B Privacy: AC-23, PM-25, PT-02, PT-07.
Validation: Annual conformity validation; evidence artifacts to be defined; PPTDF applicability: Data.</t>
  </si>
  <si>
    <t xml:space="preserve">AC-23, PM-25, PT-02, PT-07</t>
  </si>
  <si>
    <t xml:space="preserve">CT.PO-P1, CT.PO-P2</t>
  </si>
  <si>
    <t xml:space="preserve">SG.AC Access Control; SG.PM Security Program Management; SG.ID Information and Document Management (PII transparency)</t>
  </si>
  <si>
    <t xml:space="preserve">PRI-05.5</t>
  </si>
  <si>
    <t xml:space="preserve">Inventory of Personal Data (PD)</t>
  </si>
  <si>
    <t xml:space="preserve">Mechanisms exist to establish and maintain a current inventory of all Technology Assets, Applications and/or Services (TAAS) that collect, receive, process, store, transmit, share, update and/or dispose Personal Data (PD).</t>
  </si>
  <si>
    <t xml:space="preserve">Does the organization establish and maintain a current inventory of all Technology Assets, Applications and/or Services (TAAS) that collect, receive, process, store, transmit, share, update and/or dispose Personal Data (PD)?</t>
  </si>
  <si>
    <t xml:space="preserve">NIST Cybersecurity Framework 2.0; NIST Privacy Framework 1.0; NIST SP 800-53B R5 - Privacy baseline</t>
  </si>
  <si>
    <t xml:space="preserve">Privacy (Customer Energy Usage Data); Converged IT/OT Enterprise</t>
  </si>
  <si>
    <t xml:space="preserve">The organization implements and operates mechanisms to establish and maintain a current inventory of all Technology Assets, Applications and/or Services (TAAS) that collect, receive, process, store, transmit, share, update and/or dispose Personal Data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</si>
  <si>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frequency at which to update the inventory of systems, applications and projects that process Personal Data (PD) is defined;
b. Ensuring an inventory of all systems, applications and projects that process Personal Data (PD) is established;
c. Ensuring an inventory of all systems, applications and projects that process Personal Data (PD) is maintained;
d. Ensuring an inventory of all systems, applications and projects that process Personal Data (PD) is updated frequently;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</si>
  <si>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CSF 2.0: ID.AM-07 | NIST Privacy Framework: ID.IM-P3, ID.IM-P6 | NIST SP 800-53B Privacy: PM-05(01).
Validation: Annual conformity validation; evidence artifacts E-AST-08; PPTDF applicability: Data.</t>
  </si>
  <si>
    <t xml:space="preserve">PM-05(01)</t>
  </si>
  <si>
    <t xml:space="preserve">ID.IM-P3, ID.IM-P6</t>
  </si>
  <si>
    <t xml:space="preserve">PRI-05.6</t>
  </si>
  <si>
    <t xml:space="preserve">Personal Data (PD) Inventory Automation Support</t>
  </si>
  <si>
    <t xml:space="preserve">Automated mechanisms exist to determine if Personal Data (PD) is maintained in electronic form.</t>
  </si>
  <si>
    <t xml:space="preserve">Does the organization use automated mechanisms to determine if Personal Data (PD) is maintained in electronic form?</t>
  </si>
  <si>
    <t xml:space="preserve">The organization implements and operates automated mechanisms to determine if Personal Data (PD) is maintained in electronic form.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</si>
  <si>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automated mechanisms are implemented to inventory Personal Data (PD) across the organization;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</si>
  <si>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ID.IM-P3, ID.IM-P6 | NIST SP 800-53B Privacy: PM-05(01).
Validation: Quarterly conformity validation; evidence artifacts to be defined; PPTDF applicability: Technology.</t>
  </si>
  <si>
    <t xml:space="preserve">PRI-05.7</t>
  </si>
  <si>
    <t xml:space="preserve">Personal Data (PD) Categories</t>
  </si>
  <si>
    <t xml:space="preserve">Mechanisms exist to define and implement data handling and protection requirements for specific categories of sensitive Personal Data (PD).</t>
  </si>
  <si>
    <t xml:space="preserve">Does the organization define and implement data handling and protection requirements for specific categories of sensitive Personal Data (PD)?</t>
  </si>
  <si>
    <t xml:space="preserve">E-PRI-07</t>
  </si>
  <si>
    <t xml:space="preserve">The organization implements and operates mechanisms to define and implement data handling and protection requirements for specific categories of sensitive Personal Data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</si>
  <si>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processing conditions to be applied for specific categories of Personal Data (PD) are defined;
b. Ensuring processing conditions are applied for specific categories of Personal Data (PD);
c. Ensuring when a system processes Social Security numbers, the unnecessary collection, maintenance and use of Social Security numbers are eliminated;
d. Ensuring when a system processes Social Security numbers, alternatives to the use of Social Security Numbers as a personal identifier are explored;
e. Ensuring when a system processes Social Security numbers, individual rights, benefits or privileges provided by law are not denied because of an individual’s refusal to disclose their Social Security number;
f. Ensuring when a system processes Social Security numbers, any individual who is asked to disclose their Social Security number is informed whether that disclosure is mandatory or voluntary, by what statutory or other authority such number is solicited and what uses will be made of it;
g. Ensuring when a system processes Social Security numbers, any individual who is asked to disclose their Social Security number is informed by what statutory or other authority the number is solicited;
h. Ensuring when a system processes Social Security numbers, any individual who is asked to disclose their Social Security number is informed what uses will be made of it;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</si>
  <si>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ID.IM-P3 | NIST SP 800-53B Privacy: PT-07, PT-07(01), PT-07(02).
Validation: Annual conformity validation; evidence artifacts E-PRI-07; PPTDF applicability: Data.</t>
  </si>
  <si>
    <t xml:space="preserve">PT-07, PT-07(01), PT-07(02)</t>
  </si>
  <si>
    <t xml:space="preserve">PRI-06</t>
  </si>
  <si>
    <t xml:space="preserve">Data Subject Empowerment</t>
  </si>
  <si>
    <t xml:space="preserve">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</si>
  <si>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 xml:space="preserve">Does the organization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</si>
  <si>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 xml:space="preserve">E-PRI-06</t>
  </si>
  <si>
    <t xml:space="preserve">The organization implements and operates mechanisms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</si>
  <si>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mechanisms enabling individuals to have access to elements of their Personal Data (PD) are defined;
b. Ensuring elements of Personal Data (PD) to which individuals have access are defined;
c. Ensuring organization-defined mechanisms are provided to enable individuals to have access to organization-defined elements of their Personal Data (PD);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</si>
  <si>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AC-03(14), SI-18(04).
Validation: Annual conformity validation; evidence artifacts E-PRI-06; PPTDF applicability: Data.</t>
  </si>
  <si>
    <t xml:space="preserve">AC-03(14), SI-18(04)</t>
  </si>
  <si>
    <t xml:space="preserve">PRI-06.1</t>
  </si>
  <si>
    <t xml:space="preserve">Correcting Inaccurate Personal Data (PD)</t>
  </si>
  <si>
    <t xml:space="preserve">Mechanisms exist to maintain a process for:
(1) Data subjects to have inaccurate Personal Data (PD) maintained by the organization corrected or amended; and
(2) Disseminating corrections or amendments of PD to other authorized users of the PD.</t>
  </si>
  <si>
    <t xml:space="preserve">Does the organization maintain a process for:
 (1) Data subjects to have inaccurate Personal Data (PD) maintained by the organization corrected or amended; and
 (2) Disseminating corrections or amendments of PD to other authorized users of the PD?</t>
  </si>
  <si>
    <t xml:space="preserve">The organization implements and operates mechanisms to maintain a process for: (1) Data subjects to have inaccurate Personal Data (PD) maintained by the organization corrected or amended; and (2) Disseminating corrections or amendments of PD to other authorized users of the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</si>
  <si>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recipients of Personal Data (PD) to be notified when the Personal Data (PD) has been corrected or deleted are defined;
b. Ensuring recipients and individuals are notified when the Personal Data (PD) has been corrected or deleted;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</si>
  <si>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SI-18(04), SI-18(05).
Validation: Annual conformity validation; evidence artifacts to be defined; PPTDF applicability: Data.</t>
  </si>
  <si>
    <t xml:space="preserve">PRI-06.2</t>
  </si>
  <si>
    <t xml:space="preserve">Notice of Correction or Processing Change</t>
  </si>
  <si>
    <t xml:space="preserve">Mechanisms exist to notify affected data subjects if their Personal Data (PD) has been corrected, amended or deleted.</t>
  </si>
  <si>
    <t xml:space="preserve">Does the organization notify affected data subjects if their Personal Data (PD) has been corrected, amended or deleted?</t>
  </si>
  <si>
    <t xml:space="preserve">The organization implements and operates mechanisms to notify affected data subjects if their Personal Data (PD) has been corrected, amended or deleted.
Within the OT and AMI environment, this objective governs Customer Energy Usage Data and personal data collected through AMI meters and processed by head-end, meter data management, billing, analytics and third-party systems.</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</si>
  <si>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CT.PO-P4, CM.PO-P1 | NIST SP 800-53B Privacy: SI-18(05).
Validation: Annual conformity validation; evidence artifacts to be defined; PPTDF applicability: Process.</t>
  </si>
  <si>
    <t xml:space="preserve">SI-18(05)</t>
  </si>
  <si>
    <t xml:space="preserve">CT.PO-P4, CM.PO-P1</t>
  </si>
  <si>
    <t xml:space="preserve">PRI-06.3</t>
  </si>
  <si>
    <t xml:space="preserve">Appeal Adverse Decision</t>
  </si>
  <si>
    <t xml:space="preserve">Mechanisms exist to maintain a process for data subjects to appeal an adverse decision.</t>
  </si>
  <si>
    <t xml:space="preserve">Does the organization maintain a process for data subjects to appeal an adverse decision?</t>
  </si>
  <si>
    <t xml:space="preserve">The organization implements and operates mechanisms to maintain a process for data subjects to appeal an adverse decision.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</si>
  <si>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process for receiving &amp; acknowledging complaints, concerns or questions from individuals about organizational cybersecurity / data privacy practices is implemented;
b. Ensuring a process for responding to complaints, concerns or questions from individuals about organizational cybersecurity / data privacy practices is implemented;
c. Ensuring the time period in which complaints (including concerns or questions) from individuals are to be reviewed and acknowledging is defined;
d. Ensuring the time period in which complaints (including concerns or questions) from individuals are to be addressed is defined;
e. Ensuring the complaint management process includes mechanisms that are easy to use by the public;
f. Ensuring the complaint management process includes mechanisms that are readily accessible by the public;
g. Ensuring the complaint management process includes all information necessary for successfully filing complaints;
h. Ensuring the complaint management process includes tracking mechanisms to ensure that all complaints are reviewed within an organization-defined time period;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</si>
  <si>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PM-26 | NIST SP 800-53B Privacy: PM-26.
Validation: Annual conformity validation; evidence artifacts to be defined; PPTDF applicability: Process.</t>
  </si>
  <si>
    <t xml:space="preserve">PM-26</t>
  </si>
  <si>
    <t xml:space="preserve">PRI-06.4</t>
  </si>
  <si>
    <t xml:space="preserve">Data Subject Feedback Management</t>
  </si>
  <si>
    <t xml:space="preserve">Mechanisms exist to maintain a process to efficiently and effectively respond to requests, complaints, concerns and/or questions from authenticated data subjects about Personal Data (PD) the organization collects, receives, processes, stores, transmits, shares, updates and/or disposes.</t>
  </si>
  <si>
    <t xml:space="preserve">Does the organization maintain a process to efficiently and effectively respond to requests, complaints, concerns and/or questions from authenticated data subjects about Personal Data (PD) the organization collects, receives, processes, stores, transmits, shares, updates and/or disposes?</t>
  </si>
  <si>
    <t xml:space="preserve">The organization implements and operates mechanisms to maintain a process to efficiently and effectively respond to requests, complaints, concerns and/or questions from authenticated data subjects about Personal Data (PD) the organization collects, receives, processes, stores, transmits, shares, updates and/or disposes.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</si>
  <si>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time period in which complaints (including concerns or questions) from individuals are to be reviewed and acknowledging is defined;
b. Ensuring the time period in which complaints (including concerns or questions) from individuals are to be addressed is defined;
c. Ensuring the time period for acknowledging the receipt of complaints is defined;
d. Ensuring the time period for responding to complaints is defined;
e. Ensuring a process for receiving &amp; acknowledging complaints, concerns or questions from individuals about organizational cybersecurity / data privacy practices is implemented;
f. Ensuring a process for responding to complaints, concerns or questions from individuals about organizational cybersecurity / data privacy practices is implemented;
g. Ensuring the complaint management process includes mechanisms that are easy to use by the public;
h. Ensuring the complaint management process includes mechanisms that are readily accessible by the public;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</si>
  <si>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PM-26 | NIST Privacy Framework: GV.MT-P7, CT.PO-P4, CM.AW-P2 | NIST SP 800-53B Privacy: PM-26.
Validation: Semi-Annual conformity validation; evidence artifacts to be defined; PPTDF applicability: Process.</t>
  </si>
  <si>
    <t xml:space="preserve">GV.MT-P7, CT.PO-P4, CM.AW-P2</t>
  </si>
  <si>
    <t xml:space="preserve">PRI-06.6</t>
  </si>
  <si>
    <t xml:space="preserve">Data Portability</t>
  </si>
  <si>
    <t xml:space="preserve">Mechanisms exist to format exports of Personal Data (PD) in a structured, machine-readable format that allows data subjects to transfer their PD to another controller without hindrance.</t>
  </si>
  <si>
    <t xml:space="preserve">Does the organization format exports of Personal Data (PD) in a structured, machine-readable format that allows data subjects to transfer their PD to another controller without hindrance?</t>
  </si>
  <si>
    <t xml:space="preserve">The organization implements and operates mechanisms to format exports of Personal Data (PD) in a structured, machine-readable format that allows data subjects to transfer their PD to another controller without hindrance.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</si>
  <si>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export Personal Data (PD) in a structured, commonly used and machine-readable format that allows the data subject to transmit the data to another controller without hindrance;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</si>
  <si>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ID.DE-P4, CT.DM-P6.
Validation: Annual conformity validation; evidence artifacts to be defined; PPTDF applicability: Technology.</t>
  </si>
  <si>
    <t xml:space="preserve">ID.DE-P4, CT.DM-P6</t>
  </si>
  <si>
    <t xml:space="preserve">PRI-06.7</t>
  </si>
  <si>
    <t xml:space="preserve">Personal Data (PD) Exports</t>
  </si>
  <si>
    <t xml:space="preserve">Mechanisms exist to export a data subject's available Personal Data (PD) in a readily usable format, upon an authenticated request.</t>
  </si>
  <si>
    <t xml:space="preserve">Does the organization export a data subject's available Personal Data (PD) in a readily usable format, upon an authenticated request?</t>
  </si>
  <si>
    <t xml:space="preserve">The organization implements and operates mechanisms to export a data subject's available Personal Data (PD) in a readily usable format, upon an authenticated request.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</si>
  <si>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Personal Data (PD) is capable of being digitally exported in a secure manner upon request by the data subject;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</si>
  <si>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CT.DM-P6.
Validation: Annual conformity validation; evidence artifacts to be defined; PPTDF applicability: Technology.</t>
  </si>
  <si>
    <t xml:space="preserve">CT.DM-P6</t>
  </si>
  <si>
    <t xml:space="preserve">PRI-07</t>
  </si>
  <si>
    <t xml:space="preserve">Information Sharing With Third Parties</t>
  </si>
  <si>
    <t xml:space="preserve">Mechanisms exist to disclose Personal Data (PD) to third-parties only for the purposes identified in the data privacy notice and with the implicit or explicit consent of the data subject.</t>
  </si>
  <si>
    <t xml:space="preserve">Does the organization disclose Personal Data (PD) to third-parties only for the purposes identified in the data privacy notice and with the implicit or explicit consent of the data subject?</t>
  </si>
  <si>
    <t xml:space="preserve">E-PRI-05, E-TPM-01</t>
  </si>
  <si>
    <t xml:space="preserve">NIST SP 800-82 R3 - Moderate OT Overlay; NIST SP 800-53B R5 - Moderate baseline; NIST Privacy Framework 1.0; NIST SP 800-53B R5 - Privacy baseline</t>
  </si>
  <si>
    <t xml:space="preserve">The organization implements and operates mechanisms to disclose Personal Data (PD) to third-parties only for the purposes identified in the data privacy notice and with the implicit or explicit consent of the data subject.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</si>
  <si>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information-sharing circumstances where user discretion is required to determine whether access authorizations assigned to a sharing partner match the information’s access and use restrictions are defined;
b. Ensuring authorized users are enabled to determine whether access authorizations assigned to a sharing partner match the information’s access and use restrictions for information-sharing circumstances;
c. Ensuring automated mechanisms or manual processes that assist users in making information-sharing and collaboration decisions are defined;
d. Ensuring automated mechanisms are employed to assist users in making information-sharing and collaboration decisions; and
e. Sharing Customer Energy Usage Data with third parties only under contractual privacy and security obligations and, where required, customer authorization.</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</si>
  <si>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AC-21 | NIST SP 800-53B Moderate: AC-21 | NIST Privacy Framework: CT.PO-P2 | NIST SP 800-53B Privacy: AC-21.
Validation: Annual conformity validation; evidence artifacts E-PRI-05, E-TPM-01; PPTDF applicability: Data.</t>
  </si>
  <si>
    <t xml:space="preserve">CT.PO-P2</t>
  </si>
  <si>
    <t xml:space="preserve">PRI-07.1</t>
  </si>
  <si>
    <t xml:space="preserve">Data Privacy Requirements for Contractors &amp; Service Providers</t>
  </si>
  <si>
    <t xml:space="preserve">Mechanisms exist to include data privacy requirements in contracts and other acquisition-related documents that establish data privacy roles and responsibilities for contractors and service providers.</t>
  </si>
  <si>
    <t xml:space="preserve">Does the organization include data privacy requirements in contracts and other acquisition-related documents that establish data privacy roles and responsibilities for contractors and service providers?</t>
  </si>
  <si>
    <t xml:space="preserve">AMI Endpoint / Field Device; Privacy (Customer Energy Usage Data)</t>
  </si>
  <si>
    <t xml:space="preserve">The organization implements and operates mechanisms to include data privacy requirements in contracts and other acquisition-related documents that establish data privacy roles and responsibilities for contractors and service providers.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</si>
  <si>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includes privacy requirements in contracts and other acquisition-related documents that establish privacy roles and responsibilities for contractors and service providers;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</si>
  <si>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CSF 2.0: GV.SC-05 | CSA IoT SCF: CLS-04 | NIST Privacy Framework: ID.DE-P3.
Validation: Annual conformity validation; evidence artifacts E-PRI-05, E-TPM-01; PPTDF applicability: Data.</t>
  </si>
  <si>
    <t xml:space="preserve">5.31, 5.33</t>
  </si>
  <si>
    <t xml:space="preserve">PRI-07.2</t>
  </si>
  <si>
    <t xml:space="preserve">Joint Processing of Personal Data (PD)</t>
  </si>
  <si>
    <t xml:space="preserve">Mechanisms exist to clearly define and communicate the organization's role in processing Personal Data (PD) in the data processing ecosystem.</t>
  </si>
  <si>
    <t xml:space="preserve">Does the organization clearly define and communicate its role in processing Personal Data (PD) in the data processing ecosystem?</t>
  </si>
  <si>
    <t xml:space="preserve">The organization implements and operates mechanisms to clearly define and communicate the organization's role in processing Personal Data (PD) in the data processing ecosystem.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</si>
  <si>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clearly define and communicate the organization's role in processing Personal Data (PD) in the data processing ecosystem;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</si>
  <si>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ID.BE-P1.
Validation: Annual conformity validation; evidence artifacts E-PRI-05, E-TPM-01; PPTDF applicability: Data.</t>
  </si>
  <si>
    <t xml:space="preserve">ID.BE-P1</t>
  </si>
  <si>
    <t xml:space="preserve">PRI-07.3</t>
  </si>
  <si>
    <t xml:space="preserve">Obligation To Inform Third-Parties</t>
  </si>
  <si>
    <t xml:space="preserve">Mechanisms exist to inform applicable third-parties of any modification, deletion or other change that affects shared Personal Data (PD).</t>
  </si>
  <si>
    <t xml:space="preserve">Does the organization inform applicable third-parties of any modification, deletion or other change that affects shared Personal Data (PD)?</t>
  </si>
  <si>
    <t xml:space="preserve">The organization implements and operates mechanisms to inform applicable third-parties of any modification, deletion or other change that affects shared Personal Data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</si>
  <si>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inform applicable third-parties of any modification, deletion or other change that affects shared Personal Data (PD);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</si>
  <si>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CM.AW-P5.
Validation: Annual conformity validation; evidence artifacts to be defined; PPTDF applicability: Process.</t>
  </si>
  <si>
    <t xml:space="preserve">CM.AW-P5</t>
  </si>
  <si>
    <t xml:space="preserve">PRI-08</t>
  </si>
  <si>
    <t xml:space="preserve">Personal Data (PD) Control Testing, Training &amp; Monitoring</t>
  </si>
  <si>
    <t xml:space="preserve">Mechanisms exist to conduct testing, training and monitoring activities for Personal Data (PD) controls.</t>
  </si>
  <si>
    <t xml:space="preserve">Does the organization conduct testing, training and monitoring activities for Personal Data (PD) controls?</t>
  </si>
  <si>
    <t xml:space="preserve">The organization implements and operates mechanisms to conduct testing, training and monitoring activities for Personal Data (PD) controls.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</si>
  <si>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process is implemented for ensuring that organizational plans for conducting cybersecurity / data privacy testing, training and monitoring activities associated with organizational systems are developed;
b. Ensuring a process is implemented for ensuring that organizational plans for conducting cybersecurity / data privacy testing, training and monitoring activities associated with organizational systems are maintained;
c. Ensuring a process is implemented for ensuring that organizational plans for conducting cybersecurity / data privacy testing, training and monitoring activities associated with organizational systems continue to be executed;
d. Ensuring testing plans are reviewed for consistency with the organizational risk management strategy;
e. Ensuring training plans are reviewed for consistency with the organizational risk management strategy;
f. Ensuring monitoring plans are reviewed for consistency with the organizational risk management strategy;
g. Ensuring testing plans are reviewed for consistency with organization-wide priorities for risk response actions;
h. Ensuring training plans are reviewed for consistency with organization-wide priorities for risk response actions;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</si>
  <si>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PM-14 | NIST SP 800-53B Privacy: PM-14.
Validation: Annual conformity validation; evidence artifacts to be defined; PPTDF applicability: Process.</t>
  </si>
  <si>
    <t xml:space="preserve">PM-14</t>
  </si>
  <si>
    <t xml:space="preserve">5.36, 8.8</t>
  </si>
  <si>
    <t xml:space="preserve">PRI-09</t>
  </si>
  <si>
    <t xml:space="preserve">Personal Data (PD) Lineage</t>
  </si>
  <si>
    <t xml:space="preserve">Mechanisms exist to maintain a process to document the lineage of Personal Data (PD) by recording how the organization collects, receives, processes, stores, transmits, shares, updates and/or disposes PD.</t>
  </si>
  <si>
    <t xml:space="preserve">Does the organization maintain a process to document the lineage of Personal Data (PD) by recording how the organization collects, receives, processes, stores, transmits, shares, updates and/or disposes PD?</t>
  </si>
  <si>
    <t xml:space="preserve">The organization implements and operates mechanisms to maintain a process to document the lineage of Personal Data (PD) by recording how the organization collects, receives, processes, stores, transmits, shares, updates and/or disposes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</si>
  <si>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records of data disclosures and sharing are maintained;
b. Ensuring records of data disclosures and sharing can be accessed for review or transmission/disclosure;
c. Ensuring records of data provenance and lineage are maintained;
d. Ensuring records of data provenance and lineage can be accessed for review or transmission/disclosure;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</si>
  <si>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SA-04(12) | NIST Privacy Framework: CM.AW-P4, CM.AW-P6 | NIST SP 800-53B Privacy: SA-04(12).
Validation: Annual conformity validation; evidence artifacts to be defined; PPTDF applicability: Process.</t>
  </si>
  <si>
    <t xml:space="preserve">CM.AW-P4, CM.AW-P6</t>
  </si>
  <si>
    <t xml:space="preserve">PRI-10</t>
  </si>
  <si>
    <t xml:space="preserve">Data Quality Management</t>
  </si>
  <si>
    <t xml:space="preserve">Mechanisms exist to manage the quality, utility, objectivity, integrity and impact determination and de-identification of sensitive and/or regulated data across the information lifecycle.</t>
  </si>
  <si>
    <t xml:space="preserve">Does the organization manage the quality, utility, objectivity, integrity and impact determination and de-identification of sensitive and/or regulated data across the information lifecycle?</t>
  </si>
  <si>
    <t xml:space="preserve">The organization implements and operates mechanisms to manage the quality, utility, objectivity, integrity and impact determination and de-identification of sensitive and/or regulated data across the information lifecycle.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</si>
  <si>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responsibilities of the organization's data governance body are defined;
b. Ensuring a data governance body is established;
c. Ensuring the organization's data governance body consisting of roles with responsibilities is established;
d. Ensuring the data integrity board/function reviews proposals to conduct or participate in a matching program;
e. Ensuring the data integrity board/function conducts an annual review of all matching programs in which the agency has participated;
f. Ensuring organization-wide policies for Personal Data (PD) quality management are developed and documented;
g. Ensuring organization-wide procedures for Personal Data (PD) quality management are developed and documented;
h. Ensuring the policies address reviewing the accuracy of Personal Data (PD) across the information life cycle;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</si>
  <si>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PM-22, PM-23, PM-24 | NIST Privacy Framework: CT.PO-P4 | NIST SP 800-53B Privacy: PM-22, PM-23, PM-24.
Validation: Annual conformity validation; evidence artifacts to be defined; PPTDF applicability: Process.</t>
  </si>
  <si>
    <t xml:space="preserve">PM-22, PM-23, PM-24</t>
  </si>
  <si>
    <t xml:space="preserve">CT.PO-P4</t>
  </si>
  <si>
    <t xml:space="preserve">PRI-10.1</t>
  </si>
  <si>
    <t xml:space="preserve">Data Quality Automation</t>
  </si>
  <si>
    <t xml:space="preserve">Automated mechanisms exist to support the evaluation of data quality across the information lifecycle.</t>
  </si>
  <si>
    <t xml:space="preserve">Does the organization use automated mechanisms to support the evaluation of data quality across the information lifecycle?</t>
  </si>
  <si>
    <t xml:space="preserve">The organization implements and operates automated mechanisms to support the evaluation of data quality across the information lifecycle.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</si>
  <si>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automated mechanisms for tracking the processing purposes of Personal Data (PD) are defined;
b. Ensuring the processing purposes of Personal Data (PD) are tracked using automated mechanisms;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</si>
  <si>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PT-03(02).
Validation: Quarterly conformity validation; evidence artifacts to be defined; PPTDF applicability: Technology.</t>
  </si>
  <si>
    <t xml:space="preserve">PT-03(02)</t>
  </si>
  <si>
    <t xml:space="preserve">PRI-11</t>
  </si>
  <si>
    <t xml:space="preserve">Data Tagging</t>
  </si>
  <si>
    <t xml:space="preserve">Mechanisms exist to issue data modeling guidelines to support tagging of sensitive and/or regulated data.</t>
  </si>
  <si>
    <t xml:space="preserve">Does the organization issue data modeling guidelines to support tagging of sensitive and/or regulated data?</t>
  </si>
  <si>
    <t xml:space="preserve">The organization implements and operates mechanisms to issue data modeling guidelines to support tagging of sensitive and/or regulated data.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</si>
  <si>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processing purposes to be contained in data tags are defined;
b. Ensuring elements of Personal Data (PD) to be tagged are defined;
c. Ensuring data tags containing processing purposes are attached to elements of Personal Data (PD);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</si>
  <si>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PT-03(01).
Validation: Annual conformity validation; evidence artifacts to be defined; PPTDF applicability: Data.</t>
  </si>
  <si>
    <t xml:space="preserve">PRI-13</t>
  </si>
  <si>
    <t xml:space="preserve">Data Management Board</t>
  </si>
  <si>
    <t xml:space="preserve">Mechanisms exist to establish a written charter for a Data Management Board (DMB) and assigned organization-defined roles to the DMB.</t>
  </si>
  <si>
    <t xml:space="preserve">Does the organization establish a written charter for a Data Management Board (DMB) and assigned organization-defined roles to the DMB?</t>
  </si>
  <si>
    <t xml:space="preserve">The organization implements and operates mechanisms to establish a written charter for a Data Management Board (DMB) and assigned organization-defined roles to the DMB.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</si>
  <si>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data integrity board/function is established;
b. Ensuring the data integrity board/function reviews proposals to conduct or participate in a matching program;
c. Ensuring the data integrity board/function conducts an annual review of all matching programs in which the agency has participated;
d. Ensuring the roles of the organization's data governance body are defined;
e. Ensuring the responsibilities of the organization's data governance body are defined;
f. Ensuring the organization's data governance body consisting of roles with responsibilities is established;
g. Identifying Customer Energy Usage Data and associated personal data as in-scope personal data and documenting its collection, processing, retention and sharing; and
h.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</si>
  <si>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PM-23, PM-24 | NIST SP 800-53B Privacy: PM-23, PM-24.
Validation: Annual conformity validation; evidence artifacts to be defined; PPTDF applicability: Process.</t>
  </si>
  <si>
    <t xml:space="preserve">PRI-14</t>
  </si>
  <si>
    <t xml:space="preserve">Documenting Data Processing Activities</t>
  </si>
  <si>
    <t xml:space="preserve">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</si>
  <si>
    <t xml:space="preserve">Does the organization document Personal Data (PD) processing activities that covers collection, receiving, processing, storage, transmission, sharing, updating and/or disposal actions with sufficient detail to demonstrate conformity with applicable statutory, regulatory and contractual requirements?</t>
  </si>
  <si>
    <t xml:space="preserve">The organization implements and operates mechanisms to document Personal Data (PD) processing activities that covers collection, receiving, processing, storage, transmission, sharing, updating and/or disposal actions with sufficient detail to demonstrate conformity with applicable statutory, regulatory and contractual requirements.
Within the OT and AMI environment, this objective governs Customer Energy Usage Data and personal data collected through AMI meters and processed by head-end, meter data management, billing, analytics and third-party systems.</t>
  </si>
  <si>
    <t xml:space="preserve">The Chief Information Security Officer (CISO), in coordination with the OT Security Lead, is responsible for:
a. Ensuring privacy reports are defined;
b. Ensuring privacy oversight bodies are defined;
c. Ensuring officials responsible for monitoring privacy program compliance are defined;
d. Ensuring the frequency for reviewing and updating privacy reports is defined;
e. Ensuring privacy reports are developed;
f. Ensuring privacy reports are disseminated to oversight bodies to demonstrate accountability with statutory, regulatory and policy privacy mandates;
g. Ensuring privacy reports are disseminated to officials;
h. Ensuring privacy reports are disseminated to other personnel responsible for monitoring privacy program compliance;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</si>
  <si>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PM-27 | NIST Privacy Framework: CM.AW-P4, CM.AW-P6 | NIST SP 800-53B Privacy: PM-27.
Validation: Semi-Annual conformity validation; evidence artifacts to be defined; PPTDF applicability: Process.</t>
  </si>
  <si>
    <t xml:space="preserve">PM-27</t>
  </si>
  <si>
    <t xml:space="preserve">PRI-14.1</t>
  </si>
  <si>
    <t xml:space="preserve">Accounting of Disclosures</t>
  </si>
  <si>
    <t xml:space="preserve">Mechanisms exist to provide data subjects with an accounting of disclosures of their Personal Data (PD) controlled by:
(1) The organization; and/or
(2) Relevant third-parties that their PD was shared with.</t>
  </si>
  <si>
    <t xml:space="preserve">Does the organization provide data subjects with an accounting of disclosures of their Personal Data (PD) controlled by:
(1) The organization; and/or
(2) Relevant third-parties that their PD was shared with?</t>
  </si>
  <si>
    <t xml:space="preserve">E-PRI-01</t>
  </si>
  <si>
    <t xml:space="preserve">The organization implements and operates mechanisms to provide data subjects with an accounting of disclosures of their Personal Data (PD) controlled by: (1) The organization; and/or (2) Relevant third-parties that their PD was shared with.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</si>
  <si>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an accurate accounting of disclosures of Personal Data (PD) is developed and maintained;
b. Ensuring the accounting includes the date of each disclosure;
c. Ensuring the accounting includes the nature of each disclosure;
d. Ensuring the accounting includes the purpose of each disclosure;
e. Ensuring the accounting includes the name of the individual or organization to whom the disclosure was made;
f. Ensuring the accounting includes the address or other contact information of the individual or organization to whom the disclosure was made;
g. Ensuring the accounting of disclosures is retained for the length of time that the Personal Data (PD) is maintained or five years after the disclosure is made, whichever is longer;
h. Ensuring the accounting of disclosures is made available to the individual to whom the Personal Data (PD) relates upon request;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</si>
  <si>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PM-21 | NIST Privacy Framework: CM.AW-P4 | NIST SP 800-53B Privacy: PM-21.
Validation: Annual conformity validation; evidence artifacts E-PRI-01; PPTDF applicability: Process.</t>
  </si>
  <si>
    <t xml:space="preserve">PM-21</t>
  </si>
  <si>
    <t xml:space="preserve">CM.AW-P4</t>
  </si>
  <si>
    <t xml:space="preserve">PRM-01</t>
  </si>
  <si>
    <t xml:space="preserve">Security, Compliance &amp; Resilience Protection Portfolio Management</t>
  </si>
  <si>
    <t xml:space="preserve">Project &amp; Resource Management</t>
  </si>
  <si>
    <t xml:space="preserve">PRM</t>
  </si>
  <si>
    <t xml:space="preserve">Mechanisms exist to facilitate the implementation of resource planning controls that provide a portfolio management approach to achieve security, compliance and resilience objectives.</t>
  </si>
  <si>
    <t xml:space="preserve">Does the organization facilitate the implementation of resource planning controls that provide a portfolio management approach to achieve security, compliance and resilience objectives?</t>
  </si>
  <si>
    <t xml:space="preserve">E-PRM-02</t>
  </si>
  <si>
    <t xml:space="preserve">NIST Cybersecurity Framework 2.0; DOE Cybersecurity Capability Maturity Model; NIST SP 800-161 R1 - C-SCRM Baseline; NIST SP 800-53B R5 - Privacy baseline</t>
  </si>
  <si>
    <t xml:space="preserve">Director, IT Portfolio &amp; Project Management</t>
  </si>
  <si>
    <t xml:space="preserve">AMI / OT Program Manager</t>
  </si>
  <si>
    <t xml:space="preserve">System integrators; program management consultants</t>
  </si>
  <si>
    <t xml:space="preserve">The organization shall integrate security, compliance and resilience requirements into the planning, resourcing and delivery of OT and AMI projects and programs, including meter deployments, head-end upgrades, network modernization and control system replacements, so that security is designed in rather than retrofitted.</t>
  </si>
  <si>
    <t xml:space="preserve">The organization develops, implements and governs processes and documentation to facilitate the implementation of resource planning controls that provide a portfolio management approach to achieve security, compliance and resilience objectives, as well as associated standards, controls and procedures, across enterprise IT, Operational Technology (OT) and Advanced Metering Infrastructure (AMI) environments.
Within the OT and AMI environment, this objective ensures OT and AMI projects (e.g., meter deployment, head-end upgrades, control system replacements) define and fund security requirements from initiation.</t>
  </si>
  <si>
    <t xml:space="preserve">The Chief Information Security Officer (CISO), in coordination with the OT Security Lead, is responsible for:
a. Ensuring the organization-defined official is designated to manage the development, documentation, and dissemination of the planning policy and procedures;
b. Ensuring planning procedures facilitate the implementation of the planning policy and associated planning controls are developed and documented;
c. Ensuring Project &amp; Resource Management (PRM) operations are conducted according to documented policies, standards, procedures and/or other organizational directives;
d. Ensuring adequate resources (e.g., people, processes, technologies, data and/or facilities) are provided to support Project &amp; Resource Management (PRM) operations;
e. Ensuring responsibility and authority for the performance of Project &amp; Resource Management (PRM)-related activities are assigned to designated personnel;
f. Ensuring personnel performing Project &amp; Resource Management (PRM)-related activities have the skills and knowledge needed to perform their assigned duties;
g. Ensuring personnel or roles to whom the planning policy is to be disseminated is/are defined;
h. Ensuring personnel or roles to whom the planning procedures are to be disseminated is/are defined;
i. Defining security, compliance and resilience requirements, including target security levels, for OT and AMI projects at initiation; and
j.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</si>
  <si>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Enterprise PPM platform with security integration; Dedicated security architects; Security portfolio risk management.
In-scope requirement alignment: DOE C2M2: RISK-1f, ARCHITECTURE-1e | NIST CSF 2.0: GV.RM, GV.RR-03 | NIST SP 800-161 R1 C-SCRM: PL-1 | NIST SP 800-53B Privacy: PL-01.
Validation: Annual conformity validation; evidence artifacts E-PRM-02; PPTDF applicability: Process.</t>
  </si>
  <si>
    <t xml:space="preserve">PL-01</t>
  </si>
  <si>
    <t xml:space="preserve">RISK-1f, ARCHITECTURE-1e</t>
  </si>
  <si>
    <t xml:space="preserve">GV.RM, GV.RR-03</t>
  </si>
  <si>
    <t xml:space="preserve">5.1(e)</t>
  </si>
  <si>
    <t xml:space="preserve">5.4, 5.8</t>
  </si>
  <si>
    <t xml:space="preserve">∙ Enterprise PPM platform with security integration
∙ Dedicated security architects
∙ Security portfolio risk management</t>
  </si>
  <si>
    <t xml:space="preserve">PRM-01.1</t>
  </si>
  <si>
    <t xml:space="preserve">Strategic Plan &amp; Objectives</t>
  </si>
  <si>
    <t xml:space="preserve">Mechanisms exist to establish a:
(1) Strategic security, compliance and resilience-specific business plan; and 
(2) Set of objectives to achieve that plan.</t>
  </si>
  <si>
    <t xml:space="preserve">Does the organization establish a:
(1) Strategic security, compliance and resilience-specific business plan; and 
(2) Set of objectives to achieve that plan?</t>
  </si>
  <si>
    <t xml:space="preserve">The organization implements and operates mechanisms to establish a: (1) Strategic security, compliance and resilience-specific business plan; and (2) Set of objectives to achieve that plan.
Within the OT and AMI environment, this objective ensures OT and AMI projects (e.g., meter deployment, head-end upgrades, control system replacements) define and fund security requirements from initiation.</t>
  </si>
  <si>
    <t xml:space="preserve">The Project Management Office (PMO), including OT and AMI program managers, is responsible for:
a. Ensuring a documented strategic cybersecurity / data privacy-specific business plan exists;
b. Ensuring a documented set of objectives to achieve that cybersecurity and privacy-specific business plan exists;
c. Defining security, compliance and resilience requirements, including target security levels, for OT and AMI projects at initiation; and
d.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</si>
  <si>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Documented cybersecurity and data protection-specific business plan.
In-scope requirement alignment: DOE C2M2: RISK-1a, ARCHITECTURE-1a, PROGRAM-1a, PROGRAM-1b, PROGRAM-1c, PROGRAM-1d, PROGRAM-1e | NIST CSF 2.0: GV, GV.OC-04, GV.RM, GV.OV-01.
Validation: Annual conformity validation; evidence artifacts E-PRM-01; PPTDF applicability: Process.</t>
  </si>
  <si>
    <t xml:space="preserve">RISK-1a, ARCHITECTURE-1a, PROGRAM-1a, PROGRAM-1b, PROGRAM-1c, PROGRAM-1d, PROGRAM-1e</t>
  </si>
  <si>
    <t xml:space="preserve">GV, GV.OC-04, GV.RM, GV.OV-01</t>
  </si>
  <si>
    <t xml:space="preserve">∙ Documented cybersecurity and data protection-specific business plan</t>
  </si>
  <si>
    <t xml:space="preserve">PRM-02</t>
  </si>
  <si>
    <t xml:space="preserve">Security, Compliance &amp; Resilience Resource Management</t>
  </si>
  <si>
    <t xml:space="preserve">Mechanisms exist to address all capital planning and investment requests, including the resources needed to implement the Security, Compliance &amp; Resilience Program (SCRP) and document all exceptions to this requirement.</t>
  </si>
  <si>
    <t xml:space="preserve">Does the organization address all capital planning and investment requests, including the resources needed to implement the Security, Compliance &amp; Resilience Program (SCRP) and document all exceptions to this requirement?</t>
  </si>
  <si>
    <t xml:space="preserve">The organization implements and operates mechanisms to address all capital planning and investment requests, including the resources needed to implement the Security, Compliance &amp; Resilience Program (SCRP) and document all exceptions to this requirement.
Within the OT and AMI environment, this objective ensures OT and AMI projects (e.g., meter deployment, head-end upgrades, control system replacements) define and fund security requirements from initiation.</t>
  </si>
  <si>
    <t xml:space="preserve">The Chief Information Security Officer (CISO), in coordination with the OT Security Lead, is responsible for:
a. Ensuring the resources needed to implement the cybersecurity / data privacy program are included in capital planning and investment requests and all exceptions are documented;
b. Ensuring the documentation required for addressing the cybersecurity / data privacy program in capital planning and investment requests is prepared in accordance with applicable laws, executive orders, directives, policies, regulations, standards;
c. Ensuring cybersecurity / data privacy resources are made available for expenditure as planned;
d. Defining security, compliance and resilience requirements, including target security levels, for OT and AMI projects at initiation; and
e.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</si>
  <si>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Dedicated cybersecurity budget; Dedicated data protection budget.
In-scope requirement alignment: NIST SP 800-82 R3 (Moderate OT overlay): PM-03 | NIST CSF 2.0: GV.RR-03 | NIST SP 800-53B Privacy: PM-03.
Validation: Annual conformity validation; evidence artifacts E-PRM-02; PPTDF applicability: Process.</t>
  </si>
  <si>
    <t xml:space="preserve">PM-03</t>
  </si>
  <si>
    <t xml:space="preserve">GV.RR-03</t>
  </si>
  <si>
    <t xml:space="preserve">5.1(c), 7.1</t>
  </si>
  <si>
    <t xml:space="preserve">∙ Dedicated cybersecurity budget
∙ Dedicated data protection budget</t>
  </si>
  <si>
    <t xml:space="preserve">PRM-03</t>
  </si>
  <si>
    <t xml:space="preserve">Allocation of Resources</t>
  </si>
  <si>
    <t xml:space="preserve">Mechanisms exist to identify and allocate resources for management, operational, technical and data protection requirements within business process planning for projects / initiatives.</t>
  </si>
  <si>
    <t xml:space="preserve">Does the organization identify and allocate resources for management, operational, technical and data protection requirements within business process planning for projects / initiatives?</t>
  </si>
  <si>
    <t xml:space="preserve">E-PRM-01, E-PRM-02</t>
  </si>
  <si>
    <t xml:space="preserve">The organization implements and operates mechanisms to identify and allocate resources for management, operational, technical and data protection requirements within business process planning for projects / initiatives.
Within the OT and AMI environment, this objective ensures OT and AMI projects (e.g., meter deployment, head-end upgrades, control system replacements) define and fund security requirements from initiation.</t>
  </si>
  <si>
    <t xml:space="preserve">The Chief Information Security Officer (CISO), in coordination with the OT Security Lead, is responsible for:
a. Ensuring the high-level cybersecurity / data privacy requirements for the system or system service are determined in mission and business process planning;
b. Ensuring the resources required to protect the system or system service are determined and documented as part of the organizational capital planning and investment control process;
c. Ensuring the resources required to protect the system or system service are allocated as part of the organizational capital planning and investment control process;
d. Ensuring a discrete line item for is established in organizational programming and budgeting documentation;
e. Defining security, compliance and resilience requirements, including target security levels, for OT and AMI projects at initiation; and
f.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</si>
  <si>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Cybersecurity road map; Prioritized list of cybersecurity expenses.
In-scope requirement alignment: NIST SP 800-82 R3 (Moderate OT overlay): SA-02 | DOE C2M2: ASSET-5b, THREAT-3b, RISK-5b, ACCESS-4b, SITUATION-4b, RESPONSE-5b, THIRD-PARTIES-3b, WORKFORCE-5b, ARCHITECTURE-6b, PROGRAM-3b | NIST CSF 2.0: GV.RR-03 | NIST SP 800-161 R1 C-SCRM: SA-2 | NIST SP 800-53B Privacy: SA-02.
Validation: Annual conformity validation; evidence artifacts E-PRM-01, E-PRM-02; PPTDF applicability: Process.</t>
  </si>
  <si>
    <t xml:space="preserve">SA-02</t>
  </si>
  <si>
    <t xml:space="preserve">ASSET-5b, THREAT-3b, RISK-5b, ACCESS-4b, SITUATION-4b, RESPONSE-5b, THIRD-PARTIES-3b, WORKFORCE-5b, ARCHITECTURE-6b, PROGRAM-3b</t>
  </si>
  <si>
    <t xml:space="preserve">SA-2</t>
  </si>
  <si>
    <t xml:space="preserve">∙ Cybersecurity road map
∙ Prioritized list of cybersecurity expenses</t>
  </si>
  <si>
    <t xml:space="preserve">PRM-04</t>
  </si>
  <si>
    <t xml:space="preserve">Security, Compliance &amp; Resilience In Project Management</t>
  </si>
  <si>
    <t xml:space="preserve">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</si>
  <si>
    <t xml:space="preserve">Does the organization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</si>
  <si>
    <t xml:space="preserve">E-PRM-03, E-PRM-05</t>
  </si>
  <si>
    <t xml:space="preserve">NIST SP 800-82 R3 - Moderate OT Overlay; CSA IoT Security Controls Framework v2; NIST SP 800-161 R1 - C-SCRM Baseline; NIST Privacy Framework 1.0; NIST SP 800-53B R5 - Privacy baseline</t>
  </si>
  <si>
    <t xml:space="preserve">The organization implements and operates mechanisms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
Within the OT and AMI environment, this objective ensures OT and AMI projects (e.g., meter deployment, head-end upgrades, control system replacements) define and fund security requirements from initiation.</t>
  </si>
  <si>
    <t xml:space="preserve">The Project Management Office (PMO), including OT and AMI program managers, is responsible for:
a. Ensuring controls are assessed in the system and its environment of operation per an organization-defined assessment frequency to determine the extent to which the controls are implemented correctly, operating as intended and producing the desired outcome with respect to meeting established cybersecurity / data privacy requirements;
b. Ensuring an appropriate assessor or assessment team is selected for the type of assessment to be conducted;
c. Ensuring a control assessment report is produced that documents the results of the assessment;
d. Ensuring the results of the control assessment are provided to individuals or roles;
e. Ensuring the frequency at which to assess controls in the system and its environment of operation is defined;
f. Ensuring individuals or roles to whom control assessment results are to be provided are defined;
g. Ensuring a control assessment plan is developed that describes the scope of the assessment, including controls and control enhancements under assessment;
h. Ensuring a control assessment plan is developed that describes the scope of the assessment, including assessment procedures to be used to determine control effectiveness;
i. Defining security, compliance and resilience requirements, including target security levels, for OT and AMI projects at initiation; and
j.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</si>
  <si>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Product / project management; Program Management Office (PMO).
In-scope requirement alignment: NIST SP 800-82 R3 (Moderate OT overlay): CA-02 | NIST SP 800-161 R1 C-SCRM: CA-2 | CSA IoT SCF: LGL-02 | NIST Privacy Framework: CT.PO-P1, CT.PO-P4, CM.AW-P3 | NIST SP 800-53B Privacy: CA-02.
Validation: Annual conformity validation; evidence artifacts E-PRM-03, E-PRM-05; PPTDF applicability: Process.</t>
  </si>
  <si>
    <t xml:space="preserve">LGL-02</t>
  </si>
  <si>
    <t xml:space="preserve">CT.PO-P1, CT.PO-P4, CM.AW-P3</t>
  </si>
  <si>
    <t xml:space="preserve">5.8</t>
  </si>
  <si>
    <t xml:space="preserve">∙ Product / project management
∙ Program Management Office (PMO)</t>
  </si>
  <si>
    <t xml:space="preserve">PRM-05</t>
  </si>
  <si>
    <t xml:space="preserve">Security, Compliance &amp; Resilience Requirements Definition</t>
  </si>
  <si>
    <t xml:space="preserve">Mechanisms exist to proactively govern Technology Assets, Applications and/or Services (TAAS) by:
(1) Defining technical security, compliance and resilience requirements; and
(2) Performing a criticality analysis at predefined decision points in the Secure Development Life Cycle (SDLC).</t>
  </si>
  <si>
    <t xml:space="preserve">Does the organization proactively govern Technology Assets, Applications and/or Services (TAAS) by:
(1) Defining technical security, compliance and resilience requirements; and
(2) Performing a criticality analysis at predefined decision points in the Secure Development Life Cycle (SDLC)?</t>
  </si>
  <si>
    <t xml:space="preserve">NIST SP 800-53B R5 - Moderate baseline; CSA IoT Security Controls Framework v2; NIST Privacy Framework 1.0; NIST SP 800-53B R5 - Privacy baseline</t>
  </si>
  <si>
    <t xml:space="preserve">The organization implements and operates mechanisms to proactively govern Technology Assets, Applications and/or Services (TAAS) by: (1) Defining technical security, compliance and resilience requirements; and (2) Performing a criticality analysis at predefined decision points in the Secure Development Life Cycle (SDLC).
Within the OT and AMI environment, this objective ensures OT and AMI projects (e.g., meter deployment, head-end upgrades, control system replacements) define and fund security requirements from initiation.</t>
  </si>
  <si>
    <t xml:space="preserve">IT Operations and OT Operations are jointly responsible for:
a. Ensuring systems, system components or system services to be analyzed for criticality are defined;
b. Ensuring decision points in the system development life cycle when a criticality analysis is to be performed are defined;
c. Ensuring critical system components and functions are identified by performing a criticality analysis for systems, system components or system services at decision points in the system development life cycle;
d. Defining security, compliance and resilience requirements, including target security levels, for OT and AMI projects at initiation; and
e.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</si>
  <si>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Defined technical requirements; Defined business requirements; System Development Lifecycle (SDLC) governance / oversight.
In-scope requirement alignment: NIST SP 800-53B Moderate: RA-09 | CSA IoT SCF: LGL-01, LGL-02, LGL-03, LGL-04, LGL-05, LGL-06, LGL-07, LGL-08 | NIST Privacy Framework: CT.PO-P1 | NIST SP 800-53B Privacy: RA-09.
Validation: Annual conformity validation; evidence artifacts E-PRM-03, E-PRM-05; PPTDF applicability: Process.</t>
  </si>
  <si>
    <t xml:space="preserve">RA-09</t>
  </si>
  <si>
    <t xml:space="preserve">LGL-01, LGL-02, LGL-03, LGL-04, LGL-05, LGL-06, LGL-07, LGL-08</t>
  </si>
  <si>
    <t xml:space="preserve">CT.PO-P1</t>
  </si>
  <si>
    <t xml:space="preserve">SG.RA Risk Management and Assessment</t>
  </si>
  <si>
    <t xml:space="preserve">5.8, 5.9, 8.26</t>
  </si>
  <si>
    <t xml:space="preserve">∙ Defined technical requirements
∙ Defined business requirements
∙ System Development Lifecycle (SDLC) governance / oversight</t>
  </si>
  <si>
    <t xml:space="preserve">PRM-06</t>
  </si>
  <si>
    <t xml:space="preserve">Business Process Definition</t>
  </si>
  <si>
    <t xml:space="preserve">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</si>
  <si>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 xml:space="preserve">Does the organization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</si>
  <si>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 xml:space="preserve">NIST SP 800-82 R3 - Moderate OT Overlay; DOE Cybersecurity Capability Maturity Model; CSA IoT Security Controls Framework v2; NIST Privacy Framework 1.0; NIST SP 800-53B R5 - Privacy baseline</t>
  </si>
  <si>
    <t xml:space="preserve">The organization implements and operates mechanisms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
Within the OT and AMI environment, this objective ensures OT and AMI projects (e.g., meter deployment, head-end upgrades, control system replacements) define and fund security requirements from initiation.</t>
  </si>
  <si>
    <t xml:space="preserve">OT Engineering and application development teams are responsible for:
a. Ensuring organizational mission and business processes are defined with consideration for cybersecurity / data privacy;
b. Ensuring organizational mission and business processes are defined with consideration for the resulting risk to organizational operations, organizational assets, individuals, other organizations and the Nation;
c. Ensuring the frequency at which to review and revise the mission and business processes is defined;
d. Ensuring information protection needs arising from the defined mission and business processes are determined;
e. Ensuring Personal Data (PD) processing needs arising from the defined mission and business processes are determined;
f. Ensuring the mission and business processes are reviewed and revised per an organization-defined frequency;
g. Defining security, compliance and resilience requirements, including target security levels, for OT and AMI projects at initiation; and
h.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</si>
  <si>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Defined business processes; Product / project management; Defined technical requirements; Defined business requirements; System Development Lifecycle (SDLC) governance / oversight.
In-scope requirement alignment: NIST SP 800-82 R3 (Moderate OT overlay): PM-11 | DOE C2M2: ASSET-2d | CSA IoT SCF: LGL-02, LGL-03, LGL-04, LGL-05, LGL-06, LGL-07, LGL-08 | NIST Privacy Framework: ID.IM-P5, ID.BE-P1, ID.BE-P3, GV.RM-P3, CT.PO-P1 | NIST SP 800-53B Privacy: PM-11.
Validation: Annual conformity validation; evidence artifacts E-PRM-03, E-PRM-05; PPTDF applicability: Process.</t>
  </si>
  <si>
    <t xml:space="preserve">PM-11</t>
  </si>
  <si>
    <t xml:space="preserve">ASSET-2d</t>
  </si>
  <si>
    <t xml:space="preserve">LGL-02, LGL-03, LGL-04, LGL-05, LGL-06, LGL-07, LGL-08</t>
  </si>
  <si>
    <t xml:space="preserve">ID.IM-P5, ID.BE-P1, ID.BE-P3, GV.RM-P3, CT.PO-P1</t>
  </si>
  <si>
    <t xml:space="preserve">∙ Defined business processes
∙ Product / project management
∙ Defined technical requirements
∙ Defined business requirements
∙ System Development Lifecycle (SDLC) governance / oversight</t>
  </si>
  <si>
    <t xml:space="preserve">PRM-07</t>
  </si>
  <si>
    <t xml:space="preserve">Secure Development Life Cycle (SDLC) Management</t>
  </si>
  <si>
    <t xml:space="preserve">Mechanisms exist to ensure changes to Technology Assets, Applications and/or Services (TAAS) within the Secure Development Life Cycle (SDLC) are controlled through formal change control procedures.</t>
  </si>
  <si>
    <t xml:space="preserve">Does the organization ensure changes to Technology Assets, Applications and/or Services (TAAS) within the Secure Development Life Cycle (SDLC) are controlled through formal change control procedures?</t>
  </si>
  <si>
    <t xml:space="preserve">E-PRM-03</t>
  </si>
  <si>
    <t xml:space="preserve">The organization implements and operates mechanisms to ensure changes to Technology Assets, Applications and/or Services (TAAS) within the Secure Development Life Cycle (SDLC) are controlled through formal change control procedures.
Within the OT and AMI environment, this objective ensures OT and AMI projects (e.g., meter deployment, head-end upgrades, control system replacements) define and fund security requirements from initiation.</t>
  </si>
  <si>
    <t xml:space="preserve">OT Engineering and application development teams are responsible for:
a. Ensuring system development life cycle is defined;
b. Ensuring the system is acquired, developed and managed using organization-defined system-development life cycle that incorporates information cybersecurity / data privacy considerations;
c. Ensuring cybersecurity / data privacy roles and responsibilities are defined and documented throughout the system development life cycle;
d. Ensuring individuals with cybersecurity / data privacy roles and responsibilities are identified;
e. Ensuring organizational cybersecurity / data privacy risk management processes are integrated into system development life cycle activities;
f. Ensuring system pre-production environments are protected commensurate with risk throughout the system development life cycle for the system, system component or system service;
g. Ensuring systems or system components that implement the security design principle of procedural rigor are defined;
h. Ensuring systems or system components implement the security design principle of procedural rigor;
i. Defining security, compliance and resilience requirements, including target security levels, for OT and AMI projects at initiation; and
j.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</si>
  <si>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Defined business processes; Product / project management; Defined technical requirements; Defined business requirements; System Development Lifecycle (SDLC) governance / oversight.
In-scope requirement alignment: NIST SP 800-82 R3 (Moderate OT overlay): SA-03 | NIST CSF 2.0: GV.SC-09, ID.AM-08, PR.PS-02, PR.PS-03 | NIST SP 800-161 R1 C-SCRM: SA-3 | CSA IoT SCF: LGL-02, LGL-03, LGL-04, LGL-05, LGL-06, LGL-07, POL-04 | NIST Privacy Framework: CT.PO-P1, CT.PO-P4, CM.AW-P3 | NIST SP 800-53B Privacy: SA-03, SA-03(01), SA-08(30).
Validation: Annual conformity validation; evidence artifacts E-PRM-03; PPTDF applicability: Process.</t>
  </si>
  <si>
    <t xml:space="preserve">SA-03, SA-03(01), SA-08(30)</t>
  </si>
  <si>
    <t xml:space="preserve">SA-03</t>
  </si>
  <si>
    <t xml:space="preserve">GV.SC-09, ID.AM-08, PR.PS-02, PR.PS-03</t>
  </si>
  <si>
    <t xml:space="preserve">SA-3</t>
  </si>
  <si>
    <t xml:space="preserve">LGL-02, LGL-03, LGL-04, LGL-05, LGL-06, LGL-07, POL-04</t>
  </si>
  <si>
    <t xml:space="preserve">5.8, 8.25, 8.32</t>
  </si>
  <si>
    <t xml:space="preserve">PRM-08</t>
  </si>
  <si>
    <t xml:space="preserve">Manage Organizational Knowledge</t>
  </si>
  <si>
    <t xml:space="preserve">Mechanisms exist to manage the organizational knowledge of the security, compliance and resilience staff.</t>
  </si>
  <si>
    <t xml:space="preserve">Does the organization manage the organizational knowledge of the security, compliance and resilience staff?</t>
  </si>
  <si>
    <t xml:space="preserve">The organization implements and operates mechanisms to manage the organizational knowledge of the security, compliance and resilience staff.
Within the OT and AMI environment, this objective ensures OT and AMI projects (e.g., meter deployment, head-end upgrades, control system replacements) define and fund security requirements from initiation.</t>
  </si>
  <si>
    <t xml:space="preserve">The Project Management Office (PMO), including OT and AMI program managers, is responsible for:
a. Ensuring critical organizational knowledge is defined;
b. Ensuring organizational knowledge of the cybersecurity / data privacy staff is documented;
c. Ensuring cross-training is performed to maintain organizational knowledge;
d. Defining security, compliance and resilience requirements, including target security levels, for OT and AMI projects at initiation; and
e.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</si>
  <si>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Enterprise PPM platform with security integration; Dedicated security architects; Security portfolio risk management.
In-scope requirement alignment: CISA CPG: 1.D.
Validation: Annual conformity validation; evidence artifacts to be defined; PPTDF applicability: Process.</t>
  </si>
  <si>
    <t xml:space="preserve">RSK-01</t>
  </si>
  <si>
    <t xml:space="preserve">Risk Management Program</t>
  </si>
  <si>
    <t xml:space="preserve">Risk Management</t>
  </si>
  <si>
    <t xml:space="preserve">RSK</t>
  </si>
  <si>
    <t xml:space="preserve">Mechanisms exist to facilitate the implementation of strategic, operational and tactical risk management controls that are aligned with:
(1) The organization's Enterprise Risk Management (ERM); and
(2) Industry-recognized cybersecurity risk management practices.</t>
  </si>
  <si>
    <t xml:space="preserve">Does the organization facilitate the implementation of strategic, operational and tactical risk management controls that are aligned with:
(1) its Enterprise Risk Management (ERM); and
(2) Industry-recognized cybersecurity risk management practices?</t>
  </si>
  <si>
    <t xml:space="preserve">E-RSK-01</t>
  </si>
  <si>
    <t xml:space="preserve">IEC 62443-2-1:2024; NIST SP 800-82 R3 - Moderate OT Overlay; NERC CIP; NIST Cybersecurity Framework 2.0; DOE Cybersecurity Capability Maturity Model; CSA IoT Security Controls Framework v2; NIST SP 800-161 R1 - C-SCRM Baseline; NIST Privacy Framework 1.0; NIST SP 800-53B R5 - Privacy baseline</t>
  </si>
  <si>
    <t xml:space="preserve">Enterprise Risk Manager</t>
  </si>
  <si>
    <t xml:space="preserve">OT Risk Lead (zone and conduit risk assessments)</t>
  </si>
  <si>
    <t xml:space="preserve">Risk assessment consultants; cyber insurance carrier</t>
  </si>
  <si>
    <t xml:space="preserve">The organization shall proactively identify, assess, prioritize and treat cyber risks to enterprise IT, OT and AMI systems using a consistent methodology that recognizes safety, reliability, regulatory and customer consequences. OT and AMI risk assessments shall follow the ISA/IEC 62443-3-2 zone and conduit approach to establish target security levels and shall be approved by accountable asset owners.</t>
  </si>
  <si>
    <t xml:space="preserve">The organization develops, implements and governs processes and documentation to facilitate the implementation of strategic, operational and tactical risk management controls that are aligned with: (1) The organization's Enterprise Risk Management (ERM); and (2) Industry-recognized cybersecurity risk management practices, as well as associated standards, controls and procedures, across enterprise IT, Operational Technology (OT) and Advanced Metering Infrastructure (AMI) environments.
Within the OT and AMI environment, this objective applies the ISA/IEC 62443-3-2 risk assessment workflow to OT and AMI zones and conduits, establishing target security levels and documented risk treatment approved by accountable asset owners.</t>
  </si>
  <si>
    <t xml:space="preserve">The Chief Information Security Officer (CISO), in coordination with the OT Security Lead, is responsible for:
a. Ensuring a comprehensive strategy is developed to manage cybersecurity / data privacy risk to organizational operations and assets, individuals and other organizations associated with the operation and use of organizational systems;
b. Ensuring the risk management strategy is implemented consistently across the organization;
c. Ensuring a senior organizational position for Risk Management aligns cybersecurity / data privacy management processes with strategic, operational and budgetary planning processes;
d. Ensuring for existing facilities, physical and environmental hazards are considered in the organizational risk management strategy;
e. Ensuring risk management operations are conducted according to documented policies, standards, procedures and/or other organizational directives;
f. Ensuring adequate resources (e.g., people, processes, technologies, data and/or facilities) are provided to support risk management operations;
g. Ensuring responsibility and authority for the performance of risk management-related activities are assigned to designated personnel;
h. Ensuring personnel performing risk management-related activities have the skills and knowledge needed to perform their assigned duties;
i. Performing initial and detailed cyber security risk assessments for OT and AMI systems under consideration using the corporate risk matrix and consequence scales that include safety, reliability, environmental, financial and regulatory impact;
j. Establishing and documenting a target security level (SL-T) for each OT and AMI zone and conduit and recording residual risk and treatment decisions in the risk register; and
k.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</si>
  <si>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IEC 62443-2-1: ORG 2.1 | NIST SP 800-82 R3 (Moderate OT overlay): PM-09, PM-29, RA-01 | NERC CIP: CIP-013-2 1.1 | DOE C2M2: RISK-1b, RISK-1c, RISK-1d, RISK-1g, RISK-1h | NIST CSF 2.0: GV, GV.RM, GV.RM-01, GV.RM-03, GV.RM-04, GV.RM-06, GV.RR-01, GV.OV-02, GV.OV-03, GV.SC, GV.SC-01, GV.SC-03, GV.SC-05, GV.SC-09, ID, ID.RA, ID.IM, PR, PR.IR | NIST SP 800-161 R1 C-SCRM: RA-1 | CSA IoT SCF: RSM-01, RSM-02 | NIST Privacy Framework: ID.RA-P, ID.DE-P, ID.DE-P1, GV.PO-P6, GV.RM-P, GV.RM-P1 | NIST SP 800-53B Privacy: PM-09, PM-29, RA-01.
Validation: Annual conformity validation; evidence artifacts E-RSK-01; PPTDF applicability: Process.</t>
  </si>
  <si>
    <t xml:space="preserve">ORG 2.1</t>
  </si>
  <si>
    <t xml:space="preserve">PM-09, PM-29, RA-01</t>
  </si>
  <si>
    <t xml:space="preserve">CIP-013-2 1.1</t>
  </si>
  <si>
    <t xml:space="preserve">RISK-1b, RISK-1c, RISK-1d, RISK-1g, RISK-1h</t>
  </si>
  <si>
    <t xml:space="preserve">GV, GV.RM, GV.RM-01, GV.RM-03, GV.RM-04, GV.RM-06, GV.RR-01, GV.OV-02, GV.OV-03, GV.SC, GV.SC-01, GV.SC-03, GV.SC-05, GV.SC-09, ID, ID.RA, ID.IM, PR, PR.IR</t>
  </si>
  <si>
    <t xml:space="preserve">RA-1</t>
  </si>
  <si>
    <t xml:space="preserve">RSM-01, RSM-02</t>
  </si>
  <si>
    <t xml:space="preserve">ID.RA-P, ID.DE-P, ID.DE-P1, GV.PO-P6, GV.RM-P, GV.RM-P1</t>
  </si>
  <si>
    <t xml:space="preserve">SG.PM Security Program Management; SG.RA Risk Management and Assessment</t>
  </si>
  <si>
    <t xml:space="preserve">6.1.1, 6.1.1(a), 6.1.1(b), 6.1.1(c), 6.1.1(d), 6.1.1(e)(1), 6.1.1(e)(2), 6.1.2, 6.1.2(a), 6.1.2(a)(1), 6.1.2(a)(2), 6.1.2(b), 6.1.2(c), 6.1.2(c)(1), 6.1.2(c)(2), 6.1.2(d), 6.1.2(d)(1), 6.1.2(d)(2), 6.1.2(d)(3), 6.1.2(e), 6.1.2(e)(1), 6.1.2(e)(2), 8.2</t>
  </si>
  <si>
    <t xml:space="preserve">7.5</t>
  </si>
  <si>
    <t xml:space="preserve">∙ Risk Management Program (RMP)</t>
  </si>
  <si>
    <t xml:space="preserve">RSK-01.1</t>
  </si>
  <si>
    <t xml:space="preserve">Risk Framing</t>
  </si>
  <si>
    <t xml:space="preserve">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</si>
  <si>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 xml:space="preserve">Does the organization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</si>
  <si>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 xml:space="preserve">E-RSK-01, E-RSK-06, E-RSK-07, E-RSK-08</t>
  </si>
  <si>
    <t xml:space="preserve">NIST SP 800-82 R3 - Moderate OT Overlay; NIST Cybersecurity Framework 2.0; DOE Cybersecurity Capability Maturity Model; CSA IoT Security Controls Framework v2; NIST Privacy Framework 1.0; NIST SP 800-53B R5 - Privacy baseline</t>
  </si>
  <si>
    <t xml:space="preserve">The organization implements and operates mechanisms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</si>
  <si>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the personnel to receive the results of risk framing activities is/are defined;
b. Ensuring the frequency for reviewing and updating risk framing considerations is defined;
c. Ensuring assumptions affecting risk assessments are identified and documented;
d. Ensuring assumptions affecting risk responses are identified and documented;
e. Ensuring assumptions affecting risk monitoring are identified and documented;
f. Ensuring constraints affecting risk assessments are identified and documented;
g. Ensuring constraints affecting risk responses are identified and documented;
h. Ensuring constraints affecting risk monitoring are identified and documented;
i. Performing initial and detailed cyber security risk assessments for OT and AMI systems under consideration using the corporate risk matrix and consequence scales that include safety, reliability, environmental, financial and regulatory impact;
j. Establishing and documenting a target security level (SL-T) for each OT and AMI zone and conduit and recording residual risk and treatment decisions in the risk register; and
k.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</si>
  <si>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NIST SP 800-82 R3 (Moderate OT overlay): PM-28 | DOE C2M2: RISK-2m, RISK-3b, SITUATION-2h | NIST CSF 2.0: GV.OC-01, GV.RM, GV.RM-04, GV.RM-06, GV.RM-07, ID, ID.RA-05, ID.RA-06 | CSA IoT SCF: RSM-01, RSM-02 | NIST Privacy Framework: GV.RM-P3 | NIST SP 800-53B Privacy: PM-28.
Validation: Annual conformity validation; evidence artifacts E-RSK-01, E-RSK-06, E-RSK-07, E-RSK-08; PPTDF applicability: Process.</t>
  </si>
  <si>
    <t xml:space="preserve">PM-28</t>
  </si>
  <si>
    <t xml:space="preserve">RISK-2m, RISK-3b, SITUATION-2h</t>
  </si>
  <si>
    <t xml:space="preserve">GV.OC-01, GV.RM, GV.RM-04, GV.RM-06, GV.RM-07, ID, ID.RA-05, ID.RA-06</t>
  </si>
  <si>
    <t xml:space="preserve">GV.RM-P3</t>
  </si>
  <si>
    <t xml:space="preserve">6.1.2, 6.1.2(a), 6.1.2(a)(1), 6.1.2(a)(2), 6.1.2(b), 6.1.2(c), 6.1.2(c)(1), 6.1.2(c)(2), 6.1.2(d), 6.1.2(d)(1), 6.1.2(d)(2), 6.1.2(d)(3), 6.1.2(e), 6.1.2(e)(1), 6.1.2(e)(2)</t>
  </si>
  <si>
    <t xml:space="preserve">RSK-01.3</t>
  </si>
  <si>
    <t xml:space="preserve">Risk Tolerance</t>
  </si>
  <si>
    <t xml:space="preserve">Mechanisms exist to define organizational risk tolerance, the specified range of acceptable results.</t>
  </si>
  <si>
    <t xml:space="preserve">Does the organization define organizational risk tolerance, the specified range of acceptable results?</t>
  </si>
  <si>
    <t xml:space="preserve">E-RSK-06</t>
  </si>
  <si>
    <t xml:space="preserve">IEC 62443-2-1:2024; NIST Cybersecurity Framework 2.0; NIST Privacy Framework 1.0; ANSI/ISA-62443-3-2:2020</t>
  </si>
  <si>
    <t xml:space="preserve">The organization implements and operates mechanisms to define organizational risk tolerance, the specified range of acceptable results.
Within the OT and AMI environment, this objective applies the ISA/IEC 62443-3-2 risk assessment workflow to OT and AMI zones and conduits, establishing target security levels and documented risk treatment approved by accountable asset owners.</t>
  </si>
  <si>
    <t xml:space="preserve">Executive leadership, including the executive accountable for OT and AMI operations, is responsible for:
a. Ensuring an executive steering committee, or advisory board, defines the organization's risk tolerance;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</si>
  <si>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Defined risk tolerance.
In-scope requirement alignment: IEC 62443-2-1: ORG 2.1 | NIST CSF 2.0: GV.RM, GV.RM-02, GV.RR-01 | NIST Privacy Framework: GV.RM-P2 | ISA/IEC 62443-3-2: ZCR 4.1, ZCR 5.7, ZCR 5.11, ZCR 6.8.
Validation: Annual conformity validation; evidence artifacts E-RSK-06; PPTDF applicability: Process.</t>
  </si>
  <si>
    <t xml:space="preserve">ZCR 4.1, ZCR 5.7, ZCR 5.11, ZCR 6.8</t>
  </si>
  <si>
    <t xml:space="preserve">GV.RM, GV.RM-02, GV.RR-01</t>
  </si>
  <si>
    <t xml:space="preserve">GV.RM-P2</t>
  </si>
  <si>
    <t xml:space="preserve">∙ Risk Management Program (RMP)
∙ Defined risk tolerance</t>
  </si>
  <si>
    <t xml:space="preserve">RSK-01.4</t>
  </si>
  <si>
    <t xml:space="preserve">Risk Threshold</t>
  </si>
  <si>
    <t xml:space="preserve">Mechanisms exist to define organizational risk threshold, the level of risk exposure above which risks are addressed and below which risks may be accepted.</t>
  </si>
  <si>
    <t xml:space="preserve">Does the organization define organizational risk threshold, the level of risk exposure above which risks are addressed and below which risks may be accepted?</t>
  </si>
  <si>
    <t xml:space="preserve">E-RSK-07</t>
  </si>
  <si>
    <t xml:space="preserve">The organization implements and operates mechanisms to define organizational risk threshold, the level of risk exposure above which risks are addressed and below which risks may be accepted.
Within the OT and AMI environment, this objective applies the ISA/IEC 62443-3-2 risk assessment workflow to OT and AMI zones and conduits, establishing target security levels and documented risk treatment approved by accountable asset owners.</t>
  </si>
  <si>
    <t xml:space="preserve">Executive leadership, including the executive accountable for OT and AMI operations, is responsible for:
a. Ensuring an executive steering committee, or advisory board, defines the organization's risk threshold;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</si>
  <si>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Defined risk threshold.
In-scope requirement alignment: NIST CSF 2.0: GV.RR-01 | ISA/IEC 62443-3-2: ZCR 4.1.
Validation: Annual conformity validation; evidence artifacts E-RSK-07; PPTDF applicability: Process.</t>
  </si>
  <si>
    <t xml:space="preserve">ZCR 4.1</t>
  </si>
  <si>
    <t xml:space="preserve">GV.RR-01</t>
  </si>
  <si>
    <t xml:space="preserve">∙ Risk Management Program (RMP)
∙ Defined risk threshold</t>
  </si>
  <si>
    <t xml:space="preserve">RSK-01.5</t>
  </si>
  <si>
    <t xml:space="preserve">Risk Appetite</t>
  </si>
  <si>
    <t xml:space="preserve">Mechanisms exist to define organizational risk appetite, the degree of uncertainty the organization is willing to accept in anticipation of a reward.</t>
  </si>
  <si>
    <t xml:space="preserve">Does the organization define organizational risk appetite, the degree of uncertainty the organization is willing to accept in anticipation of a reward?</t>
  </si>
  <si>
    <t xml:space="preserve">E-RSK-08</t>
  </si>
  <si>
    <t xml:space="preserve">NIST Cybersecurity Framework 2.0; NIST Privacy Framework 1.0; ANSI/ISA-62443-3-2:2020</t>
  </si>
  <si>
    <t xml:space="preserve">The organization implements and operates mechanisms to define organizational risk appetite, the degree of uncertainty the organization is willing to accept in anticipation of a reward.
Within the OT and AMI environment, this objective applies the ISA/IEC 62443-3-2 risk assessment workflow to OT and AMI zones and conduits, establishing target security levels and documented risk treatment approved by accountable asset owners.</t>
  </si>
  <si>
    <t xml:space="preserve">Executive leadership, including the executive accountable for OT and AMI operations, is responsible for:
a. Ensuring an executive steering committee, or advisory board, defines the organization's risk appetite;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</si>
  <si>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Defined risk tolerance.
In-scope requirement alignment: NIST CSF 2.0: GV.RM, GV.RM-02, GV.RR-01 | NIST Privacy Framework: GV.RM-P3 | ISA/IEC 62443-3-2: ZCR 6.8.
Validation: Annual conformity validation; evidence artifacts E-RSK-08; PPTDF applicability: Process.</t>
  </si>
  <si>
    <t xml:space="preserve">ZCR 6.8</t>
  </si>
  <si>
    <t xml:space="preserve">RSK-02</t>
  </si>
  <si>
    <t xml:space="preserve">Risk-Based Security Categorization</t>
  </si>
  <si>
    <t xml:space="preserve">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</si>
  <si>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 xml:space="preserve">Does the organization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</si>
  <si>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 xml:space="preserve">E-RSK-01, E-RSK-04, E-BCM-08, E-TPM-02</t>
  </si>
  <si>
    <t xml:space="preserve">NIST SP 800-82 R3 - Moderate OT Overlay; NIST Cybersecurity Framework 2.0; DOE Cybersecurity Capability Maturity Model; CSA IoT Security Controls Framework v2; NIST SP 800-161 R1 - C-SCRM Baseline; ANSI/ISA-62443-3-2:2020</t>
  </si>
  <si>
    <t xml:space="preserve">The organization implements and operates mechanisms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</si>
  <si>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systems, applications, services and the information processed, stored and/or transmitted are categorized;
b. Ensuring the security categorization results, including supporting rationale, are documented in the security plan for the system;
c. Ensuring the authorizing official or authorizing official designated representative reviews and approves the security categorization decision;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</si>
  <si>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NIST SP 800-82 R3 (Moderate OT overlay): RA-02 | DOE C2M2: RISK-2d, RISK-2i, RISK-3a | NIST CSF 2.0: ID.AM | NIST SP 800-161 R1 C-SCRM: RA-2 | CSA IoT SCF: RSM-01, RSM-02 | ISA/IEC 62443-3-2: ZCR 2.1, ZCR 5.6.
Validation: Annual conformity validation; evidence artifacts E-RSK-01, E-RSK-04, E-BCM-08, E-TPM-02; PPTDF applicability: Process.</t>
  </si>
  <si>
    <t xml:space="preserve">ZCR 2.1, ZCR 5.6</t>
  </si>
  <si>
    <t xml:space="preserve">RA-02</t>
  </si>
  <si>
    <t xml:space="preserve">RISK-2d, RISK-2i, RISK-3a</t>
  </si>
  <si>
    <t xml:space="preserve">RA-2</t>
  </si>
  <si>
    <t xml:space="preserve">6.1.2(d)(3)</t>
  </si>
  <si>
    <t xml:space="preserve">RSK-02.1</t>
  </si>
  <si>
    <t xml:space="preserve">Impact-Level Prioritization</t>
  </si>
  <si>
    <t xml:space="preserve">Mechanisms exist to prioritize the impact level for Technology Assets, Applications and/or Services (TAAS) to prevent potential disruptions.</t>
  </si>
  <si>
    <t xml:space="preserve">Does the organization prioritize the impact level for Technology Assets, Applications and/or Services (TAAS) to prevent potential disruptions?</t>
  </si>
  <si>
    <t xml:space="preserve">E-BCM-08, E-RSK-04, E-TPM-02</t>
  </si>
  <si>
    <t xml:space="preserve">NERC CIP; NIST Cybersecurity Framework 2.0; CSA IoT Security Controls Framework v2; ANSI/ISA-62443-3-2:2020</t>
  </si>
  <si>
    <t xml:space="preserve">The organization implements and operates mechanisms to prioritize the impact level for Technology Assets, Applications and/or Services (TAAS) to prevent potential disruptions.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</si>
  <si>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an impact-level prioritization of organizational systems is conducted to obtain additional granularity on system impact levels;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</si>
  <si>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NERC CIP: CIP-002-5.1a 1.1, CIP-002-5.1a 1.2, CIP-002-5.1a 1.3 | NIST CSF 2.0: ID.RA-05, ID.RA-06 | CSA IoT SCF: RSM-01, RSM-02 | ISA/IEC 62443-3-2: ZCR 2.1, ZCR 5.3.
Validation: Annual conformity validation; evidence artifacts E-BCM-08, E-RSK-04, E-TPM-02; PPTDF applicability: Process.</t>
  </si>
  <si>
    <t xml:space="preserve">ZCR 2.1, ZCR 5.3</t>
  </si>
  <si>
    <t xml:space="preserve">RA-02(01)</t>
  </si>
  <si>
    <t xml:space="preserve">CIP-002-5.1a 1.1, CIP-002-5.1a 1.2, CIP-002-5.1a 1.3</t>
  </si>
  <si>
    <t xml:space="preserve">ID.RA-05, ID.RA-06</t>
  </si>
  <si>
    <t xml:space="preserve">RSK-03</t>
  </si>
  <si>
    <t xml:space="preserve">Risk Identification</t>
  </si>
  <si>
    <t xml:space="preserve">Mechanisms exist to identify and document risks, both internal and external.</t>
  </si>
  <si>
    <t xml:space="preserve">Does the organization identify and document risks, both internal and external?</t>
  </si>
  <si>
    <t xml:space="preserve">E-RSK-04</t>
  </si>
  <si>
    <t xml:space="preserve">NIST Cybersecurity Framework 2.0; DOE Cybersecurity Capability Maturity Model; CSA IoT Security Controls Framework v2</t>
  </si>
  <si>
    <t xml:space="preserve">The organization implements and operates mechanisms to identify and document risks, both internal and external.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</si>
  <si>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process exists to identify applicable internal and external risks;
b. Ensuring applicable internal and external risks are documented;
c. Ensuring the risk (including supply chain risk) of unauthorized disclosure resulting from the processing, storage, or transmission of sensitive / regulated data is assessed;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</si>
  <si>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DOE C2M2: RISK-2a, RISK-2b, RISK-2c, RISK-2g, RISK-2m | NIST CSF 2.0: ID | CSA IoT SCF: RSM-01.
Validation: Annual conformity validation; evidence artifacts E-RSK-04; PPTDF applicability: Process.</t>
  </si>
  <si>
    <t xml:space="preserve">RISK-2a, RISK-2b, RISK-2c, RISK-2g, RISK-2m</t>
  </si>
  <si>
    <t xml:space="preserve">ID</t>
  </si>
  <si>
    <t xml:space="preserve">6.1.2(c), 6.1.2(c)(1), 6.1.2(c)(2)</t>
  </si>
  <si>
    <t xml:space="preserve">RSK-03.1</t>
  </si>
  <si>
    <t xml:space="preserve">Risk Catalog</t>
  </si>
  <si>
    <t xml:space="preserve">Mechanisms exist to develop and keep current a catalog of applicable risks associated with the organization's business operations and technologies in use.</t>
  </si>
  <si>
    <t xml:space="preserve">Does the organization develop and keep current a catalog of applicable risks associated with its business operations and technologies in use?</t>
  </si>
  <si>
    <t xml:space="preserve">E-RSK-09</t>
  </si>
  <si>
    <t xml:space="preserve">The organization implements and operates mechanisms to develop and keep current a catalog of applicable risks associated with the organization's business operations and technologies in use.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</si>
  <si>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risk catalog, or similar solution, exists that keeps current a catalog of applicable risks associated with the organization's business operations and technologies in use;
b. Ensuring the risk (including supply chain risk) of unauthorized disclosure resulting from the processing, storage, or transmission of sensitive / regulated data is assessed;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</si>
  <si>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Documented risk catalog.
In-scope requirement alignment: DOE C2M2: RISK-2e, RISK-2j | NIST CSF 2.0: ID.
Validation: Annual conformity validation; evidence artifacts E-RSK-09; PPTDF applicability: Process.</t>
  </si>
  <si>
    <t xml:space="preserve">RISK-2e, RISK-2j</t>
  </si>
  <si>
    <t xml:space="preserve">∙ Risk Management Program (RMP)
∙ Documented risk catalog</t>
  </si>
  <si>
    <t xml:space="preserve">RSK-04</t>
  </si>
  <si>
    <t xml:space="preserve">Risk Assessment</t>
  </si>
  <si>
    <t xml:space="preserve">Mechanisms exist to conduct recurring assessments of risk that includes the likelihood and magnitude of harm, from unauthorized access, use, disclosure, disruption, modification or destruction of the organization's Technology Assets, Applications, Services and/or Data (TAASD).</t>
  </si>
  <si>
    <t xml:space="preserve">Does the organization conduct recurring assessments of risk that includes the likelihood and magnitude of harm, from unauthorized access, use, disclosure, disruption, modification or destruction of its Technology Assets, Applications, Services and/or Data (TAASD)?</t>
  </si>
  <si>
    <t xml:space="preserve">The organization implements and operates mechanisms to conduct recurring assessments of risk that includes the likelihood and magnitude of harm, from unauthorized access, use, disclosure, disruption, modification or destruction of the organization's Technology Assets, Applications, Services and/or Data (TAASD).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</si>
  <si>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the frequency to assess risk to organizational operations, organizational assets and individuals is defined;
b. Ensuring a document in which risk assessment results are to be documented (if not documented in the cybersecurity / data privacy plans or risk assessment report) is defined;
c. Ensuring a risk assessment is conducted to determine the likelihood and magnitude of harm from unauthorized access, use, disclosure, disruption, modification or destruction of the system, the information it processes, stores or transmits and any related information;
d. Ensuring personnel or roles to whom risk assessment results are to be disseminated is/are defined;
e. Ensuring risk assessment results are disseminated to personnel or roles;
f. Ensuring risk to organizational operations, organizational assets and individuals resulting from the operation of an organizational system that processes, stores or transmits sensitive / regulated data is assessed with the defined frequency;
g. Ensuring the frequency to update the risk assessment is defined;
h. Ensuring the frequency to review risk assessment results is defined;
i. Performing initial and detailed cyber security risk assessments for each OT and AMI system under consideration following the ISA/IEC 62443-3-2 workflow (ZCR 2 through ZCR 5); and
j. Using consequence scales that include personnel safety, reliability and service delivery, environmental, financial, regulatory and customer impact.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</si>
  <si>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assessment; Business Impact Analysis (BIA); Data Protection Impact Assessment (DPIA).
In-scope requirement alignment: NIST SP 800-82 R3 (Moderate OT overlay): RA-03 | NERC CIP: CIP-004-7 R3 | DOE C2M2: RISK-2g | NIST CSF 2.0: GV.RM-06, ID, ID.RA-01, ID.RA-05 | NIST SP 800-161 R1 C-SCRM: RA-3 | CSA IoT SCF: RSM-01 | NIST Privacy Framework: ID.DE-P5, GV.MT-P1 | NIST SP 800-53B Privacy: RA-03 | ISA/IEC 62443-3-2: ZCR 2.1, ZCR 5.5, ZCR 5.9.
Validation: Annual conformity validation; evidence artifacts E-RSK-04; PPTDF applicability: Process.</t>
  </si>
  <si>
    <t xml:space="preserve">ZCR 2.1, ZCR 5.5, ZCR 5.9</t>
  </si>
  <si>
    <t xml:space="preserve">RA-03</t>
  </si>
  <si>
    <t xml:space="preserve">CIP-004-7 R3</t>
  </si>
  <si>
    <t xml:space="preserve">RISK-2g</t>
  </si>
  <si>
    <t xml:space="preserve">GV.RM-06, ID, ID.RA-01, ID.RA-05</t>
  </si>
  <si>
    <t xml:space="preserve">RA-3</t>
  </si>
  <si>
    <t xml:space="preserve">ID.DE-P5, GV.MT-P1</t>
  </si>
  <si>
    <t xml:space="preserve">6.1.2(d), 6.1.2(d)(1), 6.1.2(d)(2), 6.1.2(d)(3), 6.1.2(e), 6.1.2(e)(1), 6.1.2(e)(2), 8.2</t>
  </si>
  <si>
    <t xml:space="preserve">5.8, 7.5</t>
  </si>
  <si>
    <t xml:space="preserve">∙ Risk Management Program (RMP)
∙ Risk assessment
∙ Business Impact Analysis (BIA)
∙ Data Protection Impact Assessment (DPIA)</t>
  </si>
  <si>
    <t xml:space="preserve">RSK-04.1</t>
  </si>
  <si>
    <t xml:space="preserve">Risk Register</t>
  </si>
  <si>
    <t xml:space="preserve">Mechanisms exist to maintain a risk register that facilitates monitoring and reporting of risks.</t>
  </si>
  <si>
    <t xml:space="preserve">Does the organization maintain a risk register that facilitates monitoring and reporting of risks?</t>
  </si>
  <si>
    <t xml:space="preserve">NIST Cybersecurity Framework 2.0; DOE Cybersecurity Capability Maturity Model; ANSI/ISA-62443-3-2:2020</t>
  </si>
  <si>
    <t xml:space="preserve">The organization implements and operates mechanisms to maintain a risk register that facilitates monitoring and reporting of risks.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</si>
  <si>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risk register is maintained to facilitate the monitoring and reporting of risks; and
b. Recording OT and AMI zone and conduit risks, target security levels, residual risk and treatment decisions in the risk register.</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</si>
  <si>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DOE C2M2: RISK-2e, RISK-2f, RISK-3f | NIST CSF 2.0: GV.RM-06, ID, ID.RA-01 | ISA/IEC 62443-3-2: ZCR 5.10, ZCR 5.13.
Validation: Semi-Annual conformity validation; evidence artifacts E-RSK-03; PPTDF applicability: Process.</t>
  </si>
  <si>
    <t xml:space="preserve">ZCR 5.10, ZCR 5.13</t>
  </si>
  <si>
    <t xml:space="preserve">RISK-2e, RISK-2f, RISK-3f</t>
  </si>
  <si>
    <t xml:space="preserve">GV.RM-06, ID, ID.RA-01</t>
  </si>
  <si>
    <t xml:space="preserve">∙ Risk Management Program (RMP)
∙ Risk register
∙ Plan of Action &amp; Milestones (POA&amp;M)</t>
  </si>
  <si>
    <t xml:space="preserve">RSK-04.2</t>
  </si>
  <si>
    <t xml:space="preserve">Risk Assessment Methodology</t>
  </si>
  <si>
    <t xml:space="preserve">Mechanisms exist to implement a risk assessment methodology to ensure coverage for organizational components relevant for secure, compliant and resilient operations.</t>
  </si>
  <si>
    <t xml:space="preserve">Does the organization implement a risk assessment methodology to ensure coverage for organizational components relevant for secure, compliant and resilient operations?</t>
  </si>
  <si>
    <t xml:space="preserve">DOE Cybersecurity Capability Maturity Model; ANSI/ISA-62443-3-2:2020</t>
  </si>
  <si>
    <t xml:space="preserve">The organization implements and operates mechanisms to implement a risk assessment methodology to ensure coverage for organizational components relevant for secure, compliant and resilient operations.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</si>
  <si>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risk assessment methodology that can cover the organization's components relevant for secure, compliant and resilient operations is defined;
b. Ensuring a risk assessment methodology that covers the organization's components relevant for secure, compliant and resilient operations is implemented;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</si>
  <si>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integrated privacy and security risk management platform; Automated DPIA workflows.
In-scope requirement alignment: DOE C2M2: RISK-2g, RISK-3c, RISK-3d, RISK-3e, RISK-4b | ISA/IEC 62443-3-2: ZCR 2.1, ZCR 5.4.
Validation: Annual conformity validation; evidence artifacts to be defined; PPTDF applicability: Process.</t>
  </si>
  <si>
    <t xml:space="preserve">ZCR 2.1, ZCR 5.4</t>
  </si>
  <si>
    <t xml:space="preserve">RISK-2g, RISK-3c, RISK-3d, RISK-3e, RISK-4b</t>
  </si>
  <si>
    <t xml:space="preserve">∙ Enterprise integrated privacy and security risk management platform
∙ Automated DPIA workflows</t>
  </si>
  <si>
    <t xml:space="preserve">RSK-04.3</t>
  </si>
  <si>
    <t xml:space="preserve">Instances Requiring A Risk Assessment</t>
  </si>
  <si>
    <t xml:space="preserve">Mechanisms exist to define instances that require a risk assessment to be performed.</t>
  </si>
  <si>
    <t xml:space="preserve">Does the organization define instances that require a risk assessment to be performed?</t>
  </si>
  <si>
    <t xml:space="preserve">E-RSK-15</t>
  </si>
  <si>
    <t xml:space="preserve">The organization implements and operates mechanisms to define instances that require a risk assessment to be performed.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</si>
  <si>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instances that require a risk assessment to be performed are defined;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</si>
  <si>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SCRM platform (e.g., BitSight, OneTrust); Automated supply chain risk monitoring; C-SCRM program.
In-scope requirement alignment: ISA/IEC 62443-3-2: ZCR 2.1.
Validation: Annual conformity validation; evidence artifacts E-RSK-15; PPTDF applicability: Process.</t>
  </si>
  <si>
    <t xml:space="preserve">ZCR 2.1</t>
  </si>
  <si>
    <t xml:space="preserve">∙ Enterprise SCRM platform (e.g., BitSight, OneTrust)
∙ Automated supply chain risk monitoring
∙ C-SCRM program</t>
  </si>
  <si>
    <t xml:space="preserve">RSK-04.4</t>
  </si>
  <si>
    <t xml:space="preserve">Risk Assessment Stakeholder Involvement</t>
  </si>
  <si>
    <t xml:space="preserve">Mechanisms exist to:
(1) Define applicable stakeholders for each risk assessment;
(2) Involve identified stakeholders in the risk assessment process; and
(3) Provide identified stakeholders with results of the risk assessment, upon completion.</t>
  </si>
  <si>
    <t xml:space="preserve">Does the organization:
(1) Define applicable stakeholders for each risk assessment;
(2) Involve identified stakeholders in the risk assessment process; and
(3) Provide identified stakeholders with results of the risk assessment, upon completion?</t>
  </si>
  <si>
    <t xml:space="preserve">The organization ensures that Mechanisms exist to: (1) Define applicable stakeholders for each risk assessment; (2) Involve identified stakeholders in the risk assessment process; and (3) Provide identified stakeholders with results of the risk assessment, upon completion.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</si>
  <si>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applicable stakeholders for each risk assessment are identified;
b. Ensuring identified stakeholders are involved in the risk assessment process;
c. Ensuring identified stakeholders are provided with results of the risk assessment, upon completion;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</si>
  <si>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global risk management platform; Automated country risk monitoring; Geopolitical risk intelligence integration.
In-scope requirement alignment: ISA/IEC 62443-3-2: ZCR 5.13.
Validation: Annual conformity validation; evidence artifacts to be defined; PPTDF applicability: Process.</t>
  </si>
  <si>
    <t xml:space="preserve">∙ Enterprise global risk management platform
∙ Automated country risk monitoring
∙ Geopolitical risk intelligence integration</t>
  </si>
  <si>
    <t xml:space="preserve">RSK-05</t>
  </si>
  <si>
    <t xml:space="preserve">Risk Ranking</t>
  </si>
  <si>
    <t xml:space="preserve">Mechanisms exist to identify and assign a risk ranking to newly discovered security vulnerabilities that is based on industry-recognized practices.</t>
  </si>
  <si>
    <t xml:space="preserve">Does the organization identify and assign a risk ranking to newly discovered security vulnerabilities that is based on industry-recognized practices?</t>
  </si>
  <si>
    <t xml:space="preserve">NIST Cybersecurity Framework 2.0; CSA IoT Security Controls Framework v2; ANSI/ISA-62443-3-2:2020</t>
  </si>
  <si>
    <t xml:space="preserve">The organization implements and operates mechanisms to identify and assign a risk ranking to newly discovered security vulnerabilities that is based on industry-recognized practices.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</si>
  <si>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newly discovered risks are ranked based on industry-recognized practices;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</si>
  <si>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NIST CSF 2.0: ID, ID.RA-05, ID.RA-06 | CSA IoT SCF: RSM-01, RSM-02 | ISA/IEC 62443-3-2: ZCR 4.1, ZCR 5.4, ZCR 5.5.
Validation: Annual conformity validation; evidence artifacts E-RSK-04; PPTDF applicability: Process.</t>
  </si>
  <si>
    <t xml:space="preserve">ZCR 4.1, ZCR 5.4, ZCR 5.5</t>
  </si>
  <si>
    <t xml:space="preserve">ID, ID.RA-05, ID.RA-06</t>
  </si>
  <si>
    <t xml:space="preserve">RSK-06</t>
  </si>
  <si>
    <t xml:space="preserve">Risk Remediation</t>
  </si>
  <si>
    <t xml:space="preserve">Mechanisms exist to remediate risks to an acceptable level.</t>
  </si>
  <si>
    <t xml:space="preserve">Does the organization remediate risks to an acceptable level?</t>
  </si>
  <si>
    <t xml:space="preserve">IEC 62443-2-1:2024; NIST Cybersecurity Framework 2.0; DOE Cybersecurity Capability Maturity Model; CSA IoT Security Controls Framework v2; ANSI/ISA-62443-3-2:2020</t>
  </si>
  <si>
    <t xml:space="preserve">The organization implements and operates mechanisms to remediate risks to an acceptable level.
Within the OT and AMI environment, this objective applies the ISA/IEC 62443-3-2 risk assessment workflow to OT and AMI zones and conduits, establishing target security levels and documented risk treatment approved by accountable asset owners.</t>
  </si>
  <si>
    <t xml:space="preserve">IT Operations and OT Operations are jointly responsible for:
a. Ensuring a defined risk threshold exists to determine what risk is and is not acceptable;
b. Ensuring data / process owners are held accountable to remediate risks to an acceptable level;
c. Ensuring the organization utilizes compensating controls to remediate control deficiencies to an acceptable level;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</si>
  <si>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IEC 62443-2-1: ORG 2.1 | DOE C2M2: RISK-4e | NIST CSF 2.0: GV.RM-04, ID.RA-05, ID.RA-06 | CSA IoT SCF: RSM-01, RSM-02 | ISA/IEC 62443-3-2: ZCR 5.12.
Validation: Semi-Annual conformity validation; evidence artifacts E-RSK-03; PPTDF applicability: Process.</t>
  </si>
  <si>
    <t xml:space="preserve">ZCR 5.12</t>
  </si>
  <si>
    <t xml:space="preserve">RISK-4e</t>
  </si>
  <si>
    <t xml:space="preserve">GV.RM-04, ID.RA-05, ID.RA-06</t>
  </si>
  <si>
    <t xml:space="preserve">6.1.3, 6.1.3(a), 6.1.3(b), 6.1.3(c), 6.1.3(d), 6.1.3(e), 6.1.3(f), 8.3</t>
  </si>
  <si>
    <t xml:space="preserve">RSK-06.1</t>
  </si>
  <si>
    <t xml:space="preserve">Risk Response</t>
  </si>
  <si>
    <t xml:space="preserve">Mechanisms exist to ensure proper risk response actions were performed to remediate findings from security, compliance and/or resilience-related:
(1) Assessments;
(2) Audits; and/or
(3) Incidents.</t>
  </si>
  <si>
    <t xml:space="preserve">Does the organization ensure proper risk response actions were performed to remediate findings from security, compliance and/or resilience-related:
(1) Assessments;
(2) Audits; and/or
(3) Incidents?</t>
  </si>
  <si>
    <t xml:space="preserve">NIST SP 800-82 R3 - Moderate OT Overlay; NIST Cybersecurity Framework 2.0; DOE Cybersecurity Capability Maturity Model; CSA IoT Security Controls Framework v2; NIST SP 800-161 R1 - C-SCRM Baseline; NIST SP 800-53B R5 - Privacy baseline; ANSI/ISA-62443-3-2:2020</t>
  </si>
  <si>
    <t xml:space="preserve">The organization implements and operates mechanisms to ensure proper risk response actions were performed to remediate findings from security, compliance and/or resilience-related: (1) Assessments; (2) Audits; and/or (3) Incidents.
Within the OT and AMI environment, this objective applies the ISA/IEC 62443-3-2 risk assessment workflow to OT and AMI zones and conduits, establishing target security levels and documented risk treatment approved by accountable asset owners.</t>
  </si>
  <si>
    <t xml:space="preserve">The Managed Security Service Provider (MSSP), under the oversight of the Security Operations function and with OT visibility requirements, is responsible for:
a. Ensuring findings from security assessments are responded to in accordance with organizational risk tolerance;
b. Ensuring findings from security assessments are responded to;
c. Ensuring findings from security monitoring are responded to;
d. Ensuring findings from security audits are responded to;
e. Performing initial and detailed cyber security risk assessments for OT and AMI systems under consideration using the corporate risk matrix and consequence scales that include safety, reliability, environmental, financial and regulatory impact;
f. Establishing and documenting a target security level (SL-T) for each OT and AMI zone and conduit and recording residual risk and treatment decisions in the risk register; and
g.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</si>
  <si>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NIST SP 800-82 R3 (Moderate OT overlay): RA-07 | DOE C2M2: RISK-4e | NIST CSF 2.0: GV.RM-04, ID.RA-05, ID.RA-06 | NIST SP 800-161 R1 C-SCRM: RA-7 | CSA IoT SCF: RSM-01, RSM-02 | NIST SP 800-53B Privacy: RA-07 | ISA/IEC 62443-3-2: ZCR 5.10.
Validation: Semi-Annual conformity validation; evidence artifacts E-RSK-03; PPTDF applicability: Process.</t>
  </si>
  <si>
    <t xml:space="preserve">ZCR 5.10</t>
  </si>
  <si>
    <t xml:space="preserve">RA-07</t>
  </si>
  <si>
    <t xml:space="preserve">RA-7</t>
  </si>
  <si>
    <t xml:space="preserve">RSK-06.2</t>
  </si>
  <si>
    <t xml:space="preserve">Compensating Countermeasures</t>
  </si>
  <si>
    <t xml:space="preserve">Mechanisms exist to identify and implement compensating countermeasures to reduce risk and exposure to threats.</t>
  </si>
  <si>
    <t xml:space="preserve">Does the organization identify and implement compensating countermeasures to reduce risk and exposure to threats?</t>
  </si>
  <si>
    <t xml:space="preserve">E-GOV-20, E-RSK-03</t>
  </si>
  <si>
    <t xml:space="preserve">IEC 62443-2-1:2024; CISA Cross-Sector Cybersecurity Performance Goals; NIST Cybersecurity Framework 2.0; ANSI/ISA-62443-3-2:2020</t>
  </si>
  <si>
    <t xml:space="preserve">The organization implements and operates mechanisms to identify and implement compensating countermeasures to reduce risk and exposure to threats.
Within the OT and AMI environment, this objective applies the ISA/IEC 62443-3-2 risk assessment workflow to OT and AMI zones and conduits, establishing target security levels and documented risk treatment approved by accountable asset owners.</t>
  </si>
  <si>
    <t xml:space="preserve">The Managed Security Service Provider (MSSP), under the oversight of the Security Operations function and with OT visibility requirements, is responsible for:
a. Ensuring identify and implement compensating countermeasures to reduce risk and exposure to threats;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</si>
  <si>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IEC 62443-2-1: COMP 3.5 | CISA CPG: 1.E | NIST CSF 2.0: GV.RM-04, ID.RA-06 | ISA/IEC 62443-3-2: ZCR 5.8, ZCR 5.12.
Validation: Annual conformity validation; evidence artifacts E-GOV-20, E-RSK-03; PPTDF applicability: Process.</t>
  </si>
  <si>
    <t xml:space="preserve">COMP 3.5</t>
  </si>
  <si>
    <t xml:space="preserve">ZCR 5.8, ZCR 5.12</t>
  </si>
  <si>
    <t xml:space="preserve">1.E</t>
  </si>
  <si>
    <t xml:space="preserve">GV.RM-04, ID.RA-06</t>
  </si>
  <si>
    <t xml:space="preserve">RSK-06.3</t>
  </si>
  <si>
    <t xml:space="preserve">Risk Treatment Options</t>
  </si>
  <si>
    <t xml:space="preserve">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</si>
  <si>
    <t xml:space="preserve">Does the organization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</si>
  <si>
    <t xml:space="preserve">E-RSK-13</t>
  </si>
  <si>
    <t xml:space="preserve">The organization implements and operates mechanisms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</si>
  <si>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risk treatment options are defined;
b. Ensuring appropriate risk treatment options, based on applicable risk assessment findings, are selected;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</si>
  <si>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GRC platform with risk response workflows; Formal risk appetite and tolerance framework.
In-scope requirement alignment: DOE C2M2: RISK-4a, RISK-4b | ISA/IEC 62443-3-2: ZCR 5.7, ZCR 5.11.
Validation: Annual conformity validation; evidence artifacts E-RSK-13; PPTDF applicability: Process.</t>
  </si>
  <si>
    <t xml:space="preserve">ZCR 5.7, ZCR 5.11</t>
  </si>
  <si>
    <t xml:space="preserve">RISK-4a, RISK-4b</t>
  </si>
  <si>
    <t xml:space="preserve">∙ Enterprise GRC platform with risk response workflows
∙ Formal risk appetite and tolerance framework</t>
  </si>
  <si>
    <t xml:space="preserve">RSK-06.4</t>
  </si>
  <si>
    <t xml:space="preserve">Risk Treatment Plan (RTP)</t>
  </si>
  <si>
    <t xml:space="preserve">Mechanisms exist to formalize a Risk Treatment Plan (RTP) that applicable stakeholders will utilize to remediate identified risks according to a defined timeline.</t>
  </si>
  <si>
    <t xml:space="preserve">Does the organization formalize a Risk Treatment Plan (RTP) that applicable stakeholders will utilize to remediate identified risks according to a defined timeline?</t>
  </si>
  <si>
    <t xml:space="preserve">E-RSK-14</t>
  </si>
  <si>
    <t xml:space="preserve">The organization implements and operates mechanisms to formalize a Risk Treatment Plan (RTP) that applicable stakeholders will utilize to remediate identified risks according to a defined timeline.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</si>
  <si>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Risk Treatment Plan (RTP) format is defined;
b. Ensuring a Risk Treatment Plan (RTP) is utilized for applicable stakeholders to remediate identified risks according to a defined timeline;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</si>
  <si>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GRC platform with risk acceptance workflow (e.g., RSA Archer, ServiceNow GRC); Automated approval routing.
In-scope requirement alignment: ISA/IEC 62443-3-2: ZCR 5.12, ZCR 7.1.
Validation: Semi-Annual conformity validation; evidence artifacts E-RSK-14; PPTDF applicability: Process.</t>
  </si>
  <si>
    <t xml:space="preserve">ZCR 5.12, ZCR 7.1</t>
  </si>
  <si>
    <t xml:space="preserve">∙ Enterprise GRC platform with risk acceptance workflow (e.g., RSA Archer, ServiceNow GRC)
∙ Automated approval routing</t>
  </si>
  <si>
    <t xml:space="preserve">RSK-07</t>
  </si>
  <si>
    <t xml:space="preserve">Risk Assessment Update</t>
  </si>
  <si>
    <t xml:space="preserve">Mechanisms exist to routinely update risk assessments and react accordingly upon identifying new security vulnerabilities, including using outside sources for security vulnerability information.</t>
  </si>
  <si>
    <t xml:space="preserve">Does the organization routinely update risk assessments and react accordingly upon identifying new security vulnerabilities, including using outside sources for security vulnerability information?</t>
  </si>
  <si>
    <t xml:space="preserve">NIST Privacy Framework 1.0; ANSI/ISA-62443-3-2:2020</t>
  </si>
  <si>
    <t xml:space="preserve">The organization implements and operates mechanisms to routinely update risk assessments and react accordingly upon identifying new security vulnerabilities, including using outside sources for security vulnerability information.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</si>
  <si>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the frequency at which to update the risk assessment is defined;
b. Ensuring risk assessments are updated per an organization-defined frequency;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</si>
  <si>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NIST Privacy Framework: ID.DE-P5, GV.MT-P1 | ISA/IEC 62443-3-2: ZCR 5.9.
Validation: Annual conformity validation; evidence artifacts to be defined; PPTDF applicability: Process.</t>
  </si>
  <si>
    <t xml:space="preserve">ZCR 5.9</t>
  </si>
  <si>
    <t xml:space="preserve">RSK-08</t>
  </si>
  <si>
    <t xml:space="preserve">Business Impact Analysis (BIA)</t>
  </si>
  <si>
    <t xml:space="preserve">Mechanisms exist to conduct a Business Impact Analysis (BIA) to identify and assess security, compliance and resilience risks.</t>
  </si>
  <si>
    <t xml:space="preserve">Does the organization conduct a Business Impact Analysis (BIA) to identify and assess security, compliance and resilience risks?</t>
  </si>
  <si>
    <t xml:space="preserve">E-CHG-01</t>
  </si>
  <si>
    <t xml:space="preserve">CSA IoT Security Controls Framework v2; ANSI/ISA-62443-3-2:2020</t>
  </si>
  <si>
    <t xml:space="preserve">The organization implements and operates mechanisms to conduct a Business Impact Analysis (BIA) to identify and assess security, compliance and resilience risks.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</si>
  <si>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Business Impact Analysis (BIA) is conducted to identify and evaluate the impacts of possible disruptions;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</si>
  <si>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Data Protection Impact Assessment (DPIA); Business Impact Analysis (BIA).
In-scope requirement alignment: CSA IoT SCF: RSM-01, RSM-03 | ISA/IEC 62443-3-2: ZCR 5.3.
Validation: Annual conformity validation; evidence artifacts E-CHG-01; PPTDF applicability: Process.</t>
  </si>
  <si>
    <t xml:space="preserve">RSM-01, RSM-03</t>
  </si>
  <si>
    <t xml:space="preserve">∙ Risk Management Program (RMP)
∙ Data Protection Impact Assessment (DPIA)
∙ Business Impact Analysis (BIA)</t>
  </si>
  <si>
    <t xml:space="preserve">RSK-09</t>
  </si>
  <si>
    <t xml:space="preserve">Supply Chain Risk Management (SCRM) Plan</t>
  </si>
  <si>
    <t xml:space="preserve">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</si>
  <si>
    <t xml:space="preserve">Does the organization develop a plan for Supply Chain Risk Management (SCRM) associated with the development, acquisition, maintenance and disposal of Technology Assets, Applications and/or Services (TAAS), including documenting selected mitigating actions and monitoring performance against those plans?</t>
  </si>
  <si>
    <t xml:space="preserve">NIST SP 800-82 R3 - Moderate OT Overlay; NERC CIP; NIST Cybersecurity Framework 2.0; CSA IoT Security Controls Framework v2; NIST SP 800-161 R1 - C-SCRM Baseline; NIST Privacy Framework 1.0; NIST SP 800-53B R5 - Privacy baseline</t>
  </si>
  <si>
    <t xml:space="preserve">The organization implements and operates mechanisms to develop a plan for Supply Chain Risk Management (SCRM) associated with the development, acquisition, maintenance and disposal of Technology Assets, Applications and/or Services (TAAS), including documenting selected mitigating actions and monitoring performance against those plans.
Within the OT and AMI environment, this objective applies the ISA/IEC 62443-3-2 risk assessment workflow to OT and AMI zones and conduits, establishing target security levels and documented risk treatment approved by accountable asset owners.</t>
  </si>
  <si>
    <t xml:space="preserve">The Governance, Risk &amp; Compliance (GRC) function is responsible for:
a. Ensuring an organization-wide strategy for managing supply chain risks is developed;
b. Ensuring supply chain risks associated with organizational systems and system components are identified;
c. Ensuring the supply chain risk management strategy is implemented consistently across the organization;
d. Ensuring a plan for managing supply chain risks is developed;
e. Ensuring security requirements to protect against supply chain risks to the system, system components, or system services and to limit the harm or consequences from supply chain-related events are defined;
f. Ensuring the frequency at which to review and update the supply chain risk management plan is defined;
g. Ensuring the SCRM plan addresses risks associated with the research and development of the system, system components, or system services;
h. Ensuring the SCRM plan addresses risks associated with the design of the system, system components, or system services;
i. Performing initial and detailed cyber security risk assessments for OT and AMI systems under consideration using the corporate risk matrix and consequence scales that include safety, reliability, environmental, financial and regulatory impact;
j. Establishing and documenting a target security level (SL-T) for each OT and AMI zone and conduit and recording residual risk and treatment decisions in the risk register; and
k.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</si>
  <si>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Cybersecurity Supply Chain Risk Management (C-SCRM) program; Supply Chain Risk Management (SCRM) Plan.
In-scope requirement alignment: NIST SP 800-82 R3 (Moderate OT overlay): PM-29, PM-30, SR-02 | NERC CIP: CIP-013-2 R1, CIP-013-2 R2, CIP-013-2 R3 | NIST CSF 2.0: GV.SC, GV.SC-01, GV.SC-03, GV.SC-05, GV.SC-09, GV.SC-10, ID, ID.RA, ID.IM, PR | NIST SP 800-161 R1 C-SCRM: PM-30, SR-2 | CSA IoT SCF: SDV-02 | NIST Privacy Framework: ID.DE-P2, ID.DE-P3 | NIST SP 800-53B Privacy: PM-29, SR-02, SR-07.
Validation: Annual conformity validation; evidence artifacts E-RSK-02; PPTDF applicability: Process.</t>
  </si>
  <si>
    <t xml:space="preserve">PM-29, PM-30, SA-09(03), SR-02, SR-07</t>
  </si>
  <si>
    <t xml:space="preserve">PM-29, PM-30, SR-02</t>
  </si>
  <si>
    <t xml:space="preserve">CIP-013-2 R1, CIP-013-2 R2, CIP-013-2 R3</t>
  </si>
  <si>
    <t xml:space="preserve">GV.SC, GV.SC-01, GV.SC-03, GV.SC-05, GV.SC-09, GV.SC-10, ID, ID.RA, ID.IM, PR</t>
  </si>
  <si>
    <t xml:space="preserve">PM-30, SR-2</t>
  </si>
  <si>
    <t xml:space="preserve">SDV-02</t>
  </si>
  <si>
    <t xml:space="preserve">ID.DE-P2, ID.DE-P3</t>
  </si>
  <si>
    <t xml:space="preserve">PM-29, SR-02, SR-07</t>
  </si>
  <si>
    <t xml:space="preserve">SG.PM Security Program Management; SG.SA Smart Grid Information System and Services Acquisition; SG.SA Smart Grid Information System and Services Acquisition (supply chain)</t>
  </si>
  <si>
    <t xml:space="preserve">5.21, 8.30</t>
  </si>
  <si>
    <t xml:space="preserve">∙ Risk Management Program (RMP)
∙ Cybersecurity Supply Chain Risk Management (C-SCRM) program
∙ Supply Chain Risk Management (SCRM) Plan</t>
  </si>
  <si>
    <t xml:space="preserve">RSK-09.1</t>
  </si>
  <si>
    <t xml:space="preserve">Supply Chain Risk Assessment</t>
  </si>
  <si>
    <t xml:space="preserve">Mechanisms exist to periodically assess supply chain risks associated with Technology Assets, Applications and/or Services (TAAS).</t>
  </si>
  <si>
    <t xml:space="preserve">Does the organization periodically assess supply chain risks associated with Technology Assets, Applications and/or Services (TAAS)?</t>
  </si>
  <si>
    <t xml:space="preserve">E-RSK-05</t>
  </si>
  <si>
    <t xml:space="preserve">NIST SP 800-82 R3 - Moderate OT Overlay; NIST Cybersecurity Framework 2.0; NIST SP 800-161 R1 - C-SCRM Baseline; NIST Privacy Framework 1.0</t>
  </si>
  <si>
    <t xml:space="preserve">The organization implements and operates mechanisms to periodically assess supply chain risks associated with Technology Assets, Applications and/or Services (TAAS).
Within the OT and AMI environment, this objective applies the ISA/IEC 62443-3-2 risk assessment workflow to OT and AMI zones and conduits, establishing target security levels and documented risk treatment approved by accountable asset owners.</t>
  </si>
  <si>
    <t xml:space="preserve">The Governance, Risk &amp; Compliance (GRC) function is responsible for:
a. Ensuring supply chain risks associated with organizational systems and system components are identified;
b. Ensuring supply chain risks associated with organizational systems and system components are assessed;
c. Ensuring supply chain risks associated with organizational systems and system components are responded to;
d. Ensuring supply chain risks associated with organizational systems and system components are monitored;
e. Ensuring the frequency at which to update the supply chain risk assessment is defined;
f. Ensuring the supply chain risk assessment is updated frequently, when there are significant changes to the relevant supply chain or when changes to the system, environments of operation or other conditions may necessitate a change in the supply chain;
g. Performing initial and detailed cyber security risk assessments for OT and AMI systems under consideration using the corporate risk matrix and consequence scales that include safety, reliability, environmental, financial and regulatory impact;
h. Establishing and documenting a target security level (SL-T) for each OT and AMI zone and conduit and recording residual risk and treatment decisions in the risk register; and
i.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</si>
  <si>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Data Protection Impact Assessment (DPIA); Business Impact Analysis (BIA).
In-scope requirement alignment: NIST SP 800-82 R3 (Moderate OT overlay): RA-03(01) | NIST CSF 2.0: GV.SC, GV.SC-09 | NIST SP 800-161 R1 C-SCRM: RA-3(1) | NIST Privacy Framework: ID.DE-P5, GV.MT-P1.
Validation: Annual conformity validation; evidence artifacts E-RSK-05; PPTDF applicability: Process.</t>
  </si>
  <si>
    <t xml:space="preserve">RA-03(01)</t>
  </si>
  <si>
    <t xml:space="preserve">GV.SC, GV.SC-09</t>
  </si>
  <si>
    <t xml:space="preserve">RA-3(1)</t>
  </si>
  <si>
    <t xml:space="preserve">8.30</t>
  </si>
  <si>
    <t xml:space="preserve">RSK-10</t>
  </si>
  <si>
    <t xml:space="preserve">Data Protection Impact Assessment (DPIA)</t>
  </si>
  <si>
    <t xml:space="preserve">Mechanisms exist to conduct a Data Protection Impact Assessment (DPIA) on Technology Assets, Applications and/or Services (TAAS) that store, process and/or transmit Personal Data (PD) to identify and remediate reasonably-expected risks.</t>
  </si>
  <si>
    <t xml:space="preserve">Does the organization conduct a Data Protection Impact Assessment (DPIA) on Technology Assets, Applications and/or Services (TAAS) that store, process and/or transmit Personal Data (PD) to identify and remediate reasonably-expected risks?</t>
  </si>
  <si>
    <t xml:space="preserve">E-PRI-04</t>
  </si>
  <si>
    <t xml:space="preserve">The organization implements and operates mechanisms to conduct a Data Protection Impact Assessment (DPIA) on Technology Assets, Applications and/or Services (TAAS) that store, process and/or transmit Personal Data (PD) to identify and remediate reasonably-expected risks.
Within the OT and AMI environment, this objective applies the ISA/IEC 62443-3-2 risk assessment workflow to OT and AMI zones and conduits, establishing target security levels and documented risk treatment approved by accountable asset owners.</t>
  </si>
  <si>
    <t xml:space="preserve">Legal and the Privacy Officer are responsible for:
a. Ensuring Data Protection Impact Assessments (DPIAs) are conducted for systems, programs or other activities before developing or procuring information technology that processes Personal Data (PD);
b. Ensuring Data Protection Impact Assessments (DPIAs) are conducted for systems, programs or other activities before initiating a collection of Personal Data (PD) that will be processed using information technology;
c. Ensuring Data Protection Impact Assessments (DPIAs) are conducted for systems, programs or other activities before initiating a collection of Personal Data (PD) that includes Personal Data (PD) permitting the physical or virtual (online) contacting of a specific individual;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</si>
  <si>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Data Protection Impact Assessment (DPIA); Privacy Impact Assessment (PIA).
In-scope requirement alignment: CSA IoT SCF: GVN-07, GVN-08, LGL-01, LGL-03 | NIST Privacy Framework: ID.IM-P7, ID.RA-P1, ID.RA-P2, ID.RA-P3, ID.RA-P4, ID.RA-P5, ID.DE-P2, ID.DE-P3, GV.MT-P1 | NIST SP 800-53B Privacy: RA-08.
Validation: Annual conformity validation; evidence artifacts E-PRI-04; PPTDF applicability: Process.</t>
  </si>
  <si>
    <t xml:space="preserve">RA-08</t>
  </si>
  <si>
    <t xml:space="preserve">GVN-07, GVN-08, LGL-01, LGL-03</t>
  </si>
  <si>
    <t xml:space="preserve">ID.IM-P7, ID.RA-P1, ID.RA-P2, ID.RA-P3, ID.RA-P4, ID.RA-P5, ID.DE-P2, ID.DE-P3, GV.MT-P1</t>
  </si>
  <si>
    <t xml:space="preserve">∙ Risk Management Program (RMP)
∙ Data Protection Impact Assessment (DPIA)
∙ Privacy Impact Assessment (PIA)</t>
  </si>
  <si>
    <t xml:space="preserve">RSK-11</t>
  </si>
  <si>
    <t xml:space="preserve">Risk Monitoring</t>
  </si>
  <si>
    <t xml:space="preserve">Mechanisms exist to ensure risk monitoring as an integral part of the continuous monitoring strategy that includes monitoring the effectiveness of security, compliance and resilience controls, compliance and change management.</t>
  </si>
  <si>
    <t xml:space="preserve">Does the organization ensure risk monitoring as an integral part of the continuous monitoring strategy that includes monitoring the effectiveness of security, compliance and resilience controls, compliance and change management?</t>
  </si>
  <si>
    <t xml:space="preserve">The organization implements and operates mechanisms to ensure risk monitoring as an integral part of the continuous monitoring strategy that includes monitoring the effectiveness of security, compliance and resilience controls, compliance and change management.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</si>
  <si>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risk monitoring is an integral part of the continuous monitoring strategy;
b. Ensuring effectiveness monitoring is included in risk monitoring;
c. Ensuring compliance monitoring is included in risk monitoring;
d. Ensuring change monitoring is included in risk monitoring;
e. Performing initial and detailed cyber security risk assessments for OT and AMI systems under consideration using the corporate risk matrix and consequence scales that include safety, reliability, environmental, financial and regulatory impact;
f. Establishing and documenting a target security level (SL-T) for each OT and AMI zone and conduit and recording residual risk and treatment decisions in the risk register; and
g.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</si>
  <si>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NIST SP 800-82 R3 (Moderate OT overlay): CA-07(04) | NIST SP 800-53B Privacy: CA-07(04).
Validation: Annual conformity validation; evidence artifacts to be defined; PPTDF applicability: Process.</t>
  </si>
  <si>
    <t xml:space="preserve">CA-07(04)</t>
  </si>
  <si>
    <t xml:space="preserve">RSK-12</t>
  </si>
  <si>
    <t xml:space="preserve">Risk Culture</t>
  </si>
  <si>
    <t xml:space="preserve">Mechanisms exist to ensure teams are committed to a culture that considers and communicates technology-related risk.</t>
  </si>
  <si>
    <t xml:space="preserve">Does the organization ensure teams are committed to a culture that considers and communicates technology-related risk?</t>
  </si>
  <si>
    <t xml:space="preserve">The organization implements and operates mechanisms to ensure teams are committed to a culture that considers and communicates technology-related risk.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</si>
  <si>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an executive steering committee, or advisory board, defines the organization's risk culture;
b. Ensuring a Chief Risk Officer (CRO), or similar position, is tasked with operationalizing the defined risk culture criteria throughout the organization's Business As Usual (BAU) activities;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</si>
  <si>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NIST CSF 2.0: GV.RR-01.
Validation: Annual conformity validation; evidence artifacts E-RSK-01; PPTDF applicability: Process.</t>
  </si>
  <si>
    <t xml:space="preserve">RSK-13</t>
  </si>
  <si>
    <t xml:space="preserve">Executive Leadership Approval For Managing Material Risk</t>
  </si>
  <si>
    <t xml:space="preserve">Mechanisms exist to obtain executive leadership approval for risk management decisions involving material risk.</t>
  </si>
  <si>
    <t xml:space="preserve">Does the organization obtain executive leadership approval for risk management decisions involving material risk?</t>
  </si>
  <si>
    <t xml:space="preserve">E-GOV-15, E-RSK-10</t>
  </si>
  <si>
    <t xml:space="preserve">The organization implements and operates mechanisms to obtain executive leadership approval for risk management decisions involving material risk.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</si>
  <si>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material risk thresholds are defined;
b. Ensuring executive leadership approval for risk management decisions involving material risk is defined;
c. Ensuring executive leadership approval for risk management decisions involving material risk is obtained;
d. Ensuring executive leadership approval for risk management decisions involving material risk is documented; and
e. Obtaining documented approval of OT and AMI risk assessment results, target security levels and treatment plans from accountable asset-owner management (ISA/IEC 62443-3-2 ZCR 7.1).</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</si>
  <si>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resilience management program; Formal after-action review process; Continuous improvement integration.
In-scope requirement alignment: ISA/IEC 62443-3-2: ZCR 5.11, ZCR 7.1.
Validation: Annual conformity validation; evidence artifacts E-GOV-15, E-RSK-10; PPTDF applicability: Process.</t>
  </si>
  <si>
    <t xml:space="preserve">ZCR 5.11, ZCR 7.1</t>
  </si>
  <si>
    <t xml:space="preserve">∙ Enterprise resilience management program
∙ Formal after-action review process
∙ Continuous improvement integration</t>
  </si>
  <si>
    <t xml:space="preserve">SEA-01</t>
  </si>
  <si>
    <t xml:space="preserve">Secure Engineering Principles</t>
  </si>
  <si>
    <t xml:space="preserve">Secure Engineering &amp; Architecture</t>
  </si>
  <si>
    <t xml:space="preserve">SEA</t>
  </si>
  <si>
    <t xml:space="preserve">Mechanisms exist to facilitate the implementation of industry-recognized security, compliance and resilience practices in the specification, design, development, implementation and modification of Technology Assets, Applications and/or Services (TAAS).</t>
  </si>
  <si>
    <t xml:space="preserve">Does the organization facilitate the implementation of industry-recognized security, compliance and resilience practices in the specification, design, development, implementation and modification of Technology Assets, Applications and/or Services (TAAS)?</t>
  </si>
  <si>
    <t xml:space="preserve">E-TDA-01, E-TDA-02, E-TDA-04, E-TDA-08, E-TDA-09</t>
  </si>
  <si>
    <t xml:space="preserve">NIST SP 800-82 R3 - Moderate OT Overlay; NERC CIP; CISA Cross-Sector Cybersecurity Performance Goals; NIST Cybersecurity Framework 2.0; DOE Cybersecurity Capability Maturity Model; CSA IoT Security Controls Framework v2; NIST SP 800-161 R1 - C-SCRM Baseline; NIST Privacy Framework 1.0; NIST SP 800-53B R5 - Privacy baseline; ANSI/ISA-62443-3-2:2020</t>
  </si>
  <si>
    <t xml:space="preserve">Chief Enterprise Architect</t>
  </si>
  <si>
    <t xml:space="preserve">OT / AMI Solution Architect</t>
  </si>
  <si>
    <t xml:space="preserve">OT system integrators; AMI vendor; architecture consultants</t>
  </si>
  <si>
    <t xml:space="preserve">The organization shall apply industry-recognized secure engineering and architecture principles, including defense-in-depth, zone and conduit partitioning and secure-by-design, to enterprise IT, OT and AMI systems. Architecture decisions for OT and AMI shall achieve the target security level for each zone and conduit while preserving safety, reliability and operational determinism.</t>
  </si>
  <si>
    <t xml:space="preserve">The organization develops, implements and governs processes and documentation to facilitate the implementation of industry-recognized security, compliance and resilience practices in the specification, design, development, implementation and modification of Technology Assets, Applications and/or Services (TAAS), as well as associated standards, controls and procedures, across enterprise IT, Operational Technology (OT) and Advanced Metering Infrastructure (AMI) environments.
Within the OT and AMI environment, this objective applies defense-in-depth and zone/conduit partitioning to OT and AMI architectures in order to achieve the target security level for each zone and conduit.</t>
  </si>
  <si>
    <t xml:space="preserve">The Managed Security Service Provider (MSSP), under the oversight of the Security Operations function and with OT visibility requirements, is responsible for:
a. Ensuring secure engineering principles are defined;
b. Ensuring data privacy engineering principles are defined;
c. Ensuring architectural designs that promote effective cybersecurity / data privacy are identified;
d. Ensuring systems engineering principles that promote effective cybersecurity / data privacy are identified;
e. Ensuring identified architectural designs that promote effective cybersecurity / data privacy are employed;
f. Ensuring identified systems engineering principles that promote effective cybersecurity / data privacy are employed;
g. Ensuring Secure Engineering &amp; Architecture (SEA) operations are conducted according to documented policies, standards, procedures and/or other organizational directives;
h. Ensuring adequate resources (e.g., people, processes, technologies, data and/or facilities) are provided to support Secure Engineering &amp; Architecture (SEA) operations;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</si>
  <si>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Defined "secure engineering principles" (e.g., alignment with NIST 800-160).
In-scope requirement alignment: NIST SP 800-82 R3 (Moderate OT overlay): SA-08, SC-01, SC-07(18), SI-01 | NERC CIP: CIP-003-8 1.1.4 | CISA CPG: 1.E | DOE C2M2: ARCHITECTURE-1b, ARCHITECTURE-1j, ARCHITECTURE-5g, ARCHITECTURE-5h | NIST CSF 2.0: PR.IR, PR.IR-01, PR.IR-03 | NIST SP 800-161 R1 C-SCRM: SA-8, SC-1, SI-1 | CSA IoT SCF: CLS-05, GVN-02, SWS-04 | NIST Privacy Framework: ID.DE-P4, GV.PO-P2, CM.AW-P3, PR.DS-P5 | NIST SP 800-53B Privacy: PT-01, SA-08, SA-15(05), SC-01, SI-01 | ISA/IEC 62443-3-2: ZCR 5.6, ZCR 6.1.
Validation: Annual conformity validation; evidence artifacts E-TDA-01, E-TDA-02, E-TDA-04, E-TDA-08, E-TDA-09; PPTDF applicability: Process.</t>
  </si>
  <si>
    <t xml:space="preserve">ZCR 5.6, ZCR 6.1</t>
  </si>
  <si>
    <t xml:space="preserve">PT-01, SA-08, SA-15(05), SC-01, SC-07(18), SI-01</t>
  </si>
  <si>
    <t xml:space="preserve">SA-08, SC-01, SC-07(18), SI-01</t>
  </si>
  <si>
    <t xml:space="preserve">ARCHITECTURE-1b, ARCHITECTURE-1j, ARCHITECTURE-5g, ARCHITECTURE-5h</t>
  </si>
  <si>
    <t xml:space="preserve">PR.IR, PR.IR-01, PR.IR-03</t>
  </si>
  <si>
    <t xml:space="preserve">SA-8, SC-1, SI-1</t>
  </si>
  <si>
    <t xml:space="preserve">CLS-05, GVN-02, SWS-04</t>
  </si>
  <si>
    <t xml:space="preserve">ID.DE-P4, GV.PO-P2, CM.AW-P3, PR.DS-P5</t>
  </si>
  <si>
    <t xml:space="preserve">PT-01, SA-08, SA-15(05), SC-01, SI-01</t>
  </si>
  <si>
    <t xml:space="preserve">SG.ID Information and Document Management (PII transparency); SG.SA Smart Grid Information System and Services Acquisition; SG.SC Smart Grid Information System and Communication Protection; SG.SI Smart Grid Information System and Information Integrity</t>
  </si>
  <si>
    <t xml:space="preserve">8.12, 8.26, 8.27</t>
  </si>
  <si>
    <t xml:space="preserve">∙ Defined "secure engineering principles" (e.g., alignment with NIST 800-160)</t>
  </si>
  <si>
    <t xml:space="preserve">SEA-01.1</t>
  </si>
  <si>
    <t xml:space="preserve">Centralized Management of Security, Compliance &amp; Resilience Controls</t>
  </si>
  <si>
    <t xml:space="preserve">Mechanisms exist to centrally-manage the organization-wide management and implementation of security, compliance and resilience controls and related processes.</t>
  </si>
  <si>
    <t xml:space="preserve">Does the organization centrally-manage the organization-wide management and implementation of security, compliance and resilience controls and related processes?</t>
  </si>
  <si>
    <t xml:space="preserve">E-GOV-10, E-GOV-12</t>
  </si>
  <si>
    <t xml:space="preserve">NIST Cybersecurity Framework 2.0; DOE Cybersecurity Capability Maturity Model; CSA IoT Security Controls Framework v2; NIST Privacy Framework 1.0; NIST SP 800-53B R5 - Privacy baseline</t>
  </si>
  <si>
    <t xml:space="preserve">The organization implements and operates mechanisms to centrally-manage the organization-wide management and implementation of security, compliance and resilience controls and related processes.
Within the OT and AMI environment, this objective applies defense-in-depth and zone/conduit partitioning to OT and AMI architectures in order to achieve the target security level for each zone and conduit.</t>
  </si>
  <si>
    <t xml:space="preserve">The Chief Information Security Officer (CISO), in coordination with the OT Security Lead, is responsible for:
a. Ensuring cybersecurity / data privacy controls and related processes to be centrally managed are defined;
b. Ensuring controls and related processes are centrally managed;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</si>
  <si>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GRC solution (e.g., SCFConnect, Cyturus, SureCloud, SimpleRisk, Ignyte, ZenGRC, Galvanize, MetricStream, Archer, etc.).
In-scope requirement alignment: DOE C2M2: RISK-2l, ARCHITECTURE-1f | NIST CSF 2.0: PR.IR | CSA IoT SCF: CLS-05, GVN-02 | NIST Privacy Framework: GV.PO-P2 | NIST SP 800-53B Privacy: PL-09.
Validation: Annual conformity validation; evidence artifacts E-GOV-10, E-GOV-12; PPTDF applicability: Process.</t>
  </si>
  <si>
    <t xml:space="preserve">RISK-2l, ARCHITECTURE-1f</t>
  </si>
  <si>
    <t xml:space="preserve">PR.IR</t>
  </si>
  <si>
    <t xml:space="preserve">CLS-05, GVN-02</t>
  </si>
  <si>
    <t xml:space="preserve">SEA-01.2</t>
  </si>
  <si>
    <t xml:space="preserve">Achieving Resilience Requirements</t>
  </si>
  <si>
    <t xml:space="preserve">Mechanisms exist to achieve resilience requirements in normal and adverse situations.</t>
  </si>
  <si>
    <t xml:space="preserve">Does the organization achieve resilience requirements in normal and adverse situations?</t>
  </si>
  <si>
    <t xml:space="preserve">E-BCM-01, E-GOV-10, E-GOV-12</t>
  </si>
  <si>
    <t xml:space="preserve">The organization implements and operates mechanisms to achieve resilience requirements in normal and adverse situations.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</si>
  <si>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the organization's goals for resiliency are defined for normal and adverse situations;
b. Ensuring solutions exist to achieve resilience requirements in normal situations;
c. Ensuring solutions exist to achieve resilience requirements in adverse situations;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</si>
  <si>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Defined "secure engineering principles" (e.g., alignment with NIST 800-160).
In-scope requirement alignment: DOE C2M2: ARCHITECTURE-1j | NIST CSF 2.0: PR.IR, PR.IR-02, PR.IR-03.
Validation: Annual conformity validation; evidence artifacts E-BCM-01, E-GOV-10, E-GOV-12; PPTDF applicability: Process.</t>
  </si>
  <si>
    <t xml:space="preserve">ARCHITECTURE-1j</t>
  </si>
  <si>
    <t xml:space="preserve">PR.IR, PR.IR-02, PR.IR-03</t>
  </si>
  <si>
    <t xml:space="preserve">SEA-01.3</t>
  </si>
  <si>
    <t xml:space="preserve">Resilience Capabilities</t>
  </si>
  <si>
    <t xml:space="preserve">Mechanisms exist to ensure security, compliance and resilience are designed and implemented to provide resistance to:
(1) Unintentional errors (by users or software); and 
(2) Intentional attack or circumvention.</t>
  </si>
  <si>
    <t xml:space="preserve">Does the organization ensure security, compliance and resilience are designed and implemented to provide resistance to:
(1) Unintentional errors (by users or software); and 
(2) Intentional attack or circumvention?</t>
  </si>
  <si>
    <t xml:space="preserve">The organization implements and operates mechanisms to ensure security, compliance and resilience are designed and implemented to provide resistance to: (1) Unintentional errors (by users or software); and (2) Intentional attack or circumvention.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</si>
  <si>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cybersecurity and data protection controls are designed and implemented to provide resistance to unintentional errors (by users or software);
b. Ensuring cybersecurity and data protection controls are designed and implemented to provide resistance to intentional attack or circumvention;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</si>
  <si>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systems security engineering program (NIST SP 800-160); Architecture review board; Threat modeling integration.
In-scope requirement alignment: DOE C2M2: ARCHITECTURE-1j.
Validation: Annual conformity validation; evidence artifacts to be defined; PPTDF applicability: Technology.</t>
  </si>
  <si>
    <t xml:space="preserve">∙ Enterprise systems security engineering program (NIST SP 800-160)
∙ Architecture review board
∙ Threat modeling integration</t>
  </si>
  <si>
    <t xml:space="preserve">SEA-02</t>
  </si>
  <si>
    <t xml:space="preserve">Alignment With Enterprise Architecture</t>
  </si>
  <si>
    <t xml:space="preserve">Mechanisms exist to develop an enterprise architecture, aligned with industry-recognized leading practices, with consideration for security, compliance and resilience principles that addresses risk to organizational operations, assets, individuals and other organizations.</t>
  </si>
  <si>
    <t xml:space="preserve">Does the organization develop an enterprise architecture, aligned with industry-recognized leading practices, with consideration for security, compliance and resilience principles that addresses risk to organizational operations, assets, individuals and other organizations?</t>
  </si>
  <si>
    <t xml:space="preserve">E-TDA-04, E-TDA-09</t>
  </si>
  <si>
    <t xml:space="preserve">NIST SP 800-82 R3 - Moderate OT Overlay; NIST Cybersecurity Framework 2.0; NIST SP 800-53B R5 - Moderate baseline; DOE Cybersecurity Capability Maturity Model; CSA IoT Security Controls Framework v2; NIST Privacy Framework 1.0; NIST SP 800-53B R5 - Privacy baseline; ANSI/ISA-62443-3-2:2020</t>
  </si>
  <si>
    <t xml:space="preserve">The organization implements and operates mechanisms to develop an enterprise architecture, aligned with industry-recognized leading practices, with consideration for security, compliance and resilience principles that addresses risk to organizational operations, assets, individuals and other organizations.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</si>
  <si>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an enterprise architecture is developed with consideration for cybersecurity / data privacy;
b. Ensuring an enterprise architecture is maintained with consideration for cybersecurity / data privacy;
c. Ensuring an enterprise architecture is developed with consideration for the resulting risk to organizational operations and assets, individuals and other organizations;
d. Ensuring an enterprise architecture is maintained with consideration for the resulting risk to organizational operations and assets, individuals and other organizations;
e. Ensuring frequency for review / update to reflect changes in the enterprise architecture;
f. Ensuring a cybersecurity / data privacy architecture for the system describes the requirements and approach to be taken for protecting the confidentiality, integrity and availability of organizational information;
g. Ensuring a cybersecurity / data privacy architecture for the system describes how the architecture is integrated into and supports the enterprise architecture;
h. Ensuring a cybersecurity / data privacy architecture for the system describes any assumptions about and dependencies on external systems and services;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</si>
  <si>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architecture committee.
In-scope requirement alignment: NIST SP 800-82 R3 (Moderate OT overlay): PL-08, PM-07 | DOE C2M2: ARCHITECTURE-1b, ARCHITECTURE-1c, ARCHITECTURE-1d, ARCHITECTURE-1h, ARCHITECTURE-1j, ARCHITECTURE-1k | NIST CSF 2.0: PR.IR, PR.IR-01, PR.IR-03 | NIST SP 800-53B Moderate: PL-08 | CSA IoT SCF: GVN-02, OPA-06, OPA-07, SWS-04 | NIST Privacy Framework: GV.PO-P2 | NIST SP 800-53B Privacy: PL-08, PM-07 | ISA/IEC 62443-3-2: ZCR 6.5.
Validation: Annual conformity validation; evidence artifacts E-TDA-04, E-TDA-09; PPTDF applicability: Process.</t>
  </si>
  <si>
    <t xml:space="preserve">PL-08, PM-07</t>
  </si>
  <si>
    <t xml:space="preserve">ARCHITECTURE-1b, ARCHITECTURE-1c, ARCHITECTURE-1d, ARCHITECTURE-1h, ARCHITECTURE-1j, ARCHITECTURE-1k</t>
  </si>
  <si>
    <t xml:space="preserve">PL-08</t>
  </si>
  <si>
    <t xml:space="preserve">GVN-02, OPA-06, OPA-07, SWS-04</t>
  </si>
  <si>
    <t xml:space="preserve">5.8, 8.26</t>
  </si>
  <si>
    <t xml:space="preserve">∙ Enterprise architecture committee</t>
  </si>
  <si>
    <t xml:space="preserve">SEA-02.1</t>
  </si>
  <si>
    <t xml:space="preserve">Standardized Terminology</t>
  </si>
  <si>
    <t xml:space="preserve">Mechanisms exist to standardize technology and process terminology to reduce confusion amongst groups and departments.</t>
  </si>
  <si>
    <t xml:space="preserve">Does the organization standardize technology and process terminology to reduce confusion amongst groups and departments?</t>
  </si>
  <si>
    <t xml:space="preserve">The organization implements and operates mechanisms to standardize technology and process terminology to reduce confusion amongst groups and departments.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</si>
  <si>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technology and process terminology is standardized to reduce confusion amongst groups and departments;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</si>
  <si>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security architecture framework (SABSA); Formal threat modeling program; Security design patterns library.
In-scope requirement alignment: NIST Privacy Framework: GV.PO-P2.
Validation: Annual conformity validation; evidence artifacts to be defined; PPTDF applicability: Process.</t>
  </si>
  <si>
    <t xml:space="preserve">3.0</t>
  </si>
  <si>
    <t xml:space="preserve">3.0, 3.1, 3.2</t>
  </si>
  <si>
    <t xml:space="preserve">∙ Enterprise security architecture framework (SABSA)
∙ Formal threat modeling program
∙ Security design patterns library</t>
  </si>
  <si>
    <t xml:space="preserve">SEA-02.3</t>
  </si>
  <si>
    <t xml:space="preserve">Technical Debt Reviews</t>
  </si>
  <si>
    <t xml:space="preserve">Mechanisms exist to conduct ongoing “technical debt” reviews of hardware and software technologies to remediate outdated and/or unsupported technologies.</t>
  </si>
  <si>
    <t xml:space="preserve">Does the organization conduct ongoing “technical debt” reviews of hardware and software technologies to remediate outdated and/or unsupported technologies?</t>
  </si>
  <si>
    <t xml:space="preserve">The organization implements and operates mechanisms to conduct ongoing “technical debt” reviews of hardware and software technologies to remediate outdated and/or unsupported technologies.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</si>
  <si>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“technical debt” reviews of hardware and software technologies are routinely conducted;
b. Ensuring the results of “technical debt” reviews are leveraged as justification to remediate outdated and/or unsupported technologies;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</si>
  <si>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Computer Lifecycle Program (CLP); IT Asset Management (ITAM) program; Risk Management Program (RMP).
In-scope requirement alignment: CISA CPG: 2.K.
Validation: Annual conformity validation; evidence artifacts to be defined; PPTDF applicability: Process.</t>
  </si>
  <si>
    <t xml:space="preserve">∙ Computer Lifecycle Program (CLP)
∙ IT Asset Management (ITAM) program
∙ Risk Management Program (RMP)</t>
  </si>
  <si>
    <t xml:space="preserve">SEA-03</t>
  </si>
  <si>
    <t xml:space="preserve">Defense-In-Depth (DiD) Architecture</t>
  </si>
  <si>
    <t xml:space="preserve">Mechanisms exist to implement security functions as a layered structure minimizing interactions between layers of the design and avoiding any dependence by lower layers on the functionality or correctness of higher layers.</t>
  </si>
  <si>
    <t xml:space="preserve">Does the organization implement security functions as a layered structure minimizing interactions between layers of the design and avoiding any dependence by lower layers on the functionality or correctness of higher layers?</t>
  </si>
  <si>
    <t xml:space="preserve">CISA Cross-Sector Cybersecurity Performance Goals; DOE Cybersecurity Capability Maturity Model; IEC 62443-4-1:2018; ANSI/ISA-62443-3-2:2020</t>
  </si>
  <si>
    <t xml:space="preserve">The organization implements and operates mechanisms to implement security functions as a layered structure minimizing interactions between layers of the design and avoiding any dependence by lower layers on the functionality or correctness of higher layers.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</si>
  <si>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security functions are implemented as a layered structure, minimizing interactions between layers of the design and avoiding any dependence by lower layers on the functionality or correctness of higher layers;
b. Ensuring the cybersecurity / data privacy architecture for the system is designed using a defense-in-depth approach that allocates controls to locations and architectural layers;
c. Ensuring the cybersecurity / data privacy architecture for the system is designed using a defense-in-depth approach that ensures the allocated controls operate in a coordinated and mutually reinforcing manner;
d. Ensuring controls to be allocated are defined;
e. Ensuring locations and architectural layers are defined; and
f. Documenting a defense-in-depth reference architecture for OT and AMI that defines zones, conduits, DMZ patterns and the target security level for each zone and conduit.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</si>
  <si>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Defined "secure engineering principles" (e.g., alignment with NIST 800-160); Defense-in-depth (DiD) architecture; Enterprise architecture committee.
In-scope requirement alignment: IEC 62443-4-1: SD-2 | CISA CPG: 1.E | DOE C2M2: ARCHITECTURE-1b | ISA/IEC 62443-3-2: ZCR 3.1, ZCR 5.6.
Validation: Annual conformity validation; evidence artifacts E-TDA-04, E-TDA-09; PPTDF applicability: Technology.</t>
  </si>
  <si>
    <t xml:space="preserve">SD-2</t>
  </si>
  <si>
    <t xml:space="preserve">ZCR 3.1, ZCR 5.6</t>
  </si>
  <si>
    <t xml:space="preserve">PL-08(01), SC-03(05)</t>
  </si>
  <si>
    <t xml:space="preserve">ARCHITECTURE-1b</t>
  </si>
  <si>
    <t xml:space="preserve">SG.PL Planning; SG.SC Smart Grid Information System and Communication Protection</t>
  </si>
  <si>
    <t xml:space="preserve">∙ Defined "secure engineering principles" (e.g., alignment with NIST 800-160)
∙ Defense-in-depth (DiD) architecture
∙ Enterprise architecture committee</t>
  </si>
  <si>
    <t xml:space="preserve">SEA-03.1</t>
  </si>
  <si>
    <t xml:space="preserve">System Partitioning</t>
  </si>
  <si>
    <t xml:space="preserve">Mechanisms exist to partition systems so that partitions reside in separate physical domains or environments.</t>
  </si>
  <si>
    <t xml:space="preserve">Does the organization partition systems so that partitions reside in separate physical domains or environments?</t>
  </si>
  <si>
    <t xml:space="preserve">The organization implements and operates mechanisms to partition systems so that partitions reside in separate physical domains or environments.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</si>
  <si>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system components to reside in separate physical or logical domains or environments based on circumstances for the physical or logical separation of components are defined;
b. Ensuring circumstances for the physical or logical separation of components are defined;
c. Ensuring the system is partitioned into system components residing in separate organization-defined criteria domains or environments based on circumstances for the physical or logical separation of components;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</si>
  <si>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ISA/IEC 62443-3-2: ZCR 3.1, ZCR 3.2, ZCR 3.3.
Validation: Annual conformity validation; evidence artifacts to be defined; PPTDF applicability: Technology.</t>
  </si>
  <si>
    <t xml:space="preserve">ZCR 3.1, ZCR 3.2, ZCR 3.3</t>
  </si>
  <si>
    <t xml:space="preserve">SC-32</t>
  </si>
  <si>
    <t xml:space="preserve">SEA-03.2</t>
  </si>
  <si>
    <t xml:space="preserve">Application Partitioning</t>
  </si>
  <si>
    <t xml:space="preserve">Mechanisms exist to separate user functionality from system management functionality.</t>
  </si>
  <si>
    <t xml:space="preserve">Does the organization separate user functionality from system management functionality?</t>
  </si>
  <si>
    <t xml:space="preserve">The organization implements and operates mechanisms to separate user functionality from system management functionality.
Within the OT and AMI environment, this objective applies defense-in-depth and zone/conduit partitioning to OT and AMI architectures in order to achieve the target security level for each zone and conduit.</t>
  </si>
  <si>
    <t xml:space="preserve">OT Engineering and application development teams are responsible for:
a. Ensuring user functionality is identified;
b. Ensuring system management functionality is identified;
c. Ensuring user functionality is separated from system management functionality;
d. Ensuring the presentation of system management functionality is prevented at interfaces to non-privileged users;
e. Ensuring state information is stored separately from applications and software;
f. Documenting OT and AMI reference architectures that define zones, conduits, DMZ patterns, trust boundaries and the target security level for each zone and conduit; and
g.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</si>
  <si>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5.4 | NIST SP 800-82 R3 (Moderate OT overlay): SC-02 | NIST SP 800-53B Moderate: SC-02.
Validation: Annual conformity validation; evidence artifacts to be defined; PPTDF applicability: Technology.</t>
  </si>
  <si>
    <t xml:space="preserve">SR 5.4</t>
  </si>
  <si>
    <t xml:space="preserve">SC-02, SC-02(01)</t>
  </si>
  <si>
    <t xml:space="preserve">SC-02</t>
  </si>
  <si>
    <t xml:space="preserve">SEA-04</t>
  </si>
  <si>
    <t xml:space="preserve">Process Isolation</t>
  </si>
  <si>
    <t xml:space="preserve">Mechanisms exist to implement a separate execution domain for each executing process.</t>
  </si>
  <si>
    <t xml:space="preserve">Does the organization implement a separate execution domain for each executing process?</t>
  </si>
  <si>
    <t xml:space="preserve">The organization implements and operates mechanisms to implement a separate execution domain for each executing process.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</si>
  <si>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a separate execution domain is maintained for each executing system process;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</si>
  <si>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NIST SP 800-82 R3 (Moderate OT overlay): SC-39.
Validation: Annual conformity validation; evidence artifacts to be defined; PPTDF applicability: Technology.</t>
  </si>
  <si>
    <t xml:space="preserve">SC-39</t>
  </si>
  <si>
    <t xml:space="preserve">SEA-04.1</t>
  </si>
  <si>
    <t xml:space="preserve">Security Function Isolation</t>
  </si>
  <si>
    <t xml:space="preserve">Mechanisms exist to isolate security functions from non-security functions.</t>
  </si>
  <si>
    <t xml:space="preserve">Does the organization isolate security functions from non-security functions?</t>
  </si>
  <si>
    <t xml:space="preserve">The organization implements and operates mechanisms to isolate security functions from non-security functions.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</si>
  <si>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security functions are isolated from non-security functions;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</si>
  <si>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NIST SP 800-53B Privacy: SC-03.
Validation: Annual conformity validation; evidence artifacts to be defined; PPTDF applicability: Technology.</t>
  </si>
  <si>
    <t xml:space="preserve">SEA-05</t>
  </si>
  <si>
    <t xml:space="preserve">Information In Shared Resources</t>
  </si>
  <si>
    <t xml:space="preserve">Mechanisms exist to prevent unauthorized and unintended information transfer via shared system resources.</t>
  </si>
  <si>
    <t xml:space="preserve">Does the organization prevent unauthorized and unintended information transfer via shared system resources?</t>
  </si>
  <si>
    <t xml:space="preserve">The organization implements and operates mechanisms to prevent unauthorized and unintended information transfer via shared system resources.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</si>
  <si>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unauthorized information transfer via shared system resources is prevented;
b. Ensuring unintended information transfer via shared system resources is prevented;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</si>
  <si>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Logical Access Control (LAC).
In-scope requirement alignment: NIST SP 800-82 R3 (Moderate OT overlay): SC-04 | NIST SP 800-53B Moderate: SC-04.
Validation: Annual conformity validation; evidence artifacts to be defined; PPTDF applicability: Technology.</t>
  </si>
  <si>
    <t xml:space="preserve">SC-04</t>
  </si>
  <si>
    <t xml:space="preserve">∙ Secure Baseline Configurations (SBC)
∙ Logical Access Control (LAC)</t>
  </si>
  <si>
    <t xml:space="preserve">SEA-06</t>
  </si>
  <si>
    <t xml:space="preserve">Prevent Program Execution</t>
  </si>
  <si>
    <t xml:space="preserve">Automated mechanisms exist to prevent the execution of unauthorized software programs.</t>
  </si>
  <si>
    <t xml:space="preserve">Does the organization use automated mechanisms to prevent the execution of unauthorized software programs?</t>
  </si>
  <si>
    <t xml:space="preserve">The organization implements and operates automated mechanisms to prevent the execution of unauthorized software programs.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</si>
  <si>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policies, rules of behavior, and/or access agreements regarding software program usage and restrictions are defined;
b. Ensuring program execution is prevented in accordance with organization-defined criteria;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</si>
  <si>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NIST SP 800-82 R3 (Moderate OT overlay): CM-07(02) | NIST SP 800-53B Moderate: CM-07(02) | NIST SP 800-53B Privacy: CM-07(02).
Validation: Quarterly conformity validation; evidence artifacts to be defined; PPTDF applicability: Technology.</t>
  </si>
  <si>
    <t xml:space="preserve">SEA-07</t>
  </si>
  <si>
    <t xml:space="preserve">Predictable Failure Analysis</t>
  </si>
  <si>
    <t xml:space="preserve">Mechanisms exist to determine the Mean Time to Failure (MTTF) for system components in specific environments of operation.</t>
  </si>
  <si>
    <t xml:space="preserve">Does the organization determine the Mean Time to Failure (MTTF) for system components in specific environments of operation?</t>
  </si>
  <si>
    <t xml:space="preserve">E-AST-09</t>
  </si>
  <si>
    <t xml:space="preserve">NIST Cybersecurity Framework 2.0; NIST SP 800-53B R5 - Privacy baseline</t>
  </si>
  <si>
    <t xml:space="preserve">The organization implements and operates mechanisms to determine the Mean Time to Failure (MTTF) for system components in specific environments of operation.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</si>
  <si>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system components for which Mean Time to Failure (MTTF) should be determined are defined;
b. Ensuring Mean Time to Failure (MTTF) substitution criteria to be used as a means to exchange active and standby components are defined;
c. Ensuring Mean Time to Failure (MTTF) is determined for system components in specific environments of operation;
d. Ensuring substitute system components and a means to exchange active and standby components are provided in accordance with Mean Time to Failure (MTTF) substitution criteria;
e. Documenting OT and AMI reference architectures that define zones, conduits, DMZ patterns, trust boundaries and the target security level for each zone and conduit; and
f.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</si>
  <si>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Computer Lifecycle Program (CLP); IT Asset Management (ITAM) program; Defined Mean Time to Failure (MTTF) for critical assets.
In-scope requirement alignment: NIST CSF 2.0: ID.AM-08 | NIST SP 800-53B Privacy: SI-13.
Validation: Annual conformity validation; evidence artifacts E-AST-09; PPTDF applicability: Process.</t>
  </si>
  <si>
    <t xml:space="preserve">ID.AM-08</t>
  </si>
  <si>
    <t xml:space="preserve">∙ Computer Lifecycle Program (CLP)
∙ IT Asset Management (ITAM) program
∙ Defined Mean Time to Failure (MTTF) for critical assets</t>
  </si>
  <si>
    <t xml:space="preserve">SEA-07.1</t>
  </si>
  <si>
    <t xml:space="preserve">Technology Lifecycle Management</t>
  </si>
  <si>
    <t xml:space="preserve">Mechanisms exist to manage the usable lifecycles of Technology Assets, Applications and/or Services (TAAS).</t>
  </si>
  <si>
    <t xml:space="preserve">Does the organization manage the usable lifecycles of Technology Assets, Applications and/or Services (TAAS)?</t>
  </si>
  <si>
    <t xml:space="preserve">NIST SP 800-82 R3 - Moderate OT Overlay; NIST Cybersecurity Framework 2.0; DOE Cybersecurity Capability Maturity Model; CSA IoT Security Controls Framework v2; NIST SP 800-161 R1 - C-SCRM Baseline; NIST SP 800-53B R5 - Privacy baseline</t>
  </si>
  <si>
    <t xml:space="preserve">The organization implements and operates mechanisms to manage the usable lifecycles of Technology Assets, Applications and/or Services (TAAS).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</si>
  <si>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a technology refresh schedule is planned for the system throughout the system development life cycle;
b. Ensuring a technology refresh schedule is implemented for the system throughout the system development life cycle;
c. Ensuring system pre-production environments are protected commensurate with risk throughout the system development life cycle for the system, system component or system service;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</si>
  <si>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Computer Lifecycle Program (CLP); IT Asset Management (ITAM) program; Defined Mean Time to Failure (MTTF) for critical assets.
In-scope requirement alignment: NIST SP 800-82 R3 (Moderate OT overlay): SA-03 | DOE C2M2: ASSET-1h | NIST CSF 2.0: GV.SC-09, ID.AM-08, PR.PS-02, PR.PS-03 | NIST SP 800-161 R1 C-SCRM: SA-3 | CSA IoT SCF: CCM-01, CCM-05, POL-04, SET-05 | NIST SP 800-53B Privacy: SA-03, SA-03(01), SA-03(03), SA-08(30).
Validation: Annual conformity validation; evidence artifacts E-AST-09; PPTDF applicability: Process.</t>
  </si>
  <si>
    <t xml:space="preserve">SA-03, SA-03(01), SA-03(03), SA-08(30)</t>
  </si>
  <si>
    <t xml:space="preserve">ASSET-1h</t>
  </si>
  <si>
    <t xml:space="preserve">CCM-01, CCM-05, POL-04, SET-05</t>
  </si>
  <si>
    <t xml:space="preserve">SEA-07.2</t>
  </si>
  <si>
    <t xml:space="preserve">Fail Secure</t>
  </si>
  <si>
    <t xml:space="preserve">Mechanisms exist to enable systems to fail to an organization-defined known-state for types of failures, preserving system state information in failure.</t>
  </si>
  <si>
    <t xml:space="preserve">Does the organization enable systems to fail to an organization-defined known-state for types of failures, preserving system state information in failure?</t>
  </si>
  <si>
    <t xml:space="preserve">The organization implements and operates mechanisms to enable systems to fail to an organization-defined known-state for types of failures, preserving system state information in failure.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</si>
  <si>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restrictions for safe mode of operation are defined;
b. Ensuring conditions detected to enter a safe mode of operation are defined;
c. Ensuring a safe mode of operation is entered with restrictions when conditions are detected;
d. Ensuring systems or system components that implement the security design principle of secure failure are defined;
e. Ensuring systems or system components that implement the security design principle of secure recovery are defined;
f. Ensuring systems or system components implement the security design principle of secure failure;
g. Ensuring systems or system components implement the security design principle of secure recovery;
h. Ensuring types of system failures for which the system components fail to a known state are defined;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</si>
  <si>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5.2 RE 3 | IEC 62443-4-2: NDR 5.2(3) | NIST SP 800-82 R3 (Moderate OT overlay): CP-12, SC-24.
Validation: Annual conformity validation; evidence artifacts to be defined; PPTDF applicability: Technology.</t>
  </si>
  <si>
    <t xml:space="preserve">SR 5.2 RE 3</t>
  </si>
  <si>
    <t xml:space="preserve">NDR 5.2(3)</t>
  </si>
  <si>
    <t xml:space="preserve">CP-12, SA-08(24), SC-24</t>
  </si>
  <si>
    <t xml:space="preserve">CP-12, SC-24</t>
  </si>
  <si>
    <t xml:space="preserve">SG.CP Continuity of Operations; SG.SA Smart Grid Information System and Services Acquisition; SG.SC Smart Grid Information System and Communication Protection</t>
  </si>
  <si>
    <t xml:space="preserve">SEA-07.3</t>
  </si>
  <si>
    <t xml:space="preserve">Fail Safe</t>
  </si>
  <si>
    <t xml:space="preserve">Mechanisms exist to implement fail-safe procedures when failure conditions occur.</t>
  </si>
  <si>
    <t xml:space="preserve">Does the organization implement fail-safe procedures when failure conditions occur?</t>
  </si>
  <si>
    <t xml:space="preserve">IEC 62443-2-1:2024; IEC 62443-4-2:2019; NIST SP 800-82 R3 - Moderate OT Overlay</t>
  </si>
  <si>
    <t xml:space="preserve">The organization implements and operates mechanisms to implement fail-safe procedures when failure conditions occur.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</si>
  <si>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fail-safe procedures associated with failure conditions are defined;
b. Ensuring a list of failure conditions requiring fail-safe procedures is defined;
c. Ensuring fail-safe procedures are implemented when list of failure conditions occur;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</si>
  <si>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62443-2-1: NET 1.4 | IEC 62443-4-2: CR 3.6 | NIST SP 800-82 R3 (Moderate OT overlay): SI-17.
Validation: Annual conformity validation; evidence artifacts to be defined; PPTDF applicability: Technology.</t>
  </si>
  <si>
    <t xml:space="preserve">NET 1.4</t>
  </si>
  <si>
    <t xml:space="preserve">CR 3.6</t>
  </si>
  <si>
    <t xml:space="preserve">SI-17</t>
  </si>
  <si>
    <t xml:space="preserve">SEA-08</t>
  </si>
  <si>
    <t xml:space="preserve">Non-Persistence</t>
  </si>
  <si>
    <t xml:space="preserve">Mechanisms exist to implement non-persistent system components and services that are initiated in a known state and terminated upon the end of the session of use or periodically at an organization-defined frequency.</t>
  </si>
  <si>
    <t xml:space="preserve">Does the organization implement non-persistent system components and services that are initiated in a known state and terminated upon the end of the session of use or periodically at an organization-defined frequency?</t>
  </si>
  <si>
    <t xml:space="preserve">The organization implements and operates mechanisms to implement non-persistent system components and services that are initiated in a known state and terminated upon the end of the session of use or periodically at an organization-defined frequency.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</si>
  <si>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non-persistent system components and services to be implemented are defined;
b. Ensuring the frequency at which to terminate non-persistent components and services that are initiated in a known state is defined;
c. Ensuring non-persistent system components and services that are initiated in a known state are implemented;
d. Ensuring non-persistent system components and services are terminated per organization-defined criteria;
e. Documenting OT and AMI reference architectures that define zones, conduits, DMZ patterns, trust boundaries and the target security level for each zone and conduit; and
f.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</si>
  <si>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4.2, SR 4.2 RE 1 | IEC 62443-4-2: CR 4.2.
Validation: Annual conformity validation; evidence artifacts to be defined; PPTDF applicability: Technology.</t>
  </si>
  <si>
    <t xml:space="preserve">SR 4.2, SR 4.2 RE 1</t>
  </si>
  <si>
    <t xml:space="preserve">CR 4.2</t>
  </si>
  <si>
    <t xml:space="preserve">SI-14</t>
  </si>
  <si>
    <t xml:space="preserve">SEA-08.1</t>
  </si>
  <si>
    <t xml:space="preserve">Refresh from Trusted Sources</t>
  </si>
  <si>
    <t xml:space="preserve">Mechanisms exist to ensure that software and data needed for system component and service refreshes are obtained from trusted sources.</t>
  </si>
  <si>
    <t xml:space="preserve">Does the organization ensure that software and data needed for system component and service refreshes are obtained from trusted sources?</t>
  </si>
  <si>
    <t xml:space="preserve">IEC 62443-4-2:2019; CSA IoT Security Controls Framework v2; NIST SP 800-53B R5 - Privacy baseline</t>
  </si>
  <si>
    <t xml:space="preserve">The organization implements and operates mechanisms to ensure that software and data needed for system component and service refreshes are obtained from trusted sources.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</si>
  <si>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a technology refresh schedule is planned for the system throughout the system development life cycle;
b. Ensuring a technology refresh schedule is implemented for the system throughout the system development life cycle;
c. Ensuring trusted sources to obtain software and data for system component and service refreshes are defined;
d. Ensuring the software and data employed during system component and service refreshes are obtained from organization-defined trusted sources;
e. Ensuring approved systems and system components are identified;
f. Ensuring implemented system components are identified;
g. Ensuring an authoritative source and repository are established to provide a trusted source and accountability for approved and implemented system components;
h. Ensuring an authoritative source and repository are maintained to provide a trusted source and accountability for approved and implemented system components;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</si>
  <si>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covert channel analysis program; Formal covert channel testing for high-assurance systems.
In-scope requirement alignment: IEC 62443-4-2: CR 3.12, CR 3.13 | CSA IoT SCF: CLS-12, DAT-03 | NIST SP 800-53B Privacy: SA-03(03).
Validation: Annual conformity validation; evidence artifacts to be defined; PPTDF applicability: Process.</t>
  </si>
  <si>
    <t xml:space="preserve">CR 3.12, CR 3.13</t>
  </si>
  <si>
    <t xml:space="preserve">SA-03(03), SI-14(01)</t>
  </si>
  <si>
    <t xml:space="preserve">CLS-12, DAT-03</t>
  </si>
  <si>
    <t xml:space="preserve">SA-03(03)</t>
  </si>
  <si>
    <t xml:space="preserve">SG.SA Smart Grid Information System and Services Acquisition; SG.SI Smart Grid Information System and Information Integrity</t>
  </si>
  <si>
    <t xml:space="preserve">∙ Enterprise covert channel analysis program
∙ Formal covert channel testing for high-assurance systems</t>
  </si>
  <si>
    <t xml:space="preserve">SEA-10</t>
  </si>
  <si>
    <t xml:space="preserve">Memory Protection</t>
  </si>
  <si>
    <t xml:space="preserve">Mechanisms exist to implement security safeguards to protect system memory from unauthorized code execution.</t>
  </si>
  <si>
    <t xml:space="preserve">Does the organization implement security safeguards to protect system memory from unauthorized code execution?</t>
  </si>
  <si>
    <t xml:space="preserve">The organization implements and operates mechanisms to implement security safeguards to protect system memory from unauthorized code execution.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</si>
  <si>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controls to be implemented to protect the system memory from unauthorized code execution are defined;
b. Ensuring controls are implemented to protect the system memory from unauthorized code execution;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</si>
  <si>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NIST SP 800-82 R3 (Moderate OT overlay): SI-16 | NIST SP 800-53B Moderate: SI-16.
Validation: Annual conformity validation; evidence artifacts to be defined; PPTDF applicability: Technology.</t>
  </si>
  <si>
    <t xml:space="preserve">SI-16</t>
  </si>
  <si>
    <t xml:space="preserve">SEA-11</t>
  </si>
  <si>
    <t xml:space="preserve">Honeypots</t>
  </si>
  <si>
    <t xml:space="preserve">Mechanisms exist to utilize honeypots that are specifically designed to be the target of malicious attacks for the purpose of detecting, deflecting and analyzing such attacks.</t>
  </si>
  <si>
    <t xml:space="preserve">Does the organization utilize honeypots that are specifically designed to be the target of malicious attacks for the purpose of detecting, deflecting and analyzing such attacks?</t>
  </si>
  <si>
    <t xml:space="preserve">The organization implements and operates mechanisms to utilize honeypots that are specifically designed to be the target of malicious attacks for the purpose of detecting, deflecting and analyzing such attacks.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</si>
  <si>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environments or resources which may contain or may be related to anomalous or suspected adversarial behavior are defined;
b. Ensuring anomalous or suspected adversarial behavior in or related to organization-defined environments or resources are analyzed;
c. Ensuring components within organizational systems specifically designed to be the target of malicious attacks are included to detect such attacks;
d. Ensuring components within organizational systems specifically designed to be the target of malicious attacks are included to deflect such attacks;
e. Ensuring components within organizational systems specifically designed to be the target of malicious attacks are included to analyze such attacks;
f. Ensuring technical and procedural means to confuse and mislead adversaries are defined;
g. Ensuring technical and procedural means are employed to confuse and mislead adversaries;
h. Documenting OT and AMI reference architectures that define zones, conduits, DMZ patterns, trust boundaries and the target security level for each zone and conduit; and
i.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</si>
  <si>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deception technology platform (e.g., Attivo, Illusive Networks, Thinkst Canary); Integrated with SIEM/SOAR.
In-scope requirement alignment: NIST SP 800-53B Privacy: IR-04(13).
Validation: Annual conformity validation; evidence artifacts to be defined; PPTDF applicability: Technology.</t>
  </si>
  <si>
    <t xml:space="preserve">IR-04(13), SC-26</t>
  </si>
  <si>
    <t xml:space="preserve">SG.IR Incident Response; SG.SC Smart Grid Information System and Communication Protection</t>
  </si>
  <si>
    <t xml:space="preserve">∙ Enterprise deception technology platform (e.g., Attivo, Illusive Networks, Thinkst Canary)
∙ Integrated with SIEM/SOAR</t>
  </si>
  <si>
    <t xml:space="preserve">SEA-12</t>
  </si>
  <si>
    <t xml:space="preserve">Honeyclients</t>
  </si>
  <si>
    <t xml:space="preserve">Mechanisms exist to utilize honeyclients that proactively seek to identify malicious websites and/or web-based malicious code.</t>
  </si>
  <si>
    <t xml:space="preserve">Does the organization utilize honeyclients that proactively seek to identify malicious websites and/or web-based malicious code?</t>
  </si>
  <si>
    <t xml:space="preserve">The organization implements and operates mechanisms to utilize honeyclients that proactively seek to identify malicious websites and/or web-based malicious code.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</si>
  <si>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system components that proactively seek to identify network-based malicious code or malicious websites are included;
b. Ensuring environments or resources which may contain or may be related to anomalous or suspected adversarial behavior are defined;
c. Ensuring anomalous or suspected adversarial behavior in or related to organization-defined environments or resources are analyzed;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</si>
  <si>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domain separation architecture; Formal isolation standards; Cross-domain solution governance.
In-scope requirement alignment: NIST SP 800-53B Privacy: IR-04(13).
Validation: Quarterly conformity validation; evidence artifacts to be defined; PPTDF applicability: Technology.</t>
  </si>
  <si>
    <t xml:space="preserve">IR-04(13), SC-35</t>
  </si>
  <si>
    <t xml:space="preserve">∙ Enterprise domain separation architecture
∙ Formal isolation standards
∙ Cross-domain solution governance</t>
  </si>
  <si>
    <t xml:space="preserve">SEA-15</t>
  </si>
  <si>
    <t xml:space="preserve">Distributed Processing &amp; Storage</t>
  </si>
  <si>
    <t xml:space="preserve">Mechanisms exist to distribute processing and storage across multiple physical locations.</t>
  </si>
  <si>
    <t xml:space="preserve">Does the organization distribute processing and storage across multiple physical locations?</t>
  </si>
  <si>
    <t xml:space="preserve">The organization implements and operates mechanisms to distribute processing and storage across multiple physical locations.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</si>
  <si>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the logical and physical location where the system resides is planned considering physical and environmental hazards;
b. Ensuring for existing facilities, physical and environmental hazards are considered in the organizational risk management strategy;
c. Ensuring processing components to be distributed across multiple locations/domains are defined;
d. Ensuring storage components to be distributed across multiple locations/domains are defined;
e. Ensuring processing components are distributed across organization-defined locations;
f. Ensuring storage components are distributed across organization-defined locations;
g. Ensuring system functions or resources to distribute and relocate are defined;
h. Ensuring frequency to distribute and relocate system functions or resources is defined;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</si>
  <si>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SCA platform (e.g., Snyk, Mend, Black Duck); Automated open source vulnerability detection; License compliance management.
In-scope requirement alignment: NIST SP 800-53B Privacy: PE-23.
Validation: Annual conformity validation; evidence artifacts to be defined; PPTDF applicability: Technology.</t>
  </si>
  <si>
    <t xml:space="preserve">PE-23, SC-36</t>
  </si>
  <si>
    <t xml:space="preserve">∙ Enterprise SCA platform (e.g., Snyk, Mend, Black Duck)
∙ Automated open source vulnerability detection
∙ License compliance management</t>
  </si>
  <si>
    <t xml:space="preserve">SEA-18</t>
  </si>
  <si>
    <t xml:space="preserve">System Use Notification (Logon Banner)</t>
  </si>
  <si>
    <t xml:space="preserve">Mechanisms exist to utilize system use notification / logon banners that display an approved system use notification message or banner before granting access to Technology Assets, Applications and/or Services (TAAS).</t>
  </si>
  <si>
    <t xml:space="preserve">Does the organization utilize system use notification / logon banners that display an approved system use notification message or banner before granting access to Technology Assets, Applications and/or Services (TAAS)?</t>
  </si>
  <si>
    <t xml:space="preserve">E-SEA-01</t>
  </si>
  <si>
    <t xml:space="preserve">The organization implements and operates mechanisms to utilize system use notification / logon banners that display an approved system use notification message or banner before granting access to Technology Assets, Applications and/or Services (TAAS).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</si>
  <si>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system use notification message or banner to be displayed by the system to users before granting access to the system is defined;
b. Ensuring conditions for system use to be displayed by the system before granting further access are defined;
c. Ensuring privacy and security notices required by statutory/regulatory-specified rules are identified, consistent, and associated with the specific sensitive/regulated data category;
d. Ensuring privacy and security notices are displayed;
e. Ensuring organization-defined system use notification is displayed to users before granting access to the system that provides privacy and security notices consistent with applicable laws, Executive Orders, directives, regulations, policies, standards and guidelines;
f. Ensuring the system use notification states that users are accessing a protected system;
g. Ensuring the system use notification states that system usage may be monitored, recorded and subject to audit;
h. Ensuring the system use notification states that unauthorized use of the system is prohibited and subject to criminal and civil penalties;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</si>
  <si>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1.12 | IEC 62443-4-2: CR 1.12 | NIST SP 800-82 R3 (Moderate OT overlay): AC-08.
Validation: Annual conformity validation; evidence artifacts E-SEA-01; PPTDF applicability: Technology.</t>
  </si>
  <si>
    <t xml:space="preserve">SR 1.12</t>
  </si>
  <si>
    <t xml:space="preserve">CR 1.12</t>
  </si>
  <si>
    <t xml:space="preserve">AC-08</t>
  </si>
  <si>
    <t xml:space="preserve">SEA-18.1</t>
  </si>
  <si>
    <t xml:space="preserve">Standardized Microsoft Windows Banner</t>
  </si>
  <si>
    <t xml:space="preserve">Mechanisms exist to configure Microsoft Windows-based systems to display an approved logon banner before granting access to the system.</t>
  </si>
  <si>
    <t xml:space="preserve">Does the organization configure Microsoft Windows-based systems to display an approved logon banner before granting access to the system?</t>
  </si>
  <si>
    <t xml:space="preserve">The organization implements and operates mechanisms to configure Microsoft Windows-based systems to display an approved logon banner before granting access to the system.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</si>
  <si>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Microsoft Windows-based systems are configured to display an approved logon banner before granting access to the system that provides privacy and security notices;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</si>
  <si>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1.12 | IEC 62443-4-2: CR 1.12.
Validation: Annual conformity validation; evidence artifacts E-SEA-01; PPTDF applicability: Technology.</t>
  </si>
  <si>
    <t xml:space="preserve">SEA-18.2</t>
  </si>
  <si>
    <t xml:space="preserve">Truncated Banner</t>
  </si>
  <si>
    <t xml:space="preserve">Mechanisms exist to utilize a truncated system use notification / logon banner on systems not capable of displaying a logon banner from a centralized directory services technology (e.g., Active Directory, Entra ID, etc.).</t>
  </si>
  <si>
    <t xml:space="preserve">Does the organization utilize a truncated system use notification / logon banner on systems not capable of displaying a logon banner from a centralized directory services technology (e.g., Active Directory, Entra ID, etc.)?</t>
  </si>
  <si>
    <t xml:space="preserve">The organization implements and operates mechanisms to utilize a truncated system use notification / logon banner on systems not capable of displaying a logon banner from a centralized directory services technology (e.g., Active Directory, Entra ID, etc.).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</si>
  <si>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where technically feasible, systems utilize a truncated system use notification / logon banner on systems not capable of displaying a logon banner from a centralized source (e.g., Active Directory);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</si>
  <si>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SEA-19</t>
  </si>
  <si>
    <t xml:space="preserve">Previous Logon Notification</t>
  </si>
  <si>
    <t xml:space="preserve">Mechanisms exist to configure systems that process, store or transmit sensitive and/or regulated data to notify the user, upon successful logon, of the number of unsuccessful logon attempts since the last successful logon.</t>
  </si>
  <si>
    <t xml:space="preserve">Does the organization configure systems that process, store or transmit sensitive and/or regulated data to notify the user, upon successful logon, of the number of unsuccessful logon attempts since the last successful logon?</t>
  </si>
  <si>
    <t xml:space="preserve">The organization implements and operates mechanisms to configure systems that process, store or transmit sensitive and/or regulated data to notify the user, upon successful logon, of the number of unsuccessful logon attempts since the last successful logon.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</si>
  <si>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the user is notified, upon successful logon to the system, of the date and time of the last logon;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</si>
  <si>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62443-2-1: USER 1.13.
Validation: Annual conformity validation; evidence artifacts to be defined; PPTDF applicability: Technology.</t>
  </si>
  <si>
    <t xml:space="preserve">USER 1.13</t>
  </si>
  <si>
    <t xml:space="preserve">AC-09</t>
  </si>
  <si>
    <t xml:space="preserve">SEA-20</t>
  </si>
  <si>
    <t xml:space="preserve">Clock Synchronization</t>
  </si>
  <si>
    <t xml:space="preserve">Mechanisms exist to utilize time-synchronization technology to synchronize all critical system clocks.</t>
  </si>
  <si>
    <t xml:space="preserve">Does the organization utilize time-synchronization technology to synchronize all critical system clocks?</t>
  </si>
  <si>
    <t xml:space="preserve">IEC 62443-2-1:2024; IEC 62443-3-3:2013; IEC 62443-4-2:2019; NIST SP 800-82 R3 - Moderate OT Overlay; NIST SP 800-53B R5 - Privacy baseline</t>
  </si>
  <si>
    <t xml:space="preserve">The organization implements and operates mechanisms to utilize time-synchronization technology to synchronize all critical system clocks.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</si>
  <si>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granularity of time measurement for audit record timestamps is defined;
b. Ensuring internal system clocks are used to generate timestamps for audit records;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</si>
  <si>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62443-2-1: NET 1.9 | IEC 62443-3-3: SR 2.11 RE 1 | IEC 62443-4-2: CR 2.11(2) | NIST SP 800-82 R3 (Moderate OT overlay): AU-08 | NIST SP 800-53B Privacy: AU-08.
Validation: Annual conformity validation; evidence artifacts to be defined; PPTDF applicability: Technology.</t>
  </si>
  <si>
    <t xml:space="preserve">NET 1.9</t>
  </si>
  <si>
    <t xml:space="preserve">SR 2.11 RE 1</t>
  </si>
  <si>
    <t xml:space="preserve">CR 2.11(2)</t>
  </si>
  <si>
    <t xml:space="preserve">8.17</t>
  </si>
  <si>
    <t xml:space="preserve">OPS-01</t>
  </si>
  <si>
    <t xml:space="preserve">Operations Security</t>
  </si>
  <si>
    <t xml:space="preserve">Security Operations</t>
  </si>
  <si>
    <t xml:space="preserve">OPS</t>
  </si>
  <si>
    <t xml:space="preserve">Mechanisms exist to facilitate the implementation of operational security controls.</t>
  </si>
  <si>
    <t xml:space="preserve">Does the organization facilitate the implementation of operational security controls?</t>
  </si>
  <si>
    <t xml:space="preserve">E-HRS-01, E-HRS-03, E-HRS-04, E-HRS-13, E-HRS-15, E-HRS-27</t>
  </si>
  <si>
    <t xml:space="preserve">Director, IT Service Management</t>
  </si>
  <si>
    <t xml:space="preserve">Director, System Operations (OT)</t>
  </si>
  <si>
    <t xml:space="preserve">MSSP / SOC provider; OT operations support vendors</t>
  </si>
  <si>
    <t xml:space="preserve">The organization shall deliver secure, compliant and resilient operations through defined procedures, runbooks and security operations capabilities that cover enterprise IT, OT and AMI environments, with clear hand-offs between the security operations function, system operations and field operations.</t>
  </si>
  <si>
    <t xml:space="preserve">The organization develops, implements and governs processes and documentation to facilitate the implementation of operational security controls, as well as associated standards, controls and procedures, across enterprise IT, Operational Technology (OT) and Advanced Metering Infrastructure (AMI) environments.
Within the OT and AMI environment, this objective defines operating procedures and security operations coverage for OT and AMI, including coordination between the SOC, system operations and field operations.</t>
  </si>
  <si>
    <t xml:space="preserve">The Managed Security Service Provider (MSSP), under the oversight of the Security Operations function and with OT visibility requirements, is responsible for:
a. Ensuring operations security controls to be employed to protect key organizational information throughout the system development life cycle are defined;
b. Ensuring operations security controls are employed to protect key organizational information throughout the system development life cycle;
c. Ensuring security operations are conducted according to documented policies, standards, procedures and/or other organizational directives;
d. Ensuring adequate resources (e.g., people, processes, technologies, data and/or facilities) are provided to support security operations;
e. Ensuring responsibility and authority for the performance of security operations-related activities are assigned to designated personnel;
f. Ensuring personnel performing security operations-related activities have the skills and knowledge needed to perform their assigned duties; and
g. Maintaining standardized operating procedures for OT and AMI security operations, including coordination with system and field operations.</t>
  </si>
  <si>
    <t xml:space="preserve">OT/AMI implementation guidance: Document a security concept of operations for OT and AMI that defines monitoring scope, escalation paths and authority to act in operational environments.
Suggested solutions and considerations (SCF 2026.2, enterprise): Documented Standardized Operating Procedures (SOP); VisibleOps; ITIL 4; COBIT 2019 Framework.
In-scope requirement alignment: NIST CSF 2.0: ID.IM | NIST SP 800-53B Privacy: SC-38, SR-07.
Validation: Annual conformity validation; evidence artifacts E-HRS-01, E-HRS-03, E-HRS-04, E-HRS-13, E-HRS-15, E-HRS-27; PPTDF applicability: Process.</t>
  </si>
  <si>
    <t xml:space="preserve">SC-38, SR-07</t>
  </si>
  <si>
    <t xml:space="preserve">ID.IM</t>
  </si>
  <si>
    <t xml:space="preserve">SG.SC Smart Grid Information System and Communication Protection; SG.SA Smart Grid Information System and Services Acquisition (supply chain)</t>
  </si>
  <si>
    <t xml:space="preserve">5.37</t>
  </si>
  <si>
    <t xml:space="preserve">∙ Documented Standardized Operating Procedures (SOP)
∙ VisibleOps (https://itpi.org) 
∙ ITIL 4 (https://axelos.com)
∙ COBIT 2019 Framework (https://isaca.org)</t>
  </si>
  <si>
    <t xml:space="preserve">OPS-01.1</t>
  </si>
  <si>
    <t xml:space="preserve">Standardized Operating Procedures (SOP)</t>
  </si>
  <si>
    <t xml:space="preserve">Mechanisms exist to identify and document Standardized Operating Procedures (SOP), or similar documentation, to enable the proper execution of day-to-day / assigned tasks.</t>
  </si>
  <si>
    <t xml:space="preserve">Does the organization identify and document Standardized Operating Procedures (SOP), or similar documentation, to enable the proper execution of day-to-day / assigned tasks?</t>
  </si>
  <si>
    <t xml:space="preserve">E-GOV-11</t>
  </si>
  <si>
    <t xml:space="preserve">The organization implements and operates mechanisms to identify and document Standardized Operating Procedures (SOP), or similar documentation, to enable the proper execution of day-to-day / assigned tasks.
Within the OT and AMI environment, this objective defines operating procedures and security operations coverage for OT and AMI, including coordination between the SOC, system operations and field operations.</t>
  </si>
  <si>
    <t xml:space="preserve">IT Operations and OT Operations teams (asset custodians) are responsible for:
a. Ensuring procedures needed to satisfy the security requirements for the protection of sensitive / regulated data are developed and documented;
b. Ensuring procedures needed to satisfy the security requirements for the protection of sensitive / regulated data are disseminated to organizational personnel or roles;
c. Ensuring the current cybersecurity / data privacy procedures are reviewed / updated frequently;
d. Ensuring the current cybersecurity / data privacy procedures are reviewed / updated following events;
e. Ensuring personnel or roles to whom cybersecurity / data privacy procedures are to be disseminated is/are defined;
f. Ensuring events that would require procedures to be reviewed / updated are defined;
g. Ensuring systems or system components that implement the security design principle of sufficient documentation are defined;
h. Ensuring systems or system components implement the security design principle of sufficient documentation; and
i. Maintaining standardized operating procedures for OT and AMI security operations, including coordination with system and field operations.</t>
  </si>
  <si>
    <t xml:space="preserve">OT/AMI implementation guidance: Document a security concept of operations for OT and AMI that defines monitoring scope, escalation paths and authority to act in operational environments.
Suggested solutions and considerations (SCF 2026.2, enterprise): Documented Standardized Operating Procedures (SOP); ComplianceForge - Cybersecurity Standardized Operating Procedures (CSOP).
In-scope requirement alignment: NERC CIP: CIP-006-6 1.1 | DOE C2M2: ASSET-5a, THREAT-3a, RISK-5a, ACCESS-4a, SITUATION-4a, RESPONSE-5a, THIRD-PARTIES-3a, WORKFORCE-5a, ARCHITECTURE-6a, PROGRAM-3a | NIST CSF 2.0: ID.IM.
Validation: Annual conformity validation; evidence artifacts E-GOV-11; PPTDF applicability: Process.</t>
  </si>
  <si>
    <t xml:space="preserve">SA-08(32)</t>
  </si>
  <si>
    <t xml:space="preserve">CIP-006-6 1.1</t>
  </si>
  <si>
    <t xml:space="preserve">ASSET-5a, THREAT-3a, RISK-5a, ACCESS-4a, SITUATION-4a, RESPONSE-5a, THIRD-PARTIES-3a, WORKFORCE-5a, ARCHITECTURE-6a, PROGRAM-3a</t>
  </si>
  <si>
    <t xml:space="preserve">∙ Documented Standardized Operating Procedures (SOP)
∙ ComplianceForge - Cybersecurity Standardized Operating Procedures (CSOP)</t>
  </si>
  <si>
    <t xml:space="preserve">OPS-02</t>
  </si>
  <si>
    <t xml:space="preserve">Security Concept Of Operations (CONOPS)</t>
  </si>
  <si>
    <t xml:space="preserve">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</si>
  <si>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 xml:space="preserve">Does the organization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</si>
  <si>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 xml:space="preserve">The organization implements and operates mechanisms to develop a security Concept of Operations (CONOPS), or a similarly-defined plan for achieving cybersecurity objectives, that documents management, operational and technical measures implemented to apply defense-in-depth techniques that is communicated to all appropriate stakeholders.
Within the OT and AMI environment, this objective defines operating procedures and security operations coverage for OT and AMI, including coordination between the SOC, system operations and field operations.</t>
  </si>
  <si>
    <t xml:space="preserve">The Chief Information Security Officer (CISO), in coordination with the OT Security Lead, is responsible for:
a. Ensuring a Concept of Operations (CONOPS) for the system describing how the organization intends to operate the system from the perspective of cybersecurity / data privacy is developed;
b. Ensuring frequency for review / update of the Concept of Operations (CONOPS) is defined;
c. Ensuring the Concept of Operations (CONOPS) is reviewed / updated per an organization-defined frequency; and
d. Maintaining standardized operating procedures for OT and AMI security operations, including coordination with system and field operations.</t>
  </si>
  <si>
    <t xml:space="preserve">OT/AMI implementation guidance: Document a security concept of operations for OT and AMI that defines monitoring scope, escalation paths and authority to act in operational environments.
Suggested solutions and considerations (SCF 2026.2, enterprise): Cybersecurity-focused Concept of Operations (CONOPS).
In-scope requirement alignment: NIST Privacy Framework: ID.BE-P3.
Validation: Annual conformity validation; evidence artifacts to be defined; PPTDF applicability: Process.</t>
  </si>
  <si>
    <t xml:space="preserve">PL-07</t>
  </si>
  <si>
    <t xml:space="preserve">∙ Cybersecurity-focused Concept of Operations (CONOPS)</t>
  </si>
  <si>
    <t xml:space="preserve">OPS-03</t>
  </si>
  <si>
    <t xml:space="preserve">Service Delivery
(Business Process Support)</t>
  </si>
  <si>
    <t xml:space="preserve">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</si>
  <si>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 xml:space="preserve">Does the organization define supporting business processes and implement appropriate governance and service management to ensure appropriate planning, delivery and support of its technology capabilities supporting business functions, workforce, and/or customers based on industry-recognized standards to achieve the specific goals of the process area?</t>
  </si>
  <si>
    <t xml:space="preserve">The organization implements and operates mechanisms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
Within the OT and AMI environment, this objective defines operating procedures and security operations coverage for OT and AMI, including coordination between the SOC, system operations and field operations.</t>
  </si>
  <si>
    <t xml:space="preserve">The Project Management Office (PMO), including OT and AMI program managers, is responsible for:
a. Ensuring supporting business processes are defined;
b. Ensuring appropriate governance and service management is implemented to ensure appropriate planning, delivery and support of business functions, workforce, and/or customers; and
c. Maintaining standardized operating procedures for OT and AMI security operations, including coordination with system and field operations.</t>
  </si>
  <si>
    <t xml:space="preserve">OT/AMI implementation guidance: Document a security concept of operations for OT and AMI that defines monitoring scope, escalation paths and authority to act in operational environments.
Suggested solutions and considerations (SCF 2026.2, enterprise): Documented Standardized Operating Procedures (SOP); VisibleOps; ITIL 4; COBIT 2019 Framework.
In-scope requirement alignment: CSA IoT SCF: IAM-16 | NIST Privacy Framework: ID.IM-P5.
Validation: Annual conformity validation; evidence artifacts E-TPM-04; PPTDF applicability: Process.</t>
  </si>
  <si>
    <t xml:space="preserve">IAM-16</t>
  </si>
  <si>
    <t xml:space="preserve">ID.IM-P5</t>
  </si>
  <si>
    <t xml:space="preserve">OPS-04</t>
  </si>
  <si>
    <t xml:space="preserve">Security Operations Center (SOC)</t>
  </si>
  <si>
    <t xml:space="preserve">Mechanisms exist to establish and maintain a Security Operations Center (SOC) that facilitates a 24x7 response capability.</t>
  </si>
  <si>
    <t xml:space="preserve">Does the organization establish and maintain a Security Operations Center (SOC) that facilitates a 24x7 response capability?</t>
  </si>
  <si>
    <t xml:space="preserve">E-OPS-01</t>
  </si>
  <si>
    <t xml:space="preserve">The organization implements and operates mechanisms to establish and maintain a Security Operations Center (SOC) that facilitates a 24x7 response capability.
Within the OT and AMI environment, this objective defines operating procedures and security operations coverage for OT and AMI, including coordination between the SOC, system operations and field operations.</t>
  </si>
  <si>
    <t xml:space="preserve">IT Operations and OT Operations are jointly responsible for:
a. Ensuring a Security Operations Center (SOC) capability is established and maintained;
b. Ensuring a time period to operate a Security Operations Center (SOC) capability is defined;
c. Ensuring the Security Operations Center (SOC) capability operates according to an organization-defined time period; and
d. Maintaining standardized operating procedures for OT and AMI security operations, including coordination with system and field operations.</t>
  </si>
  <si>
    <t xml:space="preserve">OT/AMI implementation guidance: Document a security concept of operations for OT and AMI that defines monitoring scope, escalation paths and authority to act in operational environments.
Suggested solutions and considerations (SCF 2026.2, enterprise): In-house 24x7 Security Operations Center (SOC).
In-scope requirement alignment: NIST SP 800-53B Privacy: SC-38.
Validation: Annual conformity validation; evidence artifacts E-OPS-01; PPTDF applicability: Process.</t>
  </si>
  <si>
    <t xml:space="preserve">IR-04(14), SC-38</t>
  </si>
  <si>
    <t xml:space="preserve">SC-38</t>
  </si>
  <si>
    <t xml:space="preserve">∙ In-house 24x7 Security Operations Center (SOC)</t>
  </si>
  <si>
    <t xml:space="preserve">SAT-01</t>
  </si>
  <si>
    <t xml:space="preserve">Security, Compliance &amp; Resilience-Minded Workforce</t>
  </si>
  <si>
    <t xml:space="preserve">Security Awareness &amp; Training</t>
  </si>
  <si>
    <t xml:space="preserve">SAT</t>
  </si>
  <si>
    <t xml:space="preserve">Mechanisms exist to facilitate the implementation of security workforce development and awareness controls.</t>
  </si>
  <si>
    <t xml:space="preserve">Does the organization facilitate the implementation of security workforce development and awareness controls?</t>
  </si>
  <si>
    <t xml:space="preserve">E-SAT-02, E-SAT-04, E-SAT-05</t>
  </si>
  <si>
    <t xml:space="preserve">Security Awareness &amp; Training Lead</t>
  </si>
  <si>
    <t xml:space="preserve">OT Training Coordinator</t>
  </si>
  <si>
    <t xml:space="preserve">Training content providers</t>
  </si>
  <si>
    <t xml:space="preserve">The organization shall foster a security, compliance and resilience-minded workforce through awareness and role-based training that includes OT and AMI-specific content for engineers, operators, field crews, meter technicians and vendor personnel.</t>
  </si>
  <si>
    <t xml:space="preserve">The organization develops, implements and governs processes and documentation to facilitate the implementation of security workforce development and awareness controls, as well as associated standards, controls and procedures, across enterprise IT, Operational Technology (OT) and Advanced Metering Infrastructure (AMI) environments.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</si>
  <si>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a cybersecurity / data privacy workforce development and improvement program is established;
b. Ensuring the cybersecurity / data privacy education and awareness program is organization-wide;
c. Ensuring Security Awareness &amp; Training (SAT) operations are conducted according to documented policies, standards, procedures and/or other organizational directives;
d. Ensuring adequate resources (e.g., people, processes, technologies, data and/or facilities) are provided to support Security Awareness &amp; Training (SAT) operations;
e. Ensuring responsibility and authority for the performance of Security Awareness &amp; Training (SAT)-related activities are assigned to designated personnel;
f. Ensuring the frequency at which to provide security literacy training to system users after initial training is defined;
g. Ensuring events that require security literacy training for system users are defined;
h. Ensuring security literacy training is provided to system users as part of initial training for new users; and
i.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</si>
  <si>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Chief Information Security Officer (CISO).
In-scope requirement alignment: NIST SP 800-82 R3 (Moderate OT overlay): PM-13 | NERC CIP: CIP-003-8 1.2.1 | CISA CPG: 2.I | DOE C2M2: WORKFORCE-2a, WORKFORCE-2b, WORKFORCE-2c, WORKFORCE-4f | NIST CSF 2.0: PR.AT | NIST SP 800-161 R1 C-SCRM: AT-1 | CSA IoT SCF: TRN-01, TRN-02 | NIST Privacy Framework: GV.AT-P, GV.AT-P1, GV.AT-P2, GV.AT-P3, GV.AT-P4 | NIST SP 800-53B Privacy: AT-01, PM-13.
Validation: Annual conformity validation; evidence artifacts E-SAT-02, E-SAT-04, E-SAT-05; PPTDF applicability: Process.</t>
  </si>
  <si>
    <t xml:space="preserve">AT-01, PM-13</t>
  </si>
  <si>
    <t xml:space="preserve">CIP-003-8 1.2.1</t>
  </si>
  <si>
    <t xml:space="preserve">2.I</t>
  </si>
  <si>
    <t xml:space="preserve">WORKFORCE-2a, WORKFORCE-2b, WORKFORCE-2c, WORKFORCE-4f</t>
  </si>
  <si>
    <t xml:space="preserve">PR.AT</t>
  </si>
  <si>
    <t xml:space="preserve">AT-1</t>
  </si>
  <si>
    <t xml:space="preserve">TRN-01, TRN-02</t>
  </si>
  <si>
    <t xml:space="preserve">GV.AT-P, GV.AT-P1, GV.AT-P2, GV.AT-P3, GV.AT-P4</t>
  </si>
  <si>
    <t xml:space="preserve">SG.AT Awareness and Training; SG.PM Security Program Management</t>
  </si>
  <si>
    <t xml:space="preserve">7.4, 7.4(a), 7.4(b), 7.4(c), 7.4(d)</t>
  </si>
  <si>
    <t xml:space="preserve">∙ Chief Information Security Officer (CISO)</t>
  </si>
  <si>
    <t xml:space="preserve">SAT-01.1</t>
  </si>
  <si>
    <t xml:space="preserve">Maintaining Workforce Development Relevancy</t>
  </si>
  <si>
    <t xml:space="preserve">Mechanisms exist to periodically review security workforce development and awareness training to account for changes to:
(1) Organizational policies, standards and procedures;
(2) Assigned roles and responsibilities;
(3) Relevant threats and risks; and
(4) Technological developments.</t>
  </si>
  <si>
    <t xml:space="preserve">Does the organization periodically review security workforce development and awareness training to account for changes to:
(1) Organizational policies, standards and procedures;
(2) Assigned roles and responsibilities;
(3) Relevant threats and risks; and
(4) Technological developments?</t>
  </si>
  <si>
    <t xml:space="preserve">The organization implements and operates mechanisms to periodically review security workforce development and awareness training to account for changes to: (1) Organizational policies, standards and procedures; (2) Assigned roles and responsibilities; (3) Relevant threats and risks; and (4) Technological developments.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</si>
  <si>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security workforce development and awareness training is periodically reviewed to account for changes to organizational policies, standards and procedures;
b. Ensuring security workforce development and awareness training is periodically reviewed to account for changes to assigned roles and responsibilities;
c. Ensuring security workforce development and awareness training is periodically reviewed to account for changes to relevant threats and risks;
d. Ensuring security workforce development and awareness training is periodically reviewed to account for changes to technological developments; and
e.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</si>
  <si>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role-based security training program (e.g., KnowBe4, SANS); Technical training paths by role; Certification support.
In-scope requirement alignment: DOE C2M2: WORKFORCE-2g, WORKFORCE-4e.
Validation: Annual conformity validation; evidence artifacts to be defined; PPTDF applicability: Process.</t>
  </si>
  <si>
    <t xml:space="preserve">WORKFORCE-2g, WORKFORCE-4e</t>
  </si>
  <si>
    <t xml:space="preserve">∙ Enterprise role-based security training program (e.g., KnowBe4, SANS)
∙ Technical training paths by role
∙ Certification support</t>
  </si>
  <si>
    <t xml:space="preserve">SAT-02</t>
  </si>
  <si>
    <t xml:space="preserve">Security, Compliance &amp; Resilience Awareness Training</t>
  </si>
  <si>
    <t xml:space="preserve">Mechanisms exist to provide all employees and contractors appropriate security, compliance and resilience awareness education and training that is relevant for their job function.</t>
  </si>
  <si>
    <t xml:space="preserve">Does the organization provide all employees and contractors appropriate security, compliance and resilience awareness education and training that is relevant for their job function?</t>
  </si>
  <si>
    <t xml:space="preserve">E-SAT-02</t>
  </si>
  <si>
    <t xml:space="preserve">The organization implements and operates mechanisms to provide all employees and contractors appropriate security, compliance and resilience awareness education and training that is relevant for their job function.
Within the OT and AMI environment, this objective delivers OT and AMI-specific awareness and role-based training to engineers, operators, field crews, meter technicians and vendor personnel.</t>
  </si>
  <si>
    <t xml:space="preserve">Human Resources, in coordination with OT line management, is responsible for:
a. Ensuring cybersecurity / data privacy literacy training is provided to system users (including managers, senior executives and contractors) as part of initial training for new users;
b. Ensuring cybersecurity / data privacy literacy training is provided to system users (including managers, senior executives and contractors) organization-defined frequency thereafter;
c. Ensuring cybersecurity / data privacy literacy training is provided to system users (including managers, senior executives and contractors) when required by system changes or following organization-defined events;
d. Ensuring security risks associated with organizational activities involving sensitive / regulated data are identified;
e. Ensuring policies, standards and procedures related to the security of the system are identified;
f. Ensuring managers, systems administrators and users of the system are made aware of the security risks associated with their activities;
g. Ensuring managers, systems administrators and users of the system are made aware of the applicable policies, standards and procedures related to the security of the system;
h. Ensuring events that require security literacy training for system users are defined; and
i.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</si>
  <si>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Initial &amp; annual security, compliance and resilience awareness training; KnowB4.
In-scope requirement alignment: IEC 62443-2-1: ORG 1.4 | NIST SP 800-82 R3 (Moderate OT overlay): AT-02 | NERC CIP: CIP-004-7 1.1, CIP-004-7 R2, CIP-004-7 2.1.1, CIP-004-7 2.1.2, CIP-004-7 2.1.3, CIP-004-7 2.1.4, CIP-004-7 2.1.5, CIP-004-7 2.1.6, CIP-004-7 2.1.7, CIP-004-7 2.1.8, CIP-004-7 2.1.9, CIP-004-7 2.2 | CISA CPG: 2.I | DOE C2M2: WORKFORCE-2a, WORKFORCE-2b, WORKFORCE-2c, WORKFORCE-2d, WORKFORCE-4d | NIST CSF 2.0: PR.AT, PR.AT-01 | CSA IoT SCF: TRN-02 | NIST Privacy Framework: GV.AT-P1, GV.AT-P2, GV.AT-P3 | NIST SP 800-53B Privacy: AT-02.
Validation: Annual conformity validation; evidence artifacts E-SAT-02; PPTDF applicability: People.</t>
  </si>
  <si>
    <t xml:space="preserve">AT-02</t>
  </si>
  <si>
    <t xml:space="preserve">CIP-004-7 1.1, CIP-004-7 R2, CIP-004-7 2.1.1, CIP-004-7 2.1.2, CIP-004-7 2.1.3, CIP-004-7 2.1.4, CIP-004-7 2.1.5, CIP-004-7 2.1.6, CIP-004-7 2.1.7, CIP-004-7 2.1.8, CIP-004-7 2.1.9, CIP-004-7 2.2</t>
  </si>
  <si>
    <t xml:space="preserve">WORKFORCE-2a, WORKFORCE-2b, WORKFORCE-2c, WORKFORCE-2d, WORKFORCE-4d</t>
  </si>
  <si>
    <t xml:space="preserve">PR.AT, PR.AT-01</t>
  </si>
  <si>
    <t xml:space="preserve">TRN-02</t>
  </si>
  <si>
    <t xml:space="preserve">GV.AT-P1, GV.AT-P2, GV.AT-P3</t>
  </si>
  <si>
    <t xml:space="preserve">SG.AT Awareness and Training</t>
  </si>
  <si>
    <t xml:space="preserve">∙ Initial &amp; annual security, compliance and resilience awareness training
∙ KnowB4 (https://knowbe4.com)</t>
  </si>
  <si>
    <t xml:space="preserve">SAT-02.2</t>
  </si>
  <si>
    <t xml:space="preserve">Social Engineering &amp; Mining</t>
  </si>
  <si>
    <t xml:space="preserve">Mechanisms exist to include awareness training on recognizing and reporting potential and actual instances of social engineering and social mining.</t>
  </si>
  <si>
    <t xml:space="preserve">Does the organization include awareness training on recognizing and reporting potential and actual instances of social engineering and social mining?</t>
  </si>
  <si>
    <t xml:space="preserve">The organization implements and operates mechanisms to include awareness training on recognizing and reporting potential and actual instances of social engineering and social mining.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</si>
  <si>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threats from social engineering, advanced persistent threat actors, breaches and suspicious behaviors are identified;
b. Ensuring security literacy training is provided to system users on recognizing indicators of social engineering;
c. Ensuring security literacy training is provided to system users on reporting indicators of social engineering;
d. Ensuring security literacy training is provided to system users on recognizing indicators of social mining;
e. Ensuring security literacy training is provided to system users on reporting indicators of social mining;
f. Ensuring significant changes to the threats from social engineering, advanced persistent threat actors, breaches and suspicious behaviors are identified;
g. Ensuring awareness training is updated per an organization-defined frequency or when there are significant changes to the threat; and
h.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</si>
  <si>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security culture program; Anonymous reporting hotline; Insider threat training integration; Regular awareness campaigns.
In-scope requirement alignment: NIST SP 800-82 R3 (Moderate OT overlay): AT-02(03) | NIST SP 800-53B Moderate: AT-02(03).
Validation: Annual conformity validation; evidence artifacts E-SAT-02; PPTDF applicability: People.</t>
  </si>
  <si>
    <t xml:space="preserve">AT-02(03)</t>
  </si>
  <si>
    <t xml:space="preserve">∙ Enterprise security culture program
∙ Anonymous reporting hotline
∙ Insider threat training integration
∙ Regular awareness campaigns</t>
  </si>
  <si>
    <t xml:space="preserve">SAT-03</t>
  </si>
  <si>
    <t xml:space="preserve">Role-Based Security, Compliance &amp; Resilience Training</t>
  </si>
  <si>
    <t xml:space="preserve">Mechanisms exist to provide role-based security, compliance and resilience-related training: 
(1) Before authorizing access to the system or performing assigned duties; 
(2) When required by system changes; and 
(3) Annually thereafter.</t>
  </si>
  <si>
    <t xml:space="preserve">Does the organization provide role-based security, compliance and resilience-related training: 
(1) Before authorizing access to the system or performing assigned duties; 
(2) When required by system changes; and 
(3) Annually thereafter?</t>
  </si>
  <si>
    <t xml:space="preserve">E-SAT-05</t>
  </si>
  <si>
    <t xml:space="preserve">IEC 62443-2-1:2024; NIST SP 800-82 R3 - Moderate OT Overlay; NERC CIP; CISA Cross-Sector Cybersecurity Performance Goals; NIST Cybersecurity Framework 2.0; DOE Cybersecurity Capability Maturity Model; IEC 62443-4-1:2018; CSA IoT Security Controls Framework v2; NIST SP 800-161 R1 - C-SCRM Baseline; NIST Privacy Framework 1.0; NIST SP 800-53B R5 - Privacy baseline</t>
  </si>
  <si>
    <t xml:space="preserve">The organization implements and operates mechanisms to provide role-based security, compliance and resilience-related training: (1) Before authorizing access to the system or performing assigned duties; (2) When required by system changes; and (3) Annually thereafter.
Within the OT and AMI environment, this objective delivers OT and AMI-specific awareness and role-based training to engineers, operators, field crews, meter technicians and vendor personnel.</t>
  </si>
  <si>
    <t xml:space="preserve">Human Resources, in coordination with OT line management, is responsible for:
a. Ensuring roles and responsibilities for role-based cybersecurity / data privacy training are defined;
b. Ensuring events that require role-based security training content updates are defined;
c. Ensuring role-based cybersecurity / data privacy training is provided to organizational personnel before authorizing access to the system or sensitive / regulated data;
d. Ensuring role-based security training is provided to organizational personnel before performing assigned duties;
e. Ensuring role-based cybersecurity / data privacy training is provided to organizational personnel per an organization-defined frequency after initial training;
f. Ensuring role-based cybersecurity / data privacy training is provided to organizational personnel when required by system changes or following organization-defined events;
g. Ensuring the frequency at which to provide role-based security training to assigned personnel after initial training is defined;
h. Ensuring the frequency at which to update role-based security training content is defined; and
i. Delivering role-based OT and AMI security training to engineers, operators, field crews, meter technicians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</si>
  <si>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KnowB4.
In-scope requirement alignment: IEC 62443-2-1: ORG 1.5 | IEC 62443-4-1: SM-4 | NIST SP 800-82 R3 (Moderate OT overlay): AT-03 | NERC CIP: CIP-004-7 2.2, CIP-004-7 2.3 | CISA CPG: 2.I, 2.J | DOE C2M2: WORKFORCE-2e, WORKFORCE-2f, WORKFORCE-4a | NIST CSF 2.0: PR.AT, PR.AT-01, PR.AT-02 | NIST SP 800-161 R1 C-SCRM: AT-3 | CSA IoT SCF: TRN-01, TRN-02 | NIST Privacy Framework: GV.AT-P1, GV.AT-P2, GV.AT-P3 | NIST SP 800-53B Privacy: AT-03.
Validation: Annual conformity validation; evidence artifacts E-SAT-05; PPTDF applicability: People.</t>
  </si>
  <si>
    <t xml:space="preserve">ORG 1.5</t>
  </si>
  <si>
    <t xml:space="preserve">SM-4</t>
  </si>
  <si>
    <t xml:space="preserve">AT-03, AT-03(02)</t>
  </si>
  <si>
    <t xml:space="preserve">AT-03</t>
  </si>
  <si>
    <t xml:space="preserve">CIP-004-7 2.2, CIP-004-7 2.3</t>
  </si>
  <si>
    <t xml:space="preserve">2.I, 2.J</t>
  </si>
  <si>
    <t xml:space="preserve">WORKFORCE-2e, WORKFORCE-2f, WORKFORCE-4a</t>
  </si>
  <si>
    <t xml:space="preserve">PR.AT, PR.AT-01, PR.AT-02</t>
  </si>
  <si>
    <t xml:space="preserve">AT-3</t>
  </si>
  <si>
    <t xml:space="preserve">5.4, 6.3</t>
  </si>
  <si>
    <t xml:space="preserve">∙ KnowB4 (https://knowbe4.com)</t>
  </si>
  <si>
    <t xml:space="preserve">SAT-03.2</t>
  </si>
  <si>
    <t xml:space="preserve">Suspicious Communications &amp; Anomalous System Behavior</t>
  </si>
  <si>
    <t xml:space="preserve">Mechanisms exist to provide training to personnel on organization-defined indicators of malware to recognize suspicious communications and anomalous behavior.</t>
  </si>
  <si>
    <t xml:space="preserve">Does the organization provide training to personnel on organization-defined indicators of malware to recognize suspicious communications and anomalous behavior?</t>
  </si>
  <si>
    <t xml:space="preserve">The organization implements and operates mechanisms to provide training to personnel on organization-defined indicators of malware to recognize suspicious communications and anomalous behavior.
Within the OT and AMI environment, this objective delivers OT and AMI-specific awareness and role-based training to engineers, operators, field crews, meter technicians and vendor personnel.</t>
  </si>
  <si>
    <t xml:space="preserve">The Managed Security Service Provider (MSSP), under the oversight of the Security Operations function and with OT visibility requirements, is responsible for:
a. Ensuring indicators of malicious code are defined;
b. Ensuring literacy training on recognizing suspicious communications and anomalous behavior in organizational systems using organization-defined indicators of malicious code is provided;
c. Ensuring literacy training on the advanced persistent threat is provided; and
d.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</si>
  <si>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role-based technical security training (e.g., SANS courses); Privileged user training tracks; Annual recertification.
In-scope requirement alignment: NIST SP 800-82 R3 (Moderate OT overlay): AT-02(04).
Validation: Annual conformity validation; evidence artifacts to be defined; PPTDF applicability: People.</t>
  </si>
  <si>
    <t xml:space="preserve">AT-02(04), AT-02(05)</t>
  </si>
  <si>
    <t xml:space="preserve">AT-02(04)</t>
  </si>
  <si>
    <t xml:space="preserve">∙ Enterprise role-based technical security training (e.g., SANS courses)
∙ Privileged user training tracks
∙ Annual recertification</t>
  </si>
  <si>
    <t xml:space="preserve">SAT-03.3</t>
  </si>
  <si>
    <t xml:space="preserve">Sensitive / Regulated Data Storage, Handling &amp; Processing</t>
  </si>
  <si>
    <t xml:space="preserve">Mechanisms exist to ensure that every user accessing a system processing, storing or transmitting sensitive and/or regulated data is formally trained in data handling requirements.</t>
  </si>
  <si>
    <t xml:space="preserve">Does the organization ensure that every user accessing a system processing, storing or transmitting sensitive and/or regulated data is formally trained in data handling requirements?</t>
  </si>
  <si>
    <t xml:space="preserve">The organization implements and operates mechanisms to ensure that every user accessing a system processing, storing or transmitting sensitive and/or regulated data is formally trained in data handling requirements.
Within the OT and AMI environment, this objective delivers OT and AMI-specific awareness and role-based training to engineers, operators, field crews, meter technicians and vendor personnel.</t>
  </si>
  <si>
    <t xml:space="preserve">IT Operations and OT Operations teams (asset custodians) are responsible for:
a. Ensuring personnel or roles to be provided with initial and refresher training in the employment and operation of sensitive / regulated data processing and transparency controls is/are defined;
b. Ensuring the frequency at which to provide refresher training in the employment and operation of sensitive / regulated data processing and transparency controls is defined;
c. Ensuring organization-defined personnel or roles are provided with initial and refresher training organization-defined frequency in the employment and operation of sensitive / regulated data processing and transparency controls; and
d.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</si>
  <si>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board and executive security education program; Regular threat briefings; Tabletop exercises for leadership.
In-scope requirement alignment: CSA IoT SCF: TRN-02 | NIST SP 800-53B Privacy: AT-03(05).
Validation: Annual conformity validation; evidence artifacts to be defined; PPTDF applicability: People.</t>
  </si>
  <si>
    <t xml:space="preserve">AT-03(05)</t>
  </si>
  <si>
    <t xml:space="preserve">∙ Enterprise board and executive security education program
∙ Regular threat briefings
∙ Tabletop exercises for leadership</t>
  </si>
  <si>
    <t xml:space="preserve">SAT-03.4</t>
  </si>
  <si>
    <t xml:space="preserve">Vendor Security, Compliance &amp; Resilience Training</t>
  </si>
  <si>
    <t xml:space="preserve">Mechanisms exist to incorporate vendor-specific security, compliance and resilience training in support of new technology initiatives.</t>
  </si>
  <si>
    <t xml:space="preserve">Does the organization incorporate vendor-specific security, compliance and resilience training in support of new technology initiatives?</t>
  </si>
  <si>
    <t xml:space="preserve">E-SAT-04, E-SAT-05</t>
  </si>
  <si>
    <t xml:space="preserve">The organization implements and operates mechanisms to incorporate vendor-specific security, compliance and resilience training in support of new technology initiatives.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</si>
  <si>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vendor-specific security training is provided to support new technology initiatives; and
b.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</si>
  <si>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third-party security awareness program; Contractual training requirements; Vendor compliance monitoring.
In-scope requirement alignment: CISA CPG: 2.J.
Validation: Annual conformity validation; evidence artifacts E-SAT-04, E-SAT-05; PPTDF applicability: People.</t>
  </si>
  <si>
    <t xml:space="preserve">2.J</t>
  </si>
  <si>
    <t xml:space="preserve">∙ Enterprise third-party security awareness program
∙ Contractual training requirements
∙ Vendor compliance monitoring</t>
  </si>
  <si>
    <t xml:space="preserve">SAT-03.5</t>
  </si>
  <si>
    <t xml:space="preserve">Privileged Users</t>
  </si>
  <si>
    <t xml:space="preserve">Mechanisms exist to provide specific training for privileged users to ensure privileged users understand their unique roles and responsibilities</t>
  </si>
  <si>
    <t xml:space="preserve">Does the organization provide specific training for privileged users to ensure privileged users understand their unique roles and responsibilities?</t>
  </si>
  <si>
    <t xml:space="preserve">The organization implements and operates mechanisms to provide specific training for privileged users to ensure privileged users understand their unique roles and responsibilities.
Within the OT and AMI environment, this objective delivers OT and AMI-specific awareness and role-based training to engineers, operators, field crews, meter technicians and vendor personnel.</t>
  </si>
  <si>
    <t xml:space="preserve">IT Operations and OT Operations teams (asset custodians) are responsible for:
a. Ensuring specific training for privileged users is provided to ensure privileged users understand their unique roles and responsibilities; and
b.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</si>
  <si>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physical security training and certification program; Regular exercises and drills.
In-scope requirement alignment: CISA CPG: 2.J | NIST CSF 2.0: PR.AT-02.
Validation: Annual conformity validation; evidence artifacts E-SAT-05; PPTDF applicability: People.</t>
  </si>
  <si>
    <t xml:space="preserve">PR.AT-02</t>
  </si>
  <si>
    <t xml:space="preserve">∙ Enterprise physical security training and certification program
∙ Regular exercises and drills</t>
  </si>
  <si>
    <t xml:space="preserve">SAT-03.6</t>
  </si>
  <si>
    <t xml:space="preserve">Cyber Threat Environment</t>
  </si>
  <si>
    <t xml:space="preserve">Mechanisms exist to provide role-based security, compliance and resilience awareness training that is current and relevant to the cyber threats that users might encounter in day-to-day business operations.</t>
  </si>
  <si>
    <t xml:space="preserve">Does the organization provide role-based security, compliance and resilience awareness training that is current and relevant to the cyber threats that users might encounter in day-to-day business operations?</t>
  </si>
  <si>
    <t xml:space="preserve">E-SAT-04</t>
  </si>
  <si>
    <t xml:space="preserve">CISA Cross-Sector Cybersecurity Performance Goals; NIST Cybersecurity Framework 2.0; CSA IoT Security Controls Framework v2</t>
  </si>
  <si>
    <t xml:space="preserve">The organization implements and operates mechanisms to provide role-based security, compliance and resilience awareness training that is current and relevant to the cyber threats that users might encounter in day-to-day business operations.
Within the OT and AMI environment, this objective delivers OT and AMI-specific awareness and role-based training to engineers, operators, field crews, meter technicians and vendor personnel.</t>
  </si>
  <si>
    <t xml:space="preserve">The Managed Security Service Provider (MSSP), under the oversight of the Security Operations function and with OT visibility requirements, is responsible for:
a. Ensuring literacy training on the cyber threat environment is provided;
b. Ensuring system operations reflect current cyber threat information;
c. Ensuring the frequency of providing awareness training is defined;
d. Ensuring the frequency of updating awareness training is defined; and
e.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</si>
  <si>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US-CERT mailing lists &amp; feeds; Internal newsletters; InfraGard.
In-scope requirement alignment: CISA CPG: 2.I | NIST CSF 2.0: PR.AT-01, PR.AT-02 | CSA IoT SCF: TRN-02.
Validation: Annual conformity validation; evidence artifacts E-SAT-04; PPTDF applicability: People.</t>
  </si>
  <si>
    <t xml:space="preserve">AT-02(06)</t>
  </si>
  <si>
    <t xml:space="preserve">PR.AT-01, PR.AT-02</t>
  </si>
  <si>
    <t xml:space="preserve">∙ US-CERT mailing lists &amp; feeds
∙ Internal newsletters
∙ InfraGard (https://infragard.org)</t>
  </si>
  <si>
    <t xml:space="preserve">SAT-03.7</t>
  </si>
  <si>
    <t xml:space="preserve">Continuing Professional Education (CPE) - Security, Compliance &amp; Resilience Personnel</t>
  </si>
  <si>
    <t xml:space="preserve">Mechanisms exist to ensure security, compliance and resilience personnel receive Continuing Professional Education (CPE) training to maintain currency and proficiency with industry-recognized secure practices that are pertinent to their assigned roles and responsibilities.</t>
  </si>
  <si>
    <t xml:space="preserve">Does the organization ensure security, compliance and resilience personnel receive Continuing Professional Education (CPE) training to maintain currency and proficiency with industry-recognized secure practices that are pertinent to their assigned roles and responsibilities?</t>
  </si>
  <si>
    <t xml:space="preserve">E-SAT-01, E-SAT-04</t>
  </si>
  <si>
    <t xml:space="preserve">The organization implements and operates mechanisms to ensure security, compliance and resilience personnel receive Continuing Professional Education (CPE) training to maintain currency and proficiency with industry-recognized secure practices that are pertinent to their assigned roles and responsibilities.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</si>
  <si>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cybersecurity / data privacy personnel receive Continuing Professional Education (CPE) training to maintain currency and proficiency with industry-recognized secure practices that are pertinent to their assigned roles and responsibilities; and
b.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</si>
  <si>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Minimum requirements for Continuing Professional Education (CPE).
In-scope requirement alignment: NIST CSF 2.0: PR.AT-02.
Validation: Annual conformity validation; evidence artifacts E-SAT-01, E-SAT-04; PPTDF applicability: People.</t>
  </si>
  <si>
    <t xml:space="preserve">∙ Minimum requirements for Continuing Professional Education (CPE)</t>
  </si>
  <si>
    <t xml:space="preserve">SAT-04</t>
  </si>
  <si>
    <t xml:space="preserve">Security, Compliance &amp; Resilience Training Records</t>
  </si>
  <si>
    <t xml:space="preserve">Mechanisms exist to document, retain and monitor individual training activities, including:
(1) Initial security, compliance and resilience awareness training;
(2) Recurring awareness training; and
(3) Technology Assets, Applications and/or Services (TAAS)-specific training.</t>
  </si>
  <si>
    <t xml:space="preserve">Does the organization document, retain and monitor individual training activities, including:
(1) Initial security, compliance and resilience awareness training;
(2) Recurring awareness training; and
(3) Technology Assets, Applications and/or Services (TAAS)-specific training?</t>
  </si>
  <si>
    <t xml:space="preserve">E-SAT-02, E-SAT-03, E-SAT-04, E-SAT-05, E-SAT-06, E-SAT-07</t>
  </si>
  <si>
    <t xml:space="preserve">The organization implements and operates mechanisms to document, retain and monitor individual training activities, including: (1) Initial security, compliance and resilience awareness training; (2) Recurring awareness training; and (3) Technology Assets, Applications and/or Services (TAAS)-specific training.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</si>
  <si>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cybersecurity / data privacy training activities, including cybersecurity / data privacy awareness training and specific role-based cybersecurity / data privacy training, are documented;
b. Ensuring time period for retaining individual training records is defined;
c. Ensuring individual training records are retained for organization-defined time period;
d. Ensuring cybersecurity / data privacy training activities, including cybersecurity / data privacy awareness training and specific role-based cybersecurity / data privacy training, are monitored; and
e.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</si>
  <si>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KnowB4.
In-scope requirement alignment: NIST SP 800-82 R3 (Moderate OT overlay): AT-04 | NIST SP 800-161 R1 C-SCRM: AT-4 | NIST SP 800-53B Privacy: AT-04.
Validation: Annual conformity validation; evidence artifacts E-SAT-02, E-SAT-03, E-SAT-04, E-SAT-05, E-SAT-06, E-SAT-07; PPTDF applicability: Process.</t>
  </si>
  <si>
    <t xml:space="preserve">AT-04</t>
  </si>
  <si>
    <t xml:space="preserve">AT-4</t>
  </si>
  <si>
    <t xml:space="preserve">SAT-05</t>
  </si>
  <si>
    <t xml:space="preserve">Security, Compliance &amp; Resilience Knowledge Sharing</t>
  </si>
  <si>
    <t xml:space="preserve">Mechanisms exist to improve knowledge sharing across security, compliance and resilience personnel allowing for:
(1) Efficient operations; and
(2) Rapid and effective response to incidents.</t>
  </si>
  <si>
    <t xml:space="preserve">Does the organization improve knowledge sharing across security, compliance and resilience personnel allowing for:
(1) Efficient operations; and
(2) Rapid and effective response to incidents?</t>
  </si>
  <si>
    <t xml:space="preserve">The organization implements and operates mechanisms to improve knowledge sharing across security, compliance and resilience personnel allowing for: (1) Efficient operations; and (2) Rapid and effective response to incidents.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</si>
  <si>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a process to improve cybersecurity and data protection knowledge sharing across security personnel is defined;
b. Ensuring cybersecurity and data protection knowledge sharing is implemented across security personnel allowing for more rapid and effective response to incidents; and
c.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</si>
  <si>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security knowledge management platform; Communities of practice for security specializations; Cross-organizational knowledge sharing and lessons learned; Integration with LMS and professional development programs.
In-scope requirement alignment: CISA CPG: 1.D.
Validation: Annual conformity validation; evidence artifacts to be defined; PPTDF applicability: Process.</t>
  </si>
  <si>
    <t xml:space="preserve">∙ Enterprise security knowledge management platform
∙ Communities of practice for security specializations
∙ Cross-organizational knowledge sharing and lessons learned
∙ Integration with LMS and professional development programs</t>
  </si>
  <si>
    <t xml:space="preserve">TDA-01</t>
  </si>
  <si>
    <t xml:space="preserve">Technology Development &amp; Acquisition</t>
  </si>
  <si>
    <t xml:space="preserve">TDA</t>
  </si>
  <si>
    <t xml:space="preserve">Mechanisms exist to facilitate the implementation of tailored development and acquisition strategies, contract tools and procurement methods to meet unique business needs.</t>
  </si>
  <si>
    <t xml:space="preserve">Does the organization facilitate the implementation of tailored development and acquisition strategies, contract tools and procurement methods to meet unique business needs?</t>
  </si>
  <si>
    <t xml:space="preserve">E-TDA-01, E-TDA-02, E-TDA-08, E-TDA-17</t>
  </si>
  <si>
    <t xml:space="preserve">IEC 62443-2-1:2024; NIST SP 800-82 R3 - Moderate OT Overlay; NIST Cybersecurity Framework 2.0; DOE Cybersecurity Capability Maturity Model; CSA IoT Security Controls Framework v2; NIST SP 800-161 R1 - C-SCRM Baseline; NIST SP 800-53B R5 - Privacy baseline</t>
  </si>
  <si>
    <t xml:space="preserve">Director, Application Development &amp; Integration</t>
  </si>
  <si>
    <t xml:space="preserve">AMI / OT Product Engineering Lead</t>
  </si>
  <si>
    <t xml:space="preserve">AMI vendor; meter manufacturer; software suppliers; system integrators</t>
  </si>
  <si>
    <t xml:space="preserve">The organization shall develop and acquire technology, including AMI meters, collectors, head-end systems, OT devices and integration software, through processes that define minimum security requirements, require secure development practices from suppliers, verify security before deployment and sustain product security support throughout the asset lifecycle.</t>
  </si>
  <si>
    <t xml:space="preserve">The organization develops, implements and governs processes and documentation to facilitate the implementation of tailored development and acquisition strategies, contract tools and procurement methods to meet unique business needs, as well as associated standards, controls and procedures, across enterprise IT, Operational Technology (OT) and Advanced Metering Infrastructure (AMI) environments.
Within the OT and AMI environment, this objective establishes security requirements and supplier secure-development expectations for AMI and OT products and verifies them before deployment.</t>
  </si>
  <si>
    <t xml:space="preserve">The Chief Information Security Officer (CISO), in coordination with the OT Security Lead, is responsible for:
a. Ensuring a system and services acquisition policy is developed and documented;
b. Ensuring system and services acquisition procedures to facilitate the implementation of the system and services acquisition policy and associated system and services acquisition controls are developed and documented;
c. Ensuring acquisition strategies, contract tools, and procurement methods are implemented to identify supply chain risks;
d. Ensuring acquisition strategies, contract tools, and procurement methods are implemented to protect against supply chain risks;
e. Ensuring acquisition strategies, contract tools, and procurement methods are implemented to mitigate supply chain risks;
f. Ensuring Technology Development &amp; Acquisition (TDA) operations are conducted according to documented policies, standards, procedures and/or other organizational directives;
g. Ensuring adequate resources (e.g., people, processes, technologies, data and/or facilities) are provided to support Technology Development &amp; Acquisition (TDA) operations;
h. Ensuring responsibility and authority for the performance of Technology Development &amp; Acquisition (TDA)-related activities are assigned to designated personnel;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</si>
  <si>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"secure engineering principles" (e.g., alignment with NIST 800-160); Defined business processes; Product / project management; Defined technical requirements; Defined business requirements; System Development Lifecycle (SDLC) governance / oversight.
In-scope requirement alignment: IEC 62443-2-1: ORG 2.3 | NIST SP 800-82 R3 (Moderate OT overlay): PL-01, SA-01, SA-04 | DOE C2M2: ARCHITECTURE-4a, ARCHITECTURE-4b, ARCHITECTURE-4e | NIST CSF 2.0: ID.RA-09, PR.PS-06 | NIST SP 800-161 R1 C-SCRM: PL-1, SA-1, SA-4 | CSA IoT SCF: SET-06 | NIST SP 800-53B Privacy: PL-01, SA-01, SA-04, SA-23.
Validation: Annual conformity validation; evidence artifacts E-TDA-01, E-TDA-02, E-TDA-08, E-TDA-17; PPTDF applicability: Process.</t>
  </si>
  <si>
    <t xml:space="preserve">ORG 2.3</t>
  </si>
  <si>
    <t xml:space="preserve">PL-01, SA-01, SA-04, SA-23</t>
  </si>
  <si>
    <t xml:space="preserve">PL-01, SA-01, SA-04</t>
  </si>
  <si>
    <t xml:space="preserve">ARCHITECTURE-4a, ARCHITECTURE-4b, ARCHITECTURE-4e</t>
  </si>
  <si>
    <t xml:space="preserve">ID.RA-09, PR.PS-06</t>
  </si>
  <si>
    <t xml:space="preserve">PL-1, SA-1, SA-4</t>
  </si>
  <si>
    <t xml:space="preserve">SET-06</t>
  </si>
  <si>
    <t xml:space="preserve">8.25, 8.30</t>
  </si>
  <si>
    <t xml:space="preserve">∙ Defined "secure engineering principles" (e.g., alignment with NIST 800-160)
∙ Defined business processes
∙ Product / project management
∙ Defined technical requirements
∙ Defined business requirements
∙ System Development Lifecycle (SDLC) governance / oversight</t>
  </si>
  <si>
    <t xml:space="preserve">TDA-01.1</t>
  </si>
  <si>
    <t xml:space="preserve">Product Management</t>
  </si>
  <si>
    <t xml:space="preserve">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</si>
  <si>
    <t xml:space="preserve">Does the organization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</si>
  <si>
    <t xml:space="preserve">E-CPL-06, E-TDA-05, E-TDA-06, E-TDA-07, E-TDA-15, E-TDA-17</t>
  </si>
  <si>
    <t xml:space="preserve">IEC 62443-4-2:2019; NIST Cybersecurity Framework 2.0; DOE Cybersecurity Capability Maturity Model; IEC 62443-4-1:2018; NIST Privacy Framework 1.0; NIST SP 800-53B R5 - Privacy baseline</t>
  </si>
  <si>
    <t xml:space="preserve">The organization implements and operates mechanisms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</si>
  <si>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product management processes are designed and implemented to ensure products, including systems, software and services, are routinely updated to improve functionality and correct security deficiencies;
b. Ensuring systems or system components supporting mission-essential services or functions are defined;
c. Ensuring organization-defined criteria are employed on systems or system components supporting essential services or functions to increase the trustworthiness in those systems or components;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</si>
  <si>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business processes; Product / project management; Defined technical requirements; Defined business requirements; System Development Lifecycle (SDLC) governance / oversight.
In-scope requirement alignment: IEC 62443-4-1: DM-6, SG-1, SG-1(a), SG-1(b), SG-1(c), SG-2, SG-7, SG-7(a), SG-7(b), SG-7(c) | IEC 62443-4-2: CR 3.10, EDR 3.10, HDR 3.10, NDR 3.10 | DOE C2M2: ARCHITECTURE-4c | NIST CSF 2.0: GV.SC-09, PR.PS-06 | NIST Privacy Framework: CT.DP-P1 | NIST SP 800-53B Privacy: SA-23.
Validation: Annual conformity validation; evidence artifacts E-CPL-06, E-TDA-05, E-TDA-06, E-TDA-07, E-TDA-15, E-TDA-17; PPTDF applicability: Process.</t>
  </si>
  <si>
    <t xml:space="preserve">DM-6, SG-1, SG-1(a), SG-1(b), SG-1(c), SG-2, SG-7, SG-7(a), SG-7(b), SG-7(c)</t>
  </si>
  <si>
    <t xml:space="preserve">CR 3.10, EDR 3.10, HDR 3.10, NDR 3.10</t>
  </si>
  <si>
    <t xml:space="preserve">SA-23</t>
  </si>
  <si>
    <t xml:space="preserve">ARCHITECTURE-4c</t>
  </si>
  <si>
    <t xml:space="preserve">GV.SC-09, PR.PS-06</t>
  </si>
  <si>
    <t xml:space="preserve">CT.DP-P1</t>
  </si>
  <si>
    <t xml:space="preserve">TDA-01.2</t>
  </si>
  <si>
    <t xml:space="preserve">Integrity Mechanisms for Software / Firmware Updates</t>
  </si>
  <si>
    <t xml:space="preserve">Mechanisms exist to utilize integrity validation mechanisms for security updates.</t>
  </si>
  <si>
    <t xml:space="preserve">Does the organization utilize integrity validation mechanisms for security updates?</t>
  </si>
  <si>
    <t xml:space="preserve">E-TDA-15</t>
  </si>
  <si>
    <t xml:space="preserve">The organization implements and operates mechanisms to utilize integrity validation mechanisms for security updates.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</si>
  <si>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integrity validation mechanisms are utilized for security updates;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</si>
  <si>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Checksum comparison; CimTrak Integrity Suite; Netwrix Auditor.
In-scope requirement alignment: NIST CSF 2.0: ID.RA-09.
Validation: Semi-Annual conformity validation; evidence artifacts E-TDA-15; PPTDF applicability: Process.</t>
  </si>
  <si>
    <t xml:space="preserve">∙ Checksum comparison
∙ CimTrak Integrity Suite (https://cimcor.com/cimtrak)
∙ Netwrix Auditor (https://netrix.com)</t>
  </si>
  <si>
    <t xml:space="preserve">TDA-02</t>
  </si>
  <si>
    <t xml:space="preserve">Minimum Viable Product (MVP) Security Requirements</t>
  </si>
  <si>
    <t xml:space="preserve">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</si>
  <si>
    <t xml:space="preserve">Does the organization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</si>
  <si>
    <t xml:space="preserve">E-TDA-06</t>
  </si>
  <si>
    <t xml:space="preserve">NIST SP 800-82 R3 - Moderate OT Overlay; DOE Cybersecurity Capability Maturity Model; IEC 62443-4-1:2018; CSA IoT Security Controls Framework v2; NIST SP 800-161 R1 - C-SCRM Baseline; NIST SP 800-53B R5 - Privacy baseline; ANSI/ISA-62443-3-2:2020</t>
  </si>
  <si>
    <t xml:space="preserve">The organization implements and operates mechanisms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
Within the OT and AMI environment, this objective establishes security requirements and supplier secure-development expectations for AMI and OT products and verifies them before deployment.</t>
  </si>
  <si>
    <t xml:space="preserve">IT Operations and OT Operations are jointly responsible for:
a. Ensuring cybersecurity / data privacy functional requirements, descriptions and criteria are included explicitly or by reference using in the acquisition contract for the system, system component or system service;
b. Ensuring strength of mechanism requirements, descriptions and criteria are included explicitly or by reference using in the acquisition contract for the system, system component or system service;
c. Ensuring cybersecurity / data privacy assurance requirements, descriptions and criteria are included explicitly or by reference using in the acquisition contract for the system, system component or system service;
d. Ensuring controls needed to satisfy the cybersecurity / data requirements, descriptions and criteria are included explicitly or by reference using in the acquisition contract for the system, system component or system service;
e. Ensuring cybersecurity / data privacy documentation requirements, descriptions and criteria are included explicitly or by reference using in the acquisition contract for the system, system component or system service;
f. Ensuring requirements for protecting cybersecurity / data privacy documentation, descriptions and criteria are included explicitly or by reference using in the acquisition contract for the system, system component or system service;
g. Ensuring the description of the system development environment and environment in which the system is intended to operate, requirements and criteria are included explicitly or by reference using in the acquisition contract for the system, system component or system service;
h. Ensuring the allocation of responsibility or identification of parties responsible for cybersecurity / data privacy requirements, descriptions and criteria are included explicitly or by reference using in the acquisition contract for the system, system component or system service; and
i. Specifying minimum security requirements for AMI and OT products, including IEC 62443-4-2 component requirements, secure firmware update, device authentication, logging and target security level, in acquisition documents and the Cyber Security Requirements Specification.</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</si>
  <si>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business processes; Product / project management; Defined technical requirements; Defined business requirements; System Development Lifecycle (SDLC) governance / oversight.
In-scope requirement alignment: IEC 62443-4-1: SM-11, SR-1, SR-4, SR-4(a), SR-4(b) | NIST SP 800-82 R3 (Moderate OT overlay): SA-04 | DOE C2M2: ARCHITECTURE-4b, ARCHITECTURE-4c, ARCHITECTURE-4e | NIST SP 800-161 R1 C-SCRM: SA-4 | CSA IoT SCF: SDV-07 | NIST SP 800-53B Privacy: SA-04 | ISA/IEC 62443-3-2: ZCR 5.6, ZCR 6.1.
Validation: Annual conformity validation; evidence artifacts E-TDA-06; PPTDF applicability: Process.</t>
  </si>
  <si>
    <t xml:space="preserve">SM-11, SR-1, SR-4, SR-4(a), SR-4(b)</t>
  </si>
  <si>
    <t xml:space="preserve">SA-04</t>
  </si>
  <si>
    <t xml:space="preserve">ARCHITECTURE-4b, ARCHITECTURE-4c, ARCHITECTURE-4e</t>
  </si>
  <si>
    <t xml:space="preserve">SA-4</t>
  </si>
  <si>
    <t xml:space="preserve">SDV-07</t>
  </si>
  <si>
    <t xml:space="preserve">8.25, 8.29, 8.30</t>
  </si>
  <si>
    <t xml:space="preserve">TDA-02.1</t>
  </si>
  <si>
    <t xml:space="preserve">Ports, Protocols &amp; Services In Use</t>
  </si>
  <si>
    <t xml:space="preserve">Mechanisms exist to require the developers of Technology Assets, Applications and/or Services (TAAS) to identify early in the Secure Development Life Cycle (SDLC), the functions, ports, protocols and services intended for use.</t>
  </si>
  <si>
    <t xml:space="preserve">Does the organization require the developers of Technology Assets, Applications and/or Services (TAAS) to identify early in the Secure Development Life Cycle (SDLC), the functions, ports, protocols and services intended for use?</t>
  </si>
  <si>
    <t xml:space="preserve">E-CPL-06, E-TDA-07</t>
  </si>
  <si>
    <t xml:space="preserve">The organization implements and operates mechanisms to require the developers of Technology Assets, Applications and/or Services (TAAS) to identify early in the Secure Development Life Cycle (SDLC), the functions, ports, protocols and services intended for use.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</si>
  <si>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identify the functions intended for organizational use;
b. Ensuring the developer of the system, system component or system service is required to identify the ports intended for organizational use;
c. Ensuring the developer of the system, system component or system service is required to identify the protocols intended for organizational use;
d. Ensuring the developer of the system, system component or system service is required to identify the services intended for organizational use;
e. Specifying IEC 62443-4-2 component requirements, IEC 62443-4-1 secure development practices and target security levels in AMI and OT acquisition requirements; and
f.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</si>
  <si>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&amp; documented Ports, Protocols &amp; Services (PPS) to support "least functionality" governance.
In-scope requirement alignment: NIST SP 800-82 R3 (Moderate OT overlay): SA-04(09) | NIST SP 800-53B Moderate: SA-04(09) | ISA/IEC 62443-3-2: ZCR 6.4.
Validation: Annual conformity validation; evidence artifacts E-CPL-06, E-TDA-07; PPTDF applicability: Process.</t>
  </si>
  <si>
    <t xml:space="preserve">SA-04(09)</t>
  </si>
  <si>
    <t xml:space="preserve">∙ Defined &amp; documented Ports, Protocols &amp; Services (PPS) to support "least functionality" governance</t>
  </si>
  <si>
    <t xml:space="preserve">TDA-02.2</t>
  </si>
  <si>
    <t xml:space="preserve">Information Assurance Enabled Products</t>
  </si>
  <si>
    <t xml:space="preserve">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</si>
  <si>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 xml:space="preserve">Does the organization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</si>
  <si>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 xml:space="preserve">The organization implements and operates mechanisms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</si>
  <si>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as required per statutory, regulatory or contractual obligations, only information technology products on the FIPS 201-approved products list for the Personal Identity Verification (PIV) capability implemented within organizational systems are employed;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</si>
  <si>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DevSecOps with SAST/DAST automation (e.g., Veracode, Checkmarx); Security gates in CI/CD pipeline.
In-scope requirement alignment: NIST SP 800-82 R3 (Moderate OT overlay): IA-02(01), IA-02(02), SA-04(10) | NIST SP 800-53B Privacy: IA-02(01), IA-02(02).
Validation: Annual conformity validation; evidence artifacts to be defined; PPTDF applicability: Process.</t>
  </si>
  <si>
    <t xml:space="preserve">IA-02(01), IA-02(02), SA-04(07), SA-04(10)</t>
  </si>
  <si>
    <t xml:space="preserve">IA-02(01), IA-02(02), SA-04(10)</t>
  </si>
  <si>
    <t xml:space="preserve">SG.IA Identification and Authentication; SG.SA Smart Grid Information System and Services Acquisition</t>
  </si>
  <si>
    <t xml:space="preserve">∙ Enterprise DevSecOps with SAST/DAST automation (e.g., Veracode, Checkmarx)
∙ Security gates in CI/CD pipeline</t>
  </si>
  <si>
    <t xml:space="preserve">TDA-02.3</t>
  </si>
  <si>
    <t xml:space="preserve">Development Methods, Techniques &amp; Processes</t>
  </si>
  <si>
    <t xml:space="preserve">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</si>
  <si>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 xml:space="preserve">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t>
  </si>
  <si>
    <t xml:space="preserve">E-TDA-04</t>
  </si>
  <si>
    <t xml:space="preserve">The organization implements and operates mechanisms to require software developers to ensure that their software development processes employ industry-recognized secure practices for secure programming, engineering methods, quality control processes and validation techniques to minimize flawed and/or malformed software.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</si>
  <si>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cybersecurity / data privacy systems engineering methods are defined;
b. Ensuring software development methods are defined;
c. Ensuring testing, evaluation, assessment, verification and validation methods are defined;
d. Ensuring quality control processes are defined;
e. Ensuring the developer of the system, system component or system service is required to demonstrate the use of a system development life cycle process that includes organization-defined system security engineering methods;
f. Ensuring systems security engineering principles to be applied to the development or modification of the system and system components are defined;
g. Specifying IEC 62443-4-2 component requirements, IEC 62443-4-1 secure development practices and target security levels in AMI and OT acquisition requirements; and
h.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</si>
  <si>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"secure engineering principles" (e.g., alignment with NIST 800-160); Defined business processes; Product / project management; Defined technical requirements; Defined business requirements; System Development Lifecycle (SDLC) governance / oversight.
In-scope requirement alignment: CSA IoT SCF: SDV-07 | NIST SP 800-53B Privacy: SA-04(03), SR-03(01).
Validation: Annual conformity validation; evidence artifacts E-TDA-04; PPTDF applicability: Process.</t>
  </si>
  <si>
    <t xml:space="preserve">SA-04(03), SR-03(01)</t>
  </si>
  <si>
    <t xml:space="preserve">SG.SA Smart Grid Information System and Services Acquisition; SG.SA Smart Grid Information System and Services Acquisition (supply chain)</t>
  </si>
  <si>
    <t xml:space="preserve">8.25, 8.29</t>
  </si>
  <si>
    <t xml:space="preserve">TDA-02.7</t>
  </si>
  <si>
    <t xml:space="preserve">Security, Compliance &amp; Resilience Representatives For Product Changes</t>
  </si>
  <si>
    <t xml:space="preserve">Mechanisms exist to include appropriate security, compliance and resilience representatives in the product feature and/or functionality change control review process.</t>
  </si>
  <si>
    <t xml:space="preserve">Does the organization include appropriate security, compliance and resilience representatives in the product feature and/or functionality change control review process?</t>
  </si>
  <si>
    <t xml:space="preserve">The organization implements and operates mechanisms to include appropriate security, compliance and resilience representatives in the product feature and/or functionality change control review process.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</si>
  <si>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cybersecurity / data privacy representatives to be included in the configuration change management and control process are defined;
b. Ensuring configuration change management and control processes in which cybersecurity / data privacy representatives are required to be included are defined;
c. Ensuring organization-defined cybersecurity / data privacy representatives are required to be included in the organization-defined configuration change management and control processes;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</si>
  <si>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Data Protection Impact Assessment (DPIA); Defined business processes; Product / project management; Defined technical requirements; Defined business requirements; System Development Lifecycle (SDLC) governance / oversight.
In-scope requirement alignment: IEC 62443-4-1: SR-5, SR-5(a), SR-5(b), SR-5(c), SR-5(d).
Validation: Annual conformity validation; evidence artifacts to be defined; PPTDF applicability: Process.</t>
  </si>
  <si>
    <t xml:space="preserve">SR-5, SR-5(a), SR-5(b), SR-5(c), SR-5(d)</t>
  </si>
  <si>
    <t xml:space="preserve">SA-10(07)</t>
  </si>
  <si>
    <t xml:space="preserve">∙ Data Protection Impact Assessment (DPIA)
∙ Defined business processes
∙ Product / project management
∙ Defined technical requirements
∙ Defined business requirements
∙ System Development Lifecycle (SDLC) governance / oversight</t>
  </si>
  <si>
    <t xml:space="preserve">TDA-02.9</t>
  </si>
  <si>
    <t xml:space="preserve">Ongoing Product Security Support</t>
  </si>
  <si>
    <t xml:space="preserve">Mechanisms exist to deliver security updates to Technology Assets, Applications and/or Services (TAAS), where applicable, through:
(1) Automatic updates; and
(2) Notification of available updates to affected users.</t>
  </si>
  <si>
    <t xml:space="preserve">Does the organization deliver security updates to Technology Assets, Applications and/or Services (TAAS), where applicable, through:
(1) Automatic updates; and
(2) Notification of available updates to affected users?</t>
  </si>
  <si>
    <t xml:space="preserve">The organization implements and operates mechanisms to deliver security updates to Technology Assets, Applications and/or Services (TAAS), where applicable, through: (1) Automatic updates; and (2) Notification of available updates to affected users.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</si>
  <si>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security updates are delivered to products and/or services, where applicable, through automatic updates;
b. Ensuring security updates are delivered to products and/or services, where applicable, through notification of available updates to affected users;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</si>
  <si>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threat modeling program (e.g., Microsoft Threat Modeling Tool); Automated threat model generation.
In-scope requirement alignment: IEC 62443-4-1: SUM-2, SUM-2(a), SUM-2(b), SUM-2(c), SUM-2(d), SUM-2(e), SUM-4, SUM-5, SUM-5(a), SUM-5(b), SUM-5(c), SUM-5(d), SUM-5(e).
Validation: Annual conformity validation; evidence artifacts to be defined; PPTDF applicability: Technology.</t>
  </si>
  <si>
    <t xml:space="preserve">SUM-2, SUM-2(a), SUM-2(b), SUM-2(c), SUM-2(d), SUM-2(e), SUM-4, SUM-5, SUM-5(a), SUM-5(b), SUM-5(c), SUM-5(d), SUM-5(e)</t>
  </si>
  <si>
    <t xml:space="preserve">∙ Enterprise threat modeling program (e.g., Microsoft Threat Modeling Tool)
∙ Automated threat model generation</t>
  </si>
  <si>
    <t xml:space="preserve">TDA-02.10</t>
  </si>
  <si>
    <t xml:space="preserve">Product Testing &amp; Reviews</t>
  </si>
  <si>
    <t xml:space="preserve">Mechanisms exist to regularly review Technology Assets, Applications and/or Services (TAAS) for an appropriate level of security and resiliency based on applicable risks and threats.</t>
  </si>
  <si>
    <t xml:space="preserve">Does the organization regularly review Technology Assets, Applications and/or Services (TAAS) for an appropriate level of security and resiliency based on applicable risks and threats?</t>
  </si>
  <si>
    <t xml:space="preserve">The organization implements and operates mechanisms to regularly review Technology Assets, Applications and/or Services (TAAS) for an appropriate level of security and resiliency based on applicable risks and threats.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</si>
  <si>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an appropriate level of security and resiliency for products and/or services is defined;
b. Ensuring products and/or services are regularly reviewed for an appropriate level of security and resiliency based on applicable risks and threats;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</si>
  <si>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security architecture review board; Automated architecture analysis tools.
In-scope requirement alignment: IEC 62443-4-1: SM-11(a), SM-11(b), SM-11(c), SM-11(d), SM-11(e), SM-12, SUM-1, SUM-1(1), SUM-1(2), SUM-1(2)(a), SUM-1(2)(b), SUM-1(2)(c).
Validation: Quarterly conformity validation; evidence artifacts to be defined; PPTDF applicability: Process.</t>
  </si>
  <si>
    <t xml:space="preserve">SM-11(a), SM-11(b), SM-11(c), SM-11(d), SM-11(e), SM-12, SUM-1, SUM-1(1), SUM-1(2), SUM-1(2)(a), SUM-1(2)(b), SUM-1(2)(c)</t>
  </si>
  <si>
    <t xml:space="preserve">∙ Enterprise security architecture review board
∙ Automated architecture analysis tools</t>
  </si>
  <si>
    <t xml:space="preserve">TDA-02.11</t>
  </si>
  <si>
    <t xml:space="preserve">Disclosure of Vulnerabilities</t>
  </si>
  <si>
    <t xml:space="preserve">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</si>
  <si>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 xml:space="preserve">Does the organization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</si>
  <si>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 xml:space="preserve">NERC CIP; IEC 62443-4-1:2018</t>
  </si>
  <si>
    <t xml:space="preserve">The organization implements and operates mechanisms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</si>
  <si>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stakeholder vulnerability disclosures contain a description of the vulnerability(ies);
b. Ensuring stakeholder vulnerability disclosures contain information about affected product(s) and/or service(s);
c. Ensuring stakeholder vulnerability disclosures contain information about potential impact of the vulnerability(ies);
d. Ensuring stakeholder vulnerability disclosures contain information about the severity of the vulnerability(ies);
e. Ensuring stakeholder vulnerability disclosures contain information about guidance to remediate the vulnerability(ies);
f. Specifying IEC 62443-4-2 component requirements, IEC 62443-4-1 secure development practices and target security levels in AMI and OT acquisition requirements; and
g.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</si>
  <si>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red team program; Regular adversarial simulation exercises.
In-scope requirement alignment: IEC 62443-4-1: DM-5, DM-5(a), DM-5(b) | NERC CIP: CIP-013-2 1.2.4.
Validation: Annual conformity validation; evidence artifacts to be defined; PPTDF applicability: Process.</t>
  </si>
  <si>
    <t xml:space="preserve">DM-5, DM-5(a), DM-5(b)</t>
  </si>
  <si>
    <t xml:space="preserve">CIP-013-2 1.2.4</t>
  </si>
  <si>
    <t xml:space="preserve">∙ Enterprise red team program
∙ Regular adversarial simulation exercises</t>
  </si>
  <si>
    <t xml:space="preserve">TDA-03.1</t>
  </si>
  <si>
    <t xml:space="preserve">Supplier Diversity</t>
  </si>
  <si>
    <t xml:space="preserve">Mechanisms exist to obtain security, compliance and resilience technologies from different suppliers to minimize supply chain risk.</t>
  </si>
  <si>
    <t xml:space="preserve">Does the organization obtain security, compliance and resilience technologies from different suppliers to minimize supply chain risk?</t>
  </si>
  <si>
    <t xml:space="preserve">The organization implements and operates mechanisms to obtain security, compliance and resilience technologies from different suppliers to minimize supply chain risk.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</si>
  <si>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system components with a diverse set of sources are defined;
b. Ensuring services with a diverse set of sources are defined;
c. Ensuring a diverse set of sources is employed for system components;
d. Ensuring a diverse set of sources is employed for services;
e. Ensuring controls to be allocated are defined;
f. Ensuring locations and architectural layers are defined;
g. Ensuring controls that are allocated to locations and architectural layers are required to be obtained from different suppliers;
h. Specifying IEC 62443-4-2 component requirements, IEC 62443-4-1 secure development practices and target security levels in AMI and OT acquisition requirements; and
i.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</si>
  <si>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In-scope requirement alignment: NIST SP 800-53B Privacy: SR-03(01).
Validation: Annual conformity validation; evidence artifacts to be defined; PPTDF applicability: Process.</t>
  </si>
  <si>
    <t xml:space="preserve">PL-08(02), SR-03(01)</t>
  </si>
  <si>
    <t xml:space="preserve">SR-03(01)</t>
  </si>
  <si>
    <t xml:space="preserve">SG.PL Planning; SG.SA Smart Grid Information System and Services Acquisition (supply chain)</t>
  </si>
  <si>
    <t xml:space="preserve">∙ Cybersecurity Supply Chain Risk Management (C-SCRM) program
∙ Product / project management</t>
  </si>
  <si>
    <t xml:space="preserve">TDA-04</t>
  </si>
  <si>
    <t xml:space="preserve">Documentation Requirements</t>
  </si>
  <si>
    <t xml:space="preserve">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</si>
  <si>
    <t xml:space="preserve">Does the organization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</si>
  <si>
    <t xml:space="preserve">E-CPL-06, E-TDA-06, E-TDA-10</t>
  </si>
  <si>
    <t xml:space="preserve">NIST SP 800-82 R3 - Moderate OT Overlay; IEC 62443-4-1:2018; NIST SP 800-161 R1 - C-SCRM Baseline; NIST SP 800-53B R5 - Privacy baseline</t>
  </si>
  <si>
    <t xml:space="preserve">The organization implements and operates mechanisms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</si>
  <si>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administrator documentation for the system, system component or system service that describes the secure configuration of the system, component or service is obtained or developed;
b. Ensuring administrator documentation for the system, system component or system service that describes the secure installation of the system, component or service is obtained or developed;
c. Ensuring administrator documentation for the system, system component or system service that describes the secure operation of the system, component or service is obtained or developed;
d. Ensuring administrator documentation for the system, system component or system service that describes the effective use of cybersecurity / data privacy functions and mechanisms is obtained or developed;
e. Ensuring administrator documentation for the system, system component or system service that describes the effective maintenance of cybersecurity / data privacy functions and mechanisms is obtained or developed;
f. Ensuring user documentation for the system, system component or system service that describes user-accessible cybersecurity / data privacy functions and mechanisms is obtained or developed;
g. Ensuring user documentation for the system, system component or system service that describes how to effectively use those (user-accessible cybersecurity / data privacy) functions and mechanisms is obtained or developed;
h. Ensuring user documentation for the system, system component or system service that describes methods for user interaction, which enable individuals to use the system, component or service in a more secure manner is obtained or developed;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</si>
  <si>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In-scope requirement alignment: IEC 62443-4-1: SG-3, SG-3(a), SG-3(b), SG-3(c), SG-3(d), SG-3(d)(1), SG-3(d)(2), SG-3(d)(3), SG-3(e), SG-3(f), SG-3(g), SG-3(h), SG-4, SG-4(a), SG-4(b), SG-4(c), SG-4(d), SG-5, SG-5(a), SG-5(b), SG-6, SG-6(a), SG-6(b) | NIST SP 800-82 R3 (Moderate OT overlay): SA-05 | NIST SP 800-161 R1 C-SCRM: SA-5 | NIST SP 800-53B Privacy: SA-05.
Validation: Annual conformity validation; evidence artifacts E-CPL-06, E-TDA-06, E-TDA-10; PPTDF applicability: Process.</t>
  </si>
  <si>
    <t xml:space="preserve">SG-3, SG-3(a), SG-3(b), SG-3(c), SG-3(d), SG-3(d)(1), SG-3(d)(2), SG-3(d)(3), SG-3(e), SG-3(f), SG-3(g), SG-3(h), SG-4, SG-4(a), SG-4(b), SG-4(c), SG-4(d), SG-5, SG-5(a), SG-5(b), SG-6, SG-6(a), SG-6(b)</t>
  </si>
  <si>
    <t xml:space="preserve">SA-05</t>
  </si>
  <si>
    <t xml:space="preserve">TDA-04.1</t>
  </si>
  <si>
    <t xml:space="preserve">Functional Properties</t>
  </si>
  <si>
    <t xml:space="preserve">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</si>
  <si>
    <t xml:space="preserve">Does the organization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</si>
  <si>
    <t xml:space="preserve">E-CPL-06, E-TDA-06, E-TDA-10, E-TDA-15</t>
  </si>
  <si>
    <t xml:space="preserve">NIST SP 800-82 R3 - Moderate OT Overlay; NIST SP 800-53B R5 - Moderate baseline; IEC 62443-4-1:2018; NIST SP 800-53B R5 - Privacy baseline</t>
  </si>
  <si>
    <t xml:space="preserve">The organization implements and operates mechanisms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</si>
  <si>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provide a description of the functional properties of the controls to be implemented;
b. Ensuring organization-defined criteria for security-relevant information pertaining to external system interfaces, high-level design, low-level design, source code or hardware schematics and design and implementation information are documented in a System Security &amp; Privacy Plan (SSPP), or similar document;
c. Ensuring design and implementation information is defined;
d. Ensuring level of detail is defined;
e. Ensuring the developer of the system, system component or system service is required to provide design and implementation information for the controls that includes using at level of detail;
f. Specifying IEC 62443-4-2 component requirements, IEC 62443-4-1 secure development practices and target security levels in AMI and OT acquisition requirements; and
g.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</si>
  <si>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In-scope requirement alignment: IEC 62443-4-1: SR-3 | NIST SP 800-82 R3 (Moderate OT overlay): SA-04(01), SA-04(02) | NIST SP 800-53B Moderate: SA-04(01), SA-04(02) | NIST SP 800-53B Privacy: SA-04(01), SA-04(02).
Validation: Annual conformity validation; evidence artifacts E-CPL-06, E-TDA-06, E-TDA-10, E-TDA-15; PPTDF applicability: Process.</t>
  </si>
  <si>
    <t xml:space="preserve">SR-3</t>
  </si>
  <si>
    <t xml:space="preserve">TDA-04.2</t>
  </si>
  <si>
    <t xml:space="preserve">Software Bill of Materials (SBOM)</t>
  </si>
  <si>
    <t xml:space="preserve">Mechanisms exist to generate, or obtain, a Software Bill of Materials (SBOM) for Technology Assets, Applications and/or Services (TAAS) that lists software packages in use, including versions and applicable licenses.</t>
  </si>
  <si>
    <t xml:space="preserve">Does the organization generate, or obtain, a Software Bill of Materials (SBOM) for Technology Assets, Applications and/or Services (TAAS) that lists software packages in use, including versions and applicable licenses?</t>
  </si>
  <si>
    <t xml:space="preserve">E-TDA-12</t>
  </si>
  <si>
    <t xml:space="preserve">NIST Cybersecurity Framework 2.0; IEC 62443-4-1:2018; CSA IoT Security Controls Framework v2</t>
  </si>
  <si>
    <t xml:space="preserve">The organization implements and operates mechanisms to generate, or obtain, a Software Bill of Materials (SBOM) for Technology Assets, Applications and/or Services (TAAS) that lists software packages in use, including versions and applicable licenses.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</si>
  <si>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 Software Bill of Materials (SBOM) for systems, applications and services lists software packages in use, including versions and applicable licenses;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</si>
  <si>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Software Bill of Materials (SBOM); Cybersecurity Supply Chain Risk Management (C-SCRM) program; Product / project management.
In-scope requirement alignment: IEC 62443-4-1: SUM-3, SUM-3(a), SUM-3(b) | NIST CSF 2.0: GV.OC-05 | CSA IoT SCF: SDV-02.
Validation: Annual conformity validation; evidence artifacts E-TDA-12; PPTDF applicability: Process.</t>
  </si>
  <si>
    <t xml:space="preserve">SUM-3, SUM-3(a), SUM-3(b)</t>
  </si>
  <si>
    <t xml:space="preserve">GV.OC-05</t>
  </si>
  <si>
    <t xml:space="preserve">∙ Software Bill of Materials (SBOM)
∙ Cybersecurity Supply Chain Risk Management (C-SCRM) program
∙ Product / project management</t>
  </si>
  <si>
    <t xml:space="preserve">TDA-05</t>
  </si>
  <si>
    <t xml:space="preserve">Developer Architecture &amp; Design</t>
  </si>
  <si>
    <t xml:space="preserve">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</si>
  <si>
    <t xml:space="preserve">Does the organization require the developers of Technology Assets, Applications and/or Services (TAAS)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</si>
  <si>
    <t xml:space="preserve">DOE Cybersecurity Capability Maturity Model; IEC 62443-4-1:2018</t>
  </si>
  <si>
    <t xml:space="preserve">The organization implements and operates mechanisms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</si>
  <si>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produce a design specification and cybersecurity / data privacy architecture that are consistent with the organization's security architecture, which is an integral part the organization's enterprise architecture;
b. Ensuring the developer of the system, system component or system service is required to produce a design specification and cybersecurity / data privacy architecture that accurately and completely describe the required security functionality and the allocation of controls among physical and logical components;
c. Ensuring the developer of the system, system component or system service is required to produce a design specification and cybersecurity / data privacy architecture that express how individual security functions, mechanisms and services work together to provide required security capabilities and a unified approach to protection;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</si>
  <si>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"secure engineering principles" (e.g., alignment with NIST 800-160); Defined business processes; Product / project management; Defined technical requirements; Defined business requirements; System Development Lifecycle (SDLC) governance / oversight.
In-scope requirement alignment: IEC 62443-4-1: SD-1, SD-1(a), SD-1(b), SD-1(c), SD-1(d), SD-1(e), SD-1(f), SD-1(g), SD-1(h), SD-1(i), SD-1(j) | DOE C2M2: ARCHITECTURE-4f.
Validation: Annual conformity validation; evidence artifacts E-TDA-04; PPTDF applicability: Process.</t>
  </si>
  <si>
    <t xml:space="preserve">SD-1, SD-1(a), SD-1(b), SD-1(c), SD-1(d), SD-1(e), SD-1(f), SD-1(g), SD-1(h), SD-1(i), SD-1(j)</t>
  </si>
  <si>
    <t xml:space="preserve">SA-17</t>
  </si>
  <si>
    <t xml:space="preserve">ARCHITECTURE-4f</t>
  </si>
  <si>
    <t xml:space="preserve">8.27, 8.30</t>
  </si>
  <si>
    <t xml:space="preserve">TDA-05.1</t>
  </si>
  <si>
    <t xml:space="preserve">Physical Diagnostic &amp; Test Interfaces</t>
  </si>
  <si>
    <t xml:space="preserve">Mechanisms exist to secure physical diagnostic and test interfaces to prevent misuse.</t>
  </si>
  <si>
    <t xml:space="preserve">Does the organization secure physical diagnostic and test interfaces to prevent misuse?</t>
  </si>
  <si>
    <t xml:space="preserve">The organization implements and operates mechanisms to secure physical diagnostic and test interfaces to prevent misuse.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</si>
  <si>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physical diagnostic and test interfaces are secured to prevent misuse;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</si>
  <si>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Secure Baseline Configurations (SBC).
In-scope requirement alignment: IEC 62443-4-2: EDR 2.13, HDR 2.13, NDR 2.13.
Validation: Annual conformity validation; evidence artifacts to be defined; PPTDF applicability: Process.</t>
  </si>
  <si>
    <t xml:space="preserve">EDR 2.13, HDR 2.13, NDR 2.13</t>
  </si>
  <si>
    <t xml:space="preserve">TDA-05.2</t>
  </si>
  <si>
    <t xml:space="preserve">Diagnostic &amp; Test Interface Monitoring</t>
  </si>
  <si>
    <t xml:space="preserve">Mechanisms exist to enable endpoint devices to log events and generate alerts for attempts to access diagnostic and test interfaces.</t>
  </si>
  <si>
    <t xml:space="preserve">Does the organization enable endpoint devices to log events and generate alerts for attempts to access diagnostic and test interfaces?</t>
  </si>
  <si>
    <t xml:space="preserve">The organization implements and operates mechanisms to enable endpoint devices to log events and generate alerts for attempts to access diagnostic and test interfaces.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</si>
  <si>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endpoint devices are configured to log events and generate alerts for attempts to access diagnostic and test interfaces;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</si>
  <si>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software supply chain security program; SCA (e.g., Snyk, Black Duck); Vendor security audits; SBOM management.
In-scope requirement alignment: IEC 62443-4-2: EDR 2.13(1), HDR 2.13(1), NDR 2.13(1).
Validation: Annual conformity validation; evidence artifacts to be defined; PPTDF applicability: Technology.</t>
  </si>
  <si>
    <t xml:space="preserve">EDR 2.13(1), HDR 2.13(1), NDR 2.13(1)</t>
  </si>
  <si>
    <t xml:space="preserve">∙ Enterprise software supply chain security program
∙ SCA (e.g., Snyk, Black Duck)
∙ Vendor security audits
∙ SBOM management</t>
  </si>
  <si>
    <t xml:space="preserve">TDA-06</t>
  </si>
  <si>
    <t xml:space="preserve">Secure Software Development Practices (SSDP)</t>
  </si>
  <si>
    <t xml:space="preserve">Mechanisms exist to develop applications based on Secure Software Development Practices (SSDP).</t>
  </si>
  <si>
    <t xml:space="preserve">Does the organization develop applications based on Secure Software Development Practices (SSDP)?</t>
  </si>
  <si>
    <t xml:space="preserve">E-TDA-08, E-TDA-11</t>
  </si>
  <si>
    <t xml:space="preserve">IEC 62443-2-1:2024; NIST SP 800-82 R3 - Moderate OT Overlay; NIST Cybersecurity Framework 2.0; NIST SP 800-53B R5 - Moderate baseline; DOE Cybersecurity Capability Maturity Model; IEC 62443-4-1:2018; CSA IoT Security Controls Framework v2; NIST SP 800-161 R1 - C-SCRM Baseline; NIST Privacy Framework 1.0; NIST SP 800-53B R5 - Privacy baseline</t>
  </si>
  <si>
    <t xml:space="preserve">The organization implements and operates mechanisms to develop applications based on Secure Software Development Practices (SSDP).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</si>
  <si>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software development techniques that promote effective cybersecurity / data privacy are identified;
b. Ensuring testing, evaluation, assessment, verification and validation methods are defined;
c. Ensuring cybersecurity / data privacy requirements to be satisfied by the process, standards, tools, tool options and tool configurations are defined;
d. Ensuring identified software development techniques that promote effective cybersecurity / data privacy are employed;
e. Ensuring quality control processes are defined;
f. Ensuring frequency at which to review the development process, standards, tools, tool options and tool configurations is defined;
g. Ensuring the developer of the system, system component or system service is required to follow a documented development process that explicitly addresses security requirements;
h. Ensuring the developer of the system, system component or system service is required to follow a documented development process that explicitly addresses privacy requirements;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</si>
  <si>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Microsoft Security Development Lifecycle (SDL) practices; OWASP's Application Security Verification Standard (ASVS); Mobile Application Security Verification Standard (MASVS).
In-scope requirement alignment: IEC 62443-2-1: ORG 2.3 | IEC 62443-4-1: SD-4, SD-4(a), SD-4(b), SD-4(c), SD-4(d), SD-4(e), SD-4(f), SD-4(g), SI-2, SI-2(a), SI-2(b), SI-2(c), SI-2(d), SI-2(e), SI-2(f) | NIST SP 800-82 R3 (Moderate OT overlay): SA-01, SA-15 | DOE C2M2: ARCHITECTURE-4a, ARCHITECTURE-4d | NIST CSF 2.0: PR.PS-06 | NIST SP 800-53B Moderate: SA-15 | NIST SP 800-161 R1 C-SCRM: SA-1 | CSA IoT SCF: SDV-05 | NIST Privacy Framework: CT.DP-P1 | NIST SP 800-53B Privacy: SA-01, SA-04(03).
Validation: Annual conformity validation; evidence artifacts E-TDA-08, E-TDA-11; PPTDF applicability: Process.</t>
  </si>
  <si>
    <t xml:space="preserve">SD-4, SD-4(a), SD-4(b), SD-4(c), SD-4(d), SD-4(e), SD-4(f), SD-4(g), SI-2, SI-2(a), SI-2(b), SI-2(c), SI-2(d), SI-2(e), SI-2(f)</t>
  </si>
  <si>
    <t xml:space="preserve">SA-01, SA-04(03), SA-15</t>
  </si>
  <si>
    <t xml:space="preserve">SA-01, SA-15</t>
  </si>
  <si>
    <t xml:space="preserve">ARCHITECTURE-4a, ARCHITECTURE-4d</t>
  </si>
  <si>
    <t xml:space="preserve">PR.PS-06</t>
  </si>
  <si>
    <t xml:space="preserve">SA-15</t>
  </si>
  <si>
    <t xml:space="preserve">SA-1</t>
  </si>
  <si>
    <t xml:space="preserve">SDV-05</t>
  </si>
  <si>
    <t xml:space="preserve">SA-01, SA-04(03)</t>
  </si>
  <si>
    <t xml:space="preserve">8.25, 8.26, 8.27, 8.28, 8.30</t>
  </si>
  <si>
    <t xml:space="preserve">∙ Microsoft Security Development Lifecycle (SDL) practices
∙ OWASP's Application Security Verification Standard (ASVS) 
∙ Mobile Application Security Verification Standard (MASVS)</t>
  </si>
  <si>
    <t xml:space="preserve">TDA-06.1</t>
  </si>
  <si>
    <t xml:space="preserve">Criticality Analysis During Development</t>
  </si>
  <si>
    <t xml:space="preserve">Mechanisms exist to require the developer of the Technology Asset, Application and/or Service (TAAS) to perform a criticality analysis at organization-defined decision points in the Secure Development Life Cycle (SDLC).</t>
  </si>
  <si>
    <t xml:space="preserve">Does the organization require the developer of the Technology Asset, Application and/or Service (TAAS) to perform a criticality analysis at organization-defined decision points in the Secure Development Life Cycle (SDLC)?</t>
  </si>
  <si>
    <t xml:space="preserve">E-BCM-08, E-CHG-01, E-TPM-02</t>
  </si>
  <si>
    <t xml:space="preserve">NIST SP 800-82 R3 - Moderate OT Overlay; NIST Cybersecurity Framework 2.0; NIST SP 800-53B R5 - Moderate baseline; DOE Cybersecurity Capability Maturity Model; NIST Privacy Framework 1.0; NIST SP 800-53B R5 - Privacy baseline</t>
  </si>
  <si>
    <t xml:space="preserve">The organization implements and operates mechanisms to require the developer of the Technology Asset, Application and/or Service (TAAS) to perform a criticality analysis at organization-defined decision points in the Secure Development Life Cycle (SDLC).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</si>
  <si>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decision points in the system development life cycle are defined;
b. Ensuring the breadth of criticality analysis is defined;
c. Ensuring the depth of criticality analysis is defined;
d. Ensuring the developer of the system, system component, or system service is required to perform a criticality analysis at organization-defined decision points in the system development life cycle;
e. Ensuring the developer of the system, system component, or system service is required to perform a criticality analysis per an organization-defined breadth;
f. Ensuring the developer of the system, system component, or system service is required to perform a criticality analysis per an organization-defined depth;
g. Ensuring suppliers of critical or mission-essential technologies, products and services are identified;
h. Ensuring suppliers of critical or mission-essential technologies, products and services are prioritized;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</si>
  <si>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test environment security program; Test data management; Production/test environment separation.
In-scope requirement alignment: NIST SP 800-82 R3 (Moderate OT overlay): PM-30(01), SA-15(03) | DOE C2M2: ASSET-1c, ASSET-1d, ASSET-2c, ASSET-2d | NIST CSF 2.0: PR.PS-06 | NIST SP 800-53B Moderate: RA-09, SA-15(03) | NIST Privacy Framework: ID.BE-P3 | NIST SP 800-53B Privacy: PM-30(01), RA-09.
Validation: Annual conformity validation; evidence artifacts E-BCM-08, E-CHG-01, E-TPM-02; PPTDF applicability: Process.</t>
  </si>
  <si>
    <t xml:space="preserve">PM-30(01), RA-09, SA-15(03)</t>
  </si>
  <si>
    <t xml:space="preserve">PM-30(01), SA-15(03)</t>
  </si>
  <si>
    <t xml:space="preserve">ASSET-1c, ASSET-1d, ASSET-2c, ASSET-2d</t>
  </si>
  <si>
    <t xml:space="preserve">RA-09, SA-15(03)</t>
  </si>
  <si>
    <t xml:space="preserve">PM-30(01), RA-09</t>
  </si>
  <si>
    <t xml:space="preserve">SG.PM Security Program Management; SG.RA Risk Management and Assessment; SG.SA Smart Grid Information System and Services Acquisition</t>
  </si>
  <si>
    <t xml:space="preserve">8.29</t>
  </si>
  <si>
    <t xml:space="preserve">∙ Enterprise test environment security program
∙ Test data management
∙ Production/test environment separation</t>
  </si>
  <si>
    <t xml:space="preserve">TDA-06.2</t>
  </si>
  <si>
    <t xml:space="preserve">Threat Modeling</t>
  </si>
  <si>
    <t xml:space="preserve">Mechanisms exist to perform threat modelling and other secure design techniques, to ensure that threats to software and solutions are identified and accounted for.</t>
  </si>
  <si>
    <t xml:space="preserve">Does the organization perform threat modelling and other secure design techniques, to ensure that threats to software and solutions are identified and accounted for?</t>
  </si>
  <si>
    <t xml:space="preserve">E-TDA-03, E-TDA-10, E-THR-05</t>
  </si>
  <si>
    <t xml:space="preserve">NIST Cybersecurity Framework 2.0; IEC 62443-4-1:2018; CSA IoT Security Controls Framework v2; NIST SP 800-53B R5 - Privacy baseline</t>
  </si>
  <si>
    <t xml:space="preserve">The organization implements and operates mechanisms to perform threat modelling and other secure design techniques, to ensure that threats to software and solutions are identified and accounted for.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</si>
  <si>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threat modelling and other secure design techniques are used to ensure that threats to software and solutions are identified and accounted for;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</si>
  <si>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test data management platform (e.g., Informatica TDM, Delphix); Automated data masking.
In-scope requirement alignment: IEC 62443-4-1: SM-13, SR-2, SR-2(a), SR-2(b), SR-2(c), SR-2(d), SR-2(e), SR-2(f), SR-2(g), SR-2(h), SR-2(i), SR-2(j), SR-2(k), SR-2(l), SR-2(m) | NIST CSF 2.0: GV.OC-01, PR.PS-06 | CSA IoT SCF: SDV-06 | NIST SP 800-53B Privacy: SA-11(02).
Validation: Annual conformity validation; evidence artifacts E-TDA-03, E-TDA-10, E-THR-05; PPTDF applicability: Process.</t>
  </si>
  <si>
    <t xml:space="preserve">SM-13, SR-2, SR-2(a), SR-2(b), SR-2(c), SR-2(d), SR-2(e), SR-2(f), SR-2(g), SR-2(h), SR-2(i), SR-2(j), SR-2(k), SR-2(l), SR-2(m)</t>
  </si>
  <si>
    <t xml:space="preserve">SA-11(02), SA-15(08)</t>
  </si>
  <si>
    <t xml:space="preserve">GV.OC-01, PR.PS-06</t>
  </si>
  <si>
    <t xml:space="preserve">SDV-06</t>
  </si>
  <si>
    <t xml:space="preserve">SA-11(02)</t>
  </si>
  <si>
    <t xml:space="preserve">∙ Enterprise test data management platform (e.g., Informatica TDM, Delphix)
∙ Automated data masking</t>
  </si>
  <si>
    <t xml:space="preserve">TDA-06.3</t>
  </si>
  <si>
    <t xml:space="preserve">Software Assurance Maturity Model (SAMM)</t>
  </si>
  <si>
    <t xml:space="preserve">Mechanisms exist to utilize a Software Assurance Maturity Model (SAMM) to govern a secure development lifecycle for the development of Technology Assets, Applications and/or Services (TAAS).</t>
  </si>
  <si>
    <t xml:space="preserve">Does the organization utilize a Software Assurance Maturity Model (SAMM) to govern a secure development lifecycle for the development of Technology Assets, Applications and/or Services (TAAS)?</t>
  </si>
  <si>
    <t xml:space="preserve">E-TDA-04, E-TDA-11</t>
  </si>
  <si>
    <t xml:space="preserve">The organization implements and operates mechanisms to utilize a Software Assurance Maturity Model (SAMM) to govern a secure development lifecycle for the development of Technology Assets, Applications and/or Services (TAAS).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</si>
  <si>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 Software Assurance Maturity Model (SAMM) governs a secure development lifecycle for the development of systems, applications and services;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</si>
  <si>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Software Assurance Maturity Model (SAMM).
In-scope requirement alignment: NIST CSF 2.0: PR.PS-06 | CSA IoT SCF: SDV-03.
Validation: Annual conformity validation; evidence artifacts E-TDA-04, E-TDA-11; PPTDF applicability: Process.</t>
  </si>
  <si>
    <t xml:space="preserve">SDV-03</t>
  </si>
  <si>
    <t xml:space="preserve">∙ Defined Software Assurance Maturity Model (SAMM)</t>
  </si>
  <si>
    <t xml:space="preserve">TDA-06.5</t>
  </si>
  <si>
    <t xml:space="preserve">Software Design Review</t>
  </si>
  <si>
    <t xml:space="preserve">Mechanisms exist to have an independent review of the software design to validate:
(1) Applicable security, compliance and resilience requirements are met; and
(2) Identified risks are remediated.</t>
  </si>
  <si>
    <t xml:space="preserve">Does the organization have an independent review of the software design to validate:
(1) Applicable security, compliance and resilience requirements are met; and
(2) Identified risks are remediated?</t>
  </si>
  <si>
    <t xml:space="preserve">E-TDA-05</t>
  </si>
  <si>
    <t xml:space="preserve">The organization implements and operates mechanisms to have an independent review of the software design to validate: (1) Applicable security, compliance and resilience requirements are met; and (2) Identified risks are remediated.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</si>
  <si>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an independent review of the software design confirms that all cybersecurity / data privacy requirements are met and that any identified risks are satisfactorily addressed;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</si>
  <si>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integration testing program with security validation; Automated integration security testing.
In-scope requirement alignment: DOE C2M2: ARCHITECTURE-4f.
Validation: Annual conformity validation; evidence artifacts E-TDA-05; PPTDF applicability: Process.</t>
  </si>
  <si>
    <t xml:space="preserve">∙ Enterprise integration testing program with security validation
∙ Automated integration security testing</t>
  </si>
  <si>
    <t xml:space="preserve">TDA-06.6</t>
  </si>
  <si>
    <t xml:space="preserve">Software Design Root Cause Analysis</t>
  </si>
  <si>
    <t xml:space="preserve">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</si>
  <si>
    <t xml:space="preserve">Does the organization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</si>
  <si>
    <t xml:space="preserve">The organization implements and operates mechanisms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</si>
  <si>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software design processes include conducting Root Cause Analysis (RCA) to identify the underlying causes of issues or failures;
b. Ensuring software design processes include developing actions to address the root cause of the issue or failure;
c. Ensuring software design processes include implementing the actions and monitor the implementation for effectiveness;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</si>
  <si>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acceptance testing program with formal security criteria.
In-scope requirement alignment: IEC 62443-4-1: DM-4, DM-4(a-1), DM-4(a-1)(1), DM-4(a-1)(2), DM-4(a-1)(3), DM-4(a-1)(4), DM-4(b-1), DM-4(c), DM-4(d), DM-4(a-2), DM-4(b-2).
Validation: Annual conformity validation; evidence artifacts to be defined; PPTDF applicability: Process.</t>
  </si>
  <si>
    <t xml:space="preserve">DM-4, DM-4(a-1), DM-4(a-1)(1), DM-4(a-1)(2), DM-4(a-1)(3), DM-4(a-1)(4), DM-4(b-1), DM-4(c), DM-4(d), DM-4(a-2), DM-4(b-2)</t>
  </si>
  <si>
    <t xml:space="preserve">SI-02(07)</t>
  </si>
  <si>
    <t xml:space="preserve">∙ Enterprise acceptance testing program with formal security criteria</t>
  </si>
  <si>
    <t xml:space="preserve">TDA-07</t>
  </si>
  <si>
    <t xml:space="preserve">Secure Development Environments</t>
  </si>
  <si>
    <t xml:space="preserve">Mechanisms exist to maintain a segmented development network to ensure a secure development environment.</t>
  </si>
  <si>
    <t xml:space="preserve">Does the organization maintain a segmented development network to ensure a secure development environment?</t>
  </si>
  <si>
    <t xml:space="preserve">IEC 62443-4-1:2018; NIST SP 800-53B R5 - Privacy baseline</t>
  </si>
  <si>
    <t xml:space="preserve">The organization implements and operates mechanisms to maintain a segmented development network to ensure a secure development environment.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</si>
  <si>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system pre-production environments are protected commensurate with risk throughout the system development life cycle for the system, system component or system service;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</si>
  <si>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secure development environment platform; DevSecOps toolchain security; Dev tool lifecycle management.
In-scope requirement alignment: IEC 62443-4-1: SM-7 | NIST SP 800-53B Privacy: SA-03(01).
Validation: Annual conformity validation; evidence artifacts to be defined; PPTDF applicability: Process.</t>
  </si>
  <si>
    <t xml:space="preserve">SM-7</t>
  </si>
  <si>
    <t xml:space="preserve">SA-03(01)</t>
  </si>
  <si>
    <t xml:space="preserve">8.25, 8.31</t>
  </si>
  <si>
    <t xml:space="preserve">∙ Enterprise secure development environment platform
∙ DevSecOps toolchain security
∙ Dev tool lifecycle management</t>
  </si>
  <si>
    <t xml:space="preserve">TDA-08</t>
  </si>
  <si>
    <t xml:space="preserve">Separation of Development, Testing and Operational Environments</t>
  </si>
  <si>
    <t xml:space="preserve">Mechanisms exist to manage separate development, testing and operational environments to reduce the risks of unauthorized access or changes to the operational environment and to ensure no impact to production Technology Assets, Applications and/or Services (TAAS).</t>
  </si>
  <si>
    <t xml:space="preserve">Does the organization manage separate development, testing and operational environments to reduce the risks of unauthorized access or changes to the operational environment and to ensure no impact to production Technology Assets, Applications and/or Services (TAAS)?</t>
  </si>
  <si>
    <t xml:space="preserve">The organization implements and operates mechanisms to manage separate development, testing and operational environments to reduce the risks of unauthorized access or changes to the operational environment and to ensure no impact to production Technology Assets, Applications and/or Services (TAAS).
Within the OT and AMI environment, this objective establishes security requirements and supplier secure-development expectations for AMI and OT products and verifies them before deployment.</t>
  </si>
  <si>
    <t xml:space="preserve">IT Operations and OT Operations teams (asset custodians) are responsible for:
a. Ensuring changes to the system are analyzed in a separate test environment before implementation in an operational environment;
b. Ensuring changes to the system are analyzed for cybersecurity / data privacy impacts due to flaws;
c. Ensuring changes to the system are analyzed for cybersecurity / data privacy impacts due to weaknesses;
d. Ensuring changes to the system are analyzed for cybersecurity / data privacy impacts due to incompatibility;
e. Ensuring changes to the system are analyzed for cybersecurity / data privacy impacts due to intentional malice;
f. Specifying IEC 62443-4-2 component requirements, IEC 62443-4-1 secure development practices and target security levels in AMI and OT acquisition requirements; and
g.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</si>
  <si>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SCM platform (e.g., GitHub Enterprise, GitLab); Automated version control enforcement; SBOM generation.
In-scope requirement alignment: NIST Privacy Framework: PR.DS-P7.
Validation: Annual conformity validation; evidence artifacts to be defined; PPTDF applicability: Process.</t>
  </si>
  <si>
    <t xml:space="preserve">CM-04(01)</t>
  </si>
  <si>
    <t xml:space="preserve">PR.DS-P7</t>
  </si>
  <si>
    <t xml:space="preserve">∙ Enterprise SCM platform (e.g., GitHub Enterprise, GitLab)
∙ Automated version control enforcement
∙ SBOM generation</t>
  </si>
  <si>
    <t xml:space="preserve">TDA-09</t>
  </si>
  <si>
    <t xml:space="preserve">Security, Compliance &amp; Resilience Testing Throughout Development</t>
  </si>
  <si>
    <t xml:space="preserve">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</si>
  <si>
    <t xml:space="preserve">Does the organization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</si>
  <si>
    <t xml:space="preserve">E-TDA-03, E-TDA-05</t>
  </si>
  <si>
    <t xml:space="preserve">NIST SP 800-82 R3 - Moderate OT Overlay; NIST Cybersecurity Framework 2.0; NIST SP 800-53B R5 - Moderate baseline; DOE Cybersecurity Capability Maturity Model; IEC 62443-4-1:2018; CSA IoT Security Controls Framework v2; NIST SP 800-53B R5 - Privacy baseline</t>
  </si>
  <si>
    <t xml:space="preserve">The organization implements and operates mechanisms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
Within the OT and AMI environment, this objective establishes security requirements and supplier secure-development expectations for AMI and OT products and verifies them before deployment.</t>
  </si>
  <si>
    <t xml:space="preserve">The Information Risk Manager, in coordination with OT Engineering, is responsible for:
a. Ensuring the developer of the system, system component or system service is required to demonstrate the use of a system development life cycle process that includes organization-defined system security engineering methods;
b. Ensuring the developer of the system, system component or system service is required to perform attack surface reviews;
c. Ensuring the breadth of testing and evaluation of required controls is defined;
d. Ensuring the depth of testing and evaluation of required controls is defined;
e. Ensuring frequency at which to conduct testing/evaluation is defined;
f. Ensuring the developer of the system, system component or system service is required at all post-design stages of the system development life cycle to develop a plan for ongoing security assessments;
g. Ensuring the developer of the system, system component or system service is required at all post-design stages of the system development life cycle to implement a plan for ongoing security assessments;
h. Ensuring the developer of the system, system component or system service is required at all post-design stages of the system development life cycle to develop a plan for privacy assessments;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</si>
  <si>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Security Testing and Evaluation (ST&amp;E).
In-scope requirement alignment: IEC 62443-4-1: SM-9, SM-10, SM-10(a), SM-10(b), SD-3, SD-3(a), SD-3(b), SD-3(c), SI-1, SI-1(a), SI-1(b), SI-1(d), SI-1(e), SVV-1, SVV-1(a), SVV-1(b), SVV-1(c), SVV-2, SVV-2(a), SVV-2(b), SVV-3, SVV-3(a), SVV-3(b), SVV-3(c), SVV-3(d), SVV-3(d)(1), SVV-3(d)(2), SVV-3(d)(3), SVV-3(d)(4), SVV-3(e), SVV-5, DM-1, DM-1(a), DM-1(b), DM-1(c), DM-1(d), DM-3, DM-3(a), DM-3(a)(1), DM-3(a)(2), DM-3(a)(3), DM-3(b), DM-3(c), DM-3(d), DM-3(e) | NIST SP 800-82 R3 (Moderate OT overlay): SA-11 | DOE C2M2: ARCHITECTURE-4h | NIST CSF 2.0: ID.RA-01, ID.IM-01, ID.IM-02, PR.PS-06 | NIST SP 800-53B Moderate: SA-11 | CSA IoT SCF: SDV-07, SET-06 | NIST SP 800-53B Privacy: SA-11, SA-11(05), SA-11(06), SA-11(07).
Validation: Annual conformity validation; evidence artifacts E-TDA-03, E-TDA-05; PPTDF applicability: Process.</t>
  </si>
  <si>
    <t xml:space="preserve">SM-9, SM-10, SM-10(a), SM-10(b), SD-3, SD-3(a), SD-3(b), SD-3(c), SI-1, SI-1(a), SI-1(b), SI-1(d), SI-1(e), SVV-1, SVV-1(a), SVV-1(b), SVV-1(c), SVV-2, SVV-2(a), SVV-2(b), SVV-3, SVV-3(a), SVV-3(b), SVV-3(c), SVV-3(d), SVV-3(d)(1), SVV-3(d)(2), SVV-3(d)(3), SVV-3(d)(4), SVV-3(e), SVV-5, DM-1, DM-1(a), DM-1(b), DM-1(c), DM-1(d), DM-3, DM-3(a), DM-3(a)(1), DM-3(a)(2), DM-3(a)(3), DM-3(b), DM-3(c), DM-3(d), DM-3(e)</t>
  </si>
  <si>
    <t xml:space="preserve">SA-11, SA-11(05), SA-11(06), SA-11(07)</t>
  </si>
  <si>
    <t xml:space="preserve">SA-11</t>
  </si>
  <si>
    <t xml:space="preserve">ARCHITECTURE-4h</t>
  </si>
  <si>
    <t xml:space="preserve">ID.RA-01, ID.IM-01, ID.IM-02, PR.PS-06</t>
  </si>
  <si>
    <t xml:space="preserve">SDV-07, SET-06</t>
  </si>
  <si>
    <t xml:space="preserve">∙ Security Testing and Evaluation (ST&amp;E)</t>
  </si>
  <si>
    <t xml:space="preserve">TDA-09.1</t>
  </si>
  <si>
    <t xml:space="preserve">Continuous Monitoring Plan</t>
  </si>
  <si>
    <t xml:space="preserve">Mechanisms exist to require the developers of Technology Assets, Applications and/or Services (TAAS) to produce a plan for the continuous monitoring of security, compliance and/or resilience control effectiveness.</t>
  </si>
  <si>
    <t xml:space="preserve">Does the organization require the developers of Technology Assets, Applications and/or Services (TAAS) to produce a plan for the continuous monitoring of security, compliance and/or  resilience control effectiveness?</t>
  </si>
  <si>
    <t xml:space="preserve">E-TDA-03</t>
  </si>
  <si>
    <t xml:space="preserve">The organization implements and operates mechanisms to require the developers of Technology Assets, Applications and/or Services (TAAS) to produce a plan for the continuous monitoring of security, compliance and/or resilience control effectiveness.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</si>
  <si>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produce a plan for the continuous monitoring of control effectiveness that is consistent with the continuous monitoring program of the organization;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</si>
  <si>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DevSecOps SDLC (e.g., NIST SSDF, OWASP SAMM); Automated security gates in CI/CD.
In-scope requirement alignment: NIST CSF 2.0: ID.IM-01, ID.IM-02 | CSA IoT SCF: SDV-07.
Validation: Annual conformity validation; evidence artifacts E-TDA-03; PPTDF applicability: Process.</t>
  </si>
  <si>
    <t xml:space="preserve">SA-04(08)</t>
  </si>
  <si>
    <t xml:space="preserve">∙ Enterprise DevSecOps SDLC (e.g., NIST SSDF, OWASP SAMM)
∙ Automated security gates in CI/CD</t>
  </si>
  <si>
    <t xml:space="preserve">TDA-09.2</t>
  </si>
  <si>
    <t xml:space="preserve">Static Code Analysis</t>
  </si>
  <si>
    <t xml:space="preserve">Mechanisms exist to require the developers of Technology Assets, Applications and/or Services (TAAS) to employ static code analysis tools to identify and remediate common flaws and document the results of the analysis.</t>
  </si>
  <si>
    <t xml:space="preserve">Does the organization require the developers of Technology Assets, Applications and/or Services (TAAS) to employ static code analysis tools to identify and remediate common flaws and document the results of the analysis?</t>
  </si>
  <si>
    <t xml:space="preserve">DOE Cybersecurity Capability Maturity Model; IEC 62443-4-1:2018; CSA IoT Security Controls Framework v2</t>
  </si>
  <si>
    <t xml:space="preserve">The organization implements and operates mechanisms to require the developers of Technology Assets, Applications and/or Services (TAAS) to employ static code analysis tools to identify and remediate common flaws and document the results of the analysis.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</si>
  <si>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employ static code analysis tools to identify common flaws;
b. Ensuring the developer of the system, system component or system service is required to employ static code analysis tools to document the results of the analysis;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</si>
  <si>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agile security program (DevSecOps); Security backlog integration; Security in definition of done.
In-scope requirement alignment: IEC 62443-4-1: SI-1(c) | DOE C2M2: ARCHITECTURE-4h | CSA IoT SCF: SDV-04, SET-06.
Validation: Annual conformity validation; evidence artifacts E-TDA-03; PPTDF applicability: Process.</t>
  </si>
  <si>
    <t xml:space="preserve">SI-1(c)</t>
  </si>
  <si>
    <t xml:space="preserve">SA-11(01)</t>
  </si>
  <si>
    <t xml:space="preserve">SDV-04, SET-06</t>
  </si>
  <si>
    <t xml:space="preserve">∙ Enterprise agile security program (DevSecOps)
∙ Security backlog integration
∙ Security in definition of done</t>
  </si>
  <si>
    <t xml:space="preserve">TDA-09.3</t>
  </si>
  <si>
    <t xml:space="preserve">Dynamic Code Analysis</t>
  </si>
  <si>
    <t xml:space="preserve">Mechanisms exist to require the developers of Technology Assets, Applications and/or Services (TAAS) to employ dynamic code analysis tools to identify and remediate common flaws and document the results of the analysis.</t>
  </si>
  <si>
    <t xml:space="preserve">Does the organization require the developers of Technology Assets, Applications and/or Services (TAAS) to employ dynamic code analysis tools to identify and remediate common flaws and document the results of the analysis?</t>
  </si>
  <si>
    <t xml:space="preserve">The organization implements and operates mechanisms to require the developers of Technology Assets, Applications and/or Services (TAAS) to employ dynamic code analysis tools to identify and remediate common flaws and document the results of the analysis.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</si>
  <si>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employ dynamic code analysis tools to identify common flaws;
b. Ensuring the developer of the system, system component or system service is required to document the results of the analysis;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</si>
  <si>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DevSecOps pipeline with full automation (CI/CD security gates, SAST, DAST, SCA).
In-scope requirement alignment: DOE C2M2: ARCHITECTURE-4h | CSA IoT SCF: SDV-04, SET-06.
Validation: Annual conformity validation; evidence artifacts E-TDA-03; PPTDF applicability: Process.</t>
  </si>
  <si>
    <t xml:space="preserve">SA-11(08)</t>
  </si>
  <si>
    <t xml:space="preserve">∙ Enterprise DevSecOps pipeline with full automation (CI/CD security gates, SAST, DAST, SCA)</t>
  </si>
  <si>
    <t xml:space="preserve">TDA-09.5</t>
  </si>
  <si>
    <t xml:space="preserve">Application Penetration Testing</t>
  </si>
  <si>
    <t xml:space="preserve">Mechanisms exist to perform application-level penetration testing of custom-made Technology Assets, Applications and/or Services (TAAS).</t>
  </si>
  <si>
    <t xml:space="preserve">Does the organization perform application-level penetration testing of custom-made Technology Assets, Applications and/or Services (TAAS)?</t>
  </si>
  <si>
    <t xml:space="preserve">DOE Cybersecurity Capability Maturity Model; IEC 62443-4-1:2018; CSA IoT Security Controls Framework v2; NIST SP 800-53B R5 - Privacy baseline</t>
  </si>
  <si>
    <t xml:space="preserve">The organization implements and operates mechanisms to perform application-level penetration testing of custom-made Technology Assets, Applications and/or Services (TAAS).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</si>
  <si>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perform penetration testing per an organization-defined breadth;
b. Ensuring the developer of the system, system component, or system service is required to perform penetration testing per an organization-defined depth;
c. Ensuring the developer of the system, system component, or system service is required to perform penetration testing under organization-defined constraints;
d. Ensuring the developer of the system, system component or system service is required to perform attack surface reviews;
e. Specifying IEC 62443-4-2 component requirements, IEC 62443-4-1 secure development practices and target security levels in AMI and OT acquisition requirements; and
f.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</si>
  <si>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site reliability engineering (SRE) with security integration.
In-scope requirement alignment: IEC 62443-4-1: SVV-4 | DOE C2M2: ARCHITECTURE-4h | CSA IoT SCF: SDV-07, SET-02, SET-06 | NIST SP 800-53B Privacy: SA-11(05).
Validation: Annual conformity validation; evidence artifacts E-TDA-03; PPTDF applicability: Process.</t>
  </si>
  <si>
    <t xml:space="preserve">SVV-4</t>
  </si>
  <si>
    <t xml:space="preserve">SDV-07, SET-02, SET-06</t>
  </si>
  <si>
    <t xml:space="preserve">∙ Enterprise site reliability engineering (SRE) with security integration</t>
  </si>
  <si>
    <t xml:space="preserve">TDA-09.6</t>
  </si>
  <si>
    <t xml:space="preserve">Secure Settings By Default</t>
  </si>
  <si>
    <t xml:space="preserve">Mechanisms exist to implement secure configuration settings by default to reduce the likelihood of Technology Assets, Applications and/or Services (TAAS) being deployed with weak security settings that would put the TAAS at a greater risk of compromise.</t>
  </si>
  <si>
    <t xml:space="preserve">Does the organization implement secure configuration settings by default to reduce the likelihood of Technology Assets, Applications and/or Services (TAAS) being deployed with weak security settings that would put the TAAS at a greater risk of compromise?</t>
  </si>
  <si>
    <t xml:space="preserve">The organization implements and operates mechanisms to implement secure configuration settings by default to reduce the likelihood of Technology Assets, Applications and/or Services (TAAS) being deployed with weak security settings that would put the TAAS at a greater risk of compromise.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</si>
  <si>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default secure configuration settings reduce the likelihood of software being deployed with weak security settings that would put the asset at a greater risk of compromise;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</si>
  <si>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security orchestration in CI/CD pipelines; Policy-as-code enforcement.
In-scope requirement alignment: DOE C2M2: ARCHITECTURE-4c.
Validation: Annual conformity validation; evidence artifacts E-TDA-03; PPTDF applicability: Technology.</t>
  </si>
  <si>
    <t xml:space="preserve">∙ Enterprise security orchestration in CI/CD pipelines
∙ Policy-as-code enforcement</t>
  </si>
  <si>
    <t xml:space="preserve">TDA-11</t>
  </si>
  <si>
    <t xml:space="preserve">Product Tampering and Counterfeiting (PTC)</t>
  </si>
  <si>
    <t xml:space="preserve">Mechanisms exist to maintain awareness of component authenticity by developing and implementing Product Tampering and Counterfeiting (PTC) practices that include the means to detect and prevent counterfeit components.</t>
  </si>
  <si>
    <t xml:space="preserve">Does the organization maintain awareness of component authenticity by developing and implementing Product Tampering and Counterfeiting (PTC) practices that include the means to detect and prevent counterfeit components?</t>
  </si>
  <si>
    <t xml:space="preserve">The organization implements and operates mechanisms to maintain awareness of component authenticity by developing and implementing Product Tampering and Counterfeiting (PTC) practices that include the means to detect and prevent counterfeit components.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</si>
  <si>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controls to validate that the system or system component received is genuine are defined;
b. Ensuring controls to validate that the system or system component received has not been altered are defined;
c. Ensuring controls are employed to validate that the system or system component received is genuine;
d. Ensuring controls are employed to validate that the system or system component received has not been altered;
e. Ensuring controls employed to ensure that the integrity of the system and system component are defined;
f. Ensuring an analysis method to be conducted to validate the internal composition and provenance of critical or mission-essential technologies, products and services to ensure the integrity of the system and system component is defined;
g. Ensuring controls are employed to ensure the integrity of the system and system components;
h. Ensuring analysis method is conducted to ensure the integrity of the system and system components;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</si>
  <si>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software release management platform; Formal acceptance testing process; Blue/green or canary deployments.
In-scope requirement alignment: NIST SP 800-82 R3 (Moderate OT overlay): SR-10, SR-11 | NIST SP 800-161 R1 C-SCRM: SR-10, SR-11 | NIST SP 800-53B Privacy: SR-10.
Validation: Annual conformity validation; evidence artifacts to be defined; PPTDF applicability: Process.</t>
  </si>
  <si>
    <t xml:space="preserve">SR-04(03), SR-04(04), SR-10, SR-11, SR-11(03)</t>
  </si>
  <si>
    <t xml:space="preserve">SR-10, SR-11</t>
  </si>
  <si>
    <t xml:space="preserve">∙ Enterprise software release management platform
∙ Formal acceptance testing process
∙ Blue/green or canary deployments</t>
  </si>
  <si>
    <t xml:space="preserve">TDA-11.1</t>
  </si>
  <si>
    <t xml:space="preserve">Anti-Counterfeit Training</t>
  </si>
  <si>
    <t xml:space="preserve">Mechanisms exist to train personnel to detect counterfeit system components, including hardware, software and firmware.</t>
  </si>
  <si>
    <t xml:space="preserve">Does the organization train personnel to detect counterfeit system components, including hardware, software and firmware?</t>
  </si>
  <si>
    <t xml:space="preserve">The organization implements and operates mechanisms to train personnel to detect counterfeit system components, including hardware, software and firmware.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</si>
  <si>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personnel or roles requiring training to detect counterfeit system components (including hardware, software and firmware) is/are defined;
b. Ensuring personnel or roles are trained to detect counterfeit system components (including hardware, software and firmware);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</si>
  <si>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automated security regression testing in CI/CD pipeline.
In-scope requirement alignment: NIST SP 800-82 R3 (Moderate OT overlay): SR-11(01) | NIST SP 800-161 R1 C-SCRM: SR-11(1).
Validation: Annual conformity validation; evidence artifacts to be defined; PPTDF applicability: People.</t>
  </si>
  <si>
    <t xml:space="preserve">SR-11(01)</t>
  </si>
  <si>
    <t xml:space="preserve">SR-11(1)</t>
  </si>
  <si>
    <t xml:space="preserve">∙ Enterprise automated security regression testing in CI/CD pipeline</t>
  </si>
  <si>
    <t xml:space="preserve">TDA-11.2</t>
  </si>
  <si>
    <t xml:space="preserve">Component Disposal</t>
  </si>
  <si>
    <t xml:space="preserve">[deprecated - incorporated into AST-09]
Mechanisms exist to dispose of system components using organization-defined techniques and methods to prevent such components from entering the gray market.</t>
  </si>
  <si>
    <t xml:space="preserve">[deprecated - incorporated into AST-09]
Does the organization dispose of system components using organization-defined techniques and methods to prevent such components from entering the gray market?</t>
  </si>
  <si>
    <t xml:space="preserve">N/A</t>
  </si>
  <si>
    <t xml:space="preserve">The organization implements and operates [deprecated - incorporated into ast-09] mechanisms to dispose of system components using organization-defined techniques and methods to prevent such components from entering the gray market.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</si>
  <si>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N/A [deprecated – incorporated into AST-09];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</si>
  <si>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fuzz testing program (e.g., AFL, libFuzzer, Google OSS-Fuzz); Automated fuzzing in CI/CD.
In-scope requirement alignment: NIST SP 800-161 R1 C-SCRM: SR-12.
Validation: Annual conformity validation; evidence artifacts to be defined; PPTDF applicability: N/A.</t>
  </si>
  <si>
    <t xml:space="preserve">∙ Enterprise fuzz testing program (e.g., AFL, libFuzzer, Google OSS-Fuzz)
∙ Automated fuzzing in CI/CD</t>
  </si>
  <si>
    <t xml:space="preserve">TDA-12</t>
  </si>
  <si>
    <t xml:space="preserve">Customized Development of Critical Components</t>
  </si>
  <si>
    <t xml:space="preserve">Mechanisms exist to custom-develop critical system components, when Commercial Off The Shelf (COTS) solutions are unavailable.</t>
  </si>
  <si>
    <t xml:space="preserve">Does the organization custom-develop critical system components, when Commercial Off The Shelf (COTS) solutions are unavailable?</t>
  </si>
  <si>
    <t xml:space="preserve">The organization implements and operates mechanisms to custom-develop critical system components, when Commercial Off The Shelf (COTS) solutions are unavailable.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</si>
  <si>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suppliers of critical or mission-essential technologies, products and services are identified;
b. Ensuring suppliers of critical or mission-essential technologies, products and services are prioritized;
c. Ensuring suppliers of critical or mission-essential technologies, products and services are assessed;
d. Ensuring critical system components to be reimplemented or custom-developed are defined;
e. Ensuring critical systems are reimplemented or custom-developed;
f. Ensuring systems or system components supporting mission-essential services or functions are defined;
g. Ensuring organization-defined criteria are employed on systems or system components supporting essential services or functions to increase the trustworthiness in those systems or components;
h. Specifying IEC 62443-4-2 component requirements, IEC 62443-4-1 secure development practices and target security levels in AMI and OT acquisition requirements; and
i.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</si>
  <si>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DevSecOps security testing automation (SAST, DAST, SCA, IAST); Full CI/CD integration.
In-scope requirement alignment: NIST SP 800-82 R3 (Moderate OT overlay): PM-30(01) | CSA IoT SCF: SDV-03, SDV-05 | NIST SP 800-53B Privacy: PM-30(01), SA-23.
Validation: Annual conformity validation; evidence artifacts to be defined; PPTDF applicability: Process.</t>
  </si>
  <si>
    <t xml:space="preserve">PM-30(01), SA-20, SA-23</t>
  </si>
  <si>
    <t xml:space="preserve">PM-30(01)</t>
  </si>
  <si>
    <t xml:space="preserve">SDV-03, SDV-05</t>
  </si>
  <si>
    <t xml:space="preserve">PM-30(01), SA-23</t>
  </si>
  <si>
    <t xml:space="preserve">SG.PM Security Program Management; SG.SA Smart Grid Information System and Services Acquisition</t>
  </si>
  <si>
    <t xml:space="preserve">∙ Enterprise DevSecOps security testing automation (SAST, DAST, SCA, IAST)
∙ Full CI/CD integration</t>
  </si>
  <si>
    <t xml:space="preserve">TDA-14</t>
  </si>
  <si>
    <t xml:space="preserve">Developer Configuration Management</t>
  </si>
  <si>
    <t xml:space="preserve">Mechanisms exist to require system developers and integrators to perform configuration management during system design, development, implementation and operation.</t>
  </si>
  <si>
    <t xml:space="preserve">Does the organization require system developers and integrators to perform configuration management during system design, development, implementation and operation?</t>
  </si>
  <si>
    <t xml:space="preserve">E-TDA-01, E-TDA-02, E-TDA-04, E-TDA-08</t>
  </si>
  <si>
    <t xml:space="preserve">The organization implements and operates mechanisms to require system developers and integrators to perform configuration management during system design, development, implementation and operation.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</si>
  <si>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system, systems component or system service is required to have appropriate access authorizations as determined by assigned official duties;
b. Ensuring configuration items under configuration management are defined;
c. Ensuring personnel to whom security flaws and flaw resolutions within the system, component or service are reported is/are defined;
d. Ensuring the developer of the system, system component or system service is required to perform configuration management during system, component or service per organization-defined criteria;
e. Ensuring the developer of the system, system component or system service is required to document the integrity of changes to configuration items;
f. Ensuring the developer of the system, system component or system service is required to manage the integrity of changes to configuration items;
g. Ensuring the developer of the system, system component or system service is required to control the integrity of changes to configuration items;
h. Ensuring the developer of the system, system component or system service is required to implement only organization-approved changes to the system, component or service;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</si>
  <si>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malware protection in DevSecOps pipelines; Automated malware scanning in CI/CD.
In-scope requirement alignment: NIST SP 800-82 R3 (Moderate OT overlay): SA-10 | NIST CSF 2.0: ID.RA-09 | NIST SP 800-53B Moderate: SA-10.
Validation: Annual conformity validation; evidence artifacts E-TDA-01, E-TDA-02, E-TDA-04, E-TDA-08; PPTDF applicability: Process.</t>
  </si>
  <si>
    <t xml:space="preserve">SA-10</t>
  </si>
  <si>
    <t xml:space="preserve">8.30, 8.32</t>
  </si>
  <si>
    <t xml:space="preserve">∙ Enterprise malware protection in DevSecOps pipelines
∙ Automated malware scanning in CI/CD</t>
  </si>
  <si>
    <t xml:space="preserve">TDA-14.1</t>
  </si>
  <si>
    <t xml:space="preserve">Software / Firmware Integrity Verification</t>
  </si>
  <si>
    <t xml:space="preserve">Mechanisms exist to require developers of Technology Assets, Applications and/or Services (TAAS) to enable integrity verification of software and firmware components.</t>
  </si>
  <si>
    <t xml:space="preserve">Does the organization require developers of Technology Assets, Applications and/or Services (TAAS) to enable integrity verification of software and firmware components?</t>
  </si>
  <si>
    <t xml:space="preserve">The organization implements and operates mechanisms to require developers of Technology Assets, Applications and/or Services (TAAS) to enable integrity verification of software and firmware components.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</si>
  <si>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enable integrity verification of software and firmware components;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</si>
  <si>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anti-malware protection in development environments; Automated malware scanning of build artifacts.
In-scope requirement alignment: DOE C2M2: ARCHITECTURE-4g | NIST CSF 2.0: ID.RA-09 | CSA IoT SCF: CCM-06.
Validation: Annual conformity validation; evidence artifacts E-TDA-01, E-TDA-02, E-TDA-04, E-TDA-08; PPTDF applicability: Process.</t>
  </si>
  <si>
    <t xml:space="preserve">SA-10(01)</t>
  </si>
  <si>
    <t xml:space="preserve">ARCHITECTURE-4g</t>
  </si>
  <si>
    <t xml:space="preserve">CCM-06</t>
  </si>
  <si>
    <t xml:space="preserve">∙ Enterprise anti-malware protection in development environments
∙ Automated malware scanning of build artifacts</t>
  </si>
  <si>
    <t xml:space="preserve">TDA-14.2</t>
  </si>
  <si>
    <t xml:space="preserve">Hardware Integrity Verification</t>
  </si>
  <si>
    <t xml:space="preserve">Mechanisms exist to require developers of Technology Assets, Applications and/or Services (TAAS) to enable integrity verification of hardware components.</t>
  </si>
  <si>
    <t xml:space="preserve">Does the organization require developers of Technology Assets, Applications and/or Services (TAAS) to enable integrity verification of hardware components?</t>
  </si>
  <si>
    <t xml:space="preserve">The organization implements and operates mechanisms to require developers of Technology Assets, Applications and/or Services (TAAS) to enable integrity verification of hardware components.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</si>
  <si>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enable integrity verification of hardware components;
b. Ensuring the integrity of hardware components is verified;
c. Ensuring independence criteria to be satisfied by an independent agent are defined;
d. Ensuring an independent agent is required to satisfy organization-defined independence criteria to verify the correct implementation of the developer security assessment plan and the evidence produced during testing and evaluation;
e. Ensuring an independent agent is required to satisfy organization-defined independence criteria to verify the correct implementation of the developer privacy assessment plan and the evidence produced during testing and evaluation;
f. Ensuring the independent agent is provided with sufficient information to complete the verification process or granted the authority to obtain such information;
g. Specifying IEC 62443-4-2 component requirements, IEC 62443-4-1 secure development practices and target security levels in AMI and OT acquisition requirements; and
h.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</si>
  <si>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malicious code protection across all development environments; SAST for malicious code detection.
In-scope requirement alignment: NIST CSF 2.0: ID.RA-09.
Validation: Annual conformity validation; evidence artifacts E-TDA-01, E-TDA-02, E-TDA-04, E-TDA-08; PPTDF applicability: Process.</t>
  </si>
  <si>
    <t xml:space="preserve">SA-10(03)</t>
  </si>
  <si>
    <t xml:space="preserve">∙ Enterprise malicious code protection across all development environments
∙ SAST for malicious code detection</t>
  </si>
  <si>
    <t xml:space="preserve">TDA-15</t>
  </si>
  <si>
    <t xml:space="preserve">Developer Threat Analysis &amp; Flaw Remediation</t>
  </si>
  <si>
    <t xml:space="preserve">Mechanisms exist to require system developers and integrators to develop and implement an ongoing Security Testing and Evaluation (ST&amp;E) plan, or similar process, to objectively identify and remediate vulnerabilities prior to release to production.</t>
  </si>
  <si>
    <t xml:space="preserve">Does the organization require system developers and integrators to develop and implement an ongoing Security Testing and Evaluation (ST&amp;E) plan, or similar process, to objectively identify and remediate vulnerabilities prior to release to production?</t>
  </si>
  <si>
    <t xml:space="preserve">IEC 62443-4-1:2018; CSA IoT Security Controls Framework v2; NIST SP 800-53B R5 - Privacy baseline</t>
  </si>
  <si>
    <t xml:space="preserve">The organization implements and operates mechanisms to require system developers and integrators to develop and implement an ongoing Security Testing and Evaluation (ST&amp;E) plan, or similar process, to objectively identify and remediate vulnerabilities prior to release to production.
Within the OT and AMI environment, this objective establishes security requirements and supplier secure-development expectations for AMI and OT products and verifies them before deployment.</t>
  </si>
  <si>
    <t xml:space="preserve">The Information Risk Manager, in coordination with OT Engineering, is responsible for:
a. Ensuring information concerning impact, environment of operations, known or assumed threats and acceptable risk levels to be used as contextual information for threat modeling and vulnerability analyses is defined;
b. Ensuring the tools and methods to be employed for threat modeling and vulnerability analyses are defined;
c. Ensuring the breadth and depth of threat modeling to be conducted is defined;
d. Ensuring the breadth and depth of vulnerability analyses to be conducted is defined;
e. Ensuring acceptance criteria to be met by produced evidence for threat modeling are defined;
f. Ensuring acceptance criteria to be met by produced evidence for vulnerability analyses are defined;
g. Ensuring the developer of the system, system component, or system service is required to perform threat modeling during development of the system, component, or service that uses organization-defined information;
h. Ensuring the developer of the system, system component, or system service is required to perform vulnerability analyses during development of the system, component, or service that uses organization-defined information;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</si>
  <si>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Security Testing and Evaluation (ST&amp;E).
In-scope requirement alignment: IEC 62443-4-1: DM-2, DM-2(a), DM-2(b), DM-2(c) | CSA IoT SCF: SET-06 | NIST SP 800-53B Privacy: SA-11(02).
Validation: Annual conformity validation; evidence artifacts to be defined; PPTDF applicability: Process.</t>
  </si>
  <si>
    <t xml:space="preserve">DM-2, DM-2(a), DM-2(b), DM-2(c)</t>
  </si>
  <si>
    <t xml:space="preserve">TDA-17</t>
  </si>
  <si>
    <t xml:space="preserve">Unsupported Technology Assets, Applications and/or Services (TAAS)</t>
  </si>
  <si>
    <t xml:space="preserve">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</si>
  <si>
    <t xml:space="preserve">Does the organization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</si>
  <si>
    <t xml:space="preserve">The organization implements and operates mechanisms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</si>
  <si>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support from external providers is defined;
b. Ensuring system components are replaced when support for the components is no longer available from the developer, vendor, or manufacturer;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</si>
  <si>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Computer Lifecycle Program (CLP); IT Asset Management (ITAM) program; Risk Management Program (RMP).
In-scope requirement alignment: NIST SP 800-82 R3 (Moderate OT overlay): SA-22 | DOE C2M2: THIRD-PARTIES-2i | NIST CSF 2.0: PR.PS-02, PR.PS-03 | NIST SP 800-161 R1 C-SCRM: SA-22 | NIST SP 800-53B Privacy: SA-22.
Validation: Annual conformity validation; evidence artifacts E-AST-09; PPTDF applicability: Process.</t>
  </si>
  <si>
    <t xml:space="preserve">SA-22</t>
  </si>
  <si>
    <t xml:space="preserve">THIRD-PARTIES-2i</t>
  </si>
  <si>
    <t xml:space="preserve">∙ Cybersecurity Supply Chain Risk Management (C-SCRM) program
∙ Product / project management
∙ Computer Lifecycle Program (CLP)
∙ IT Asset Management (ITAM) program
∙ Risk Management Program (RMP)</t>
  </si>
  <si>
    <t xml:space="preserve">TDA-17.1</t>
  </si>
  <si>
    <t xml:space="preserve">Alternate Sources for Continued Support</t>
  </si>
  <si>
    <t xml:space="preserve">Mechanisms exist to provide in-house support or contract external providers for support with unsupported Technology Assets, Applications and/or Services (TAAS).</t>
  </si>
  <si>
    <t xml:space="preserve">Does the organization provide in-house support or contract external providers for support with unsupported Technology Assets, Applications and/or Services (TAAS)?</t>
  </si>
  <si>
    <t xml:space="preserve">The organization implements and operates mechanisms to provide in-house support or contract external providers for support with unsupported Technology Assets, Applications and/or Services (TAAS).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</si>
  <si>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options for risk mitigation or alternative sources for continued support for unsupported components that cannot be replaced are provided;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</si>
  <si>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In-scope requirement alignment: NIST SP 800-82 R3 (Moderate OT overlay): SA-22 | DOE C2M2: THIRD-PARTIES-2i | NIST SP 800-161 R1 C-SCRM: SA-22 | NIST SP 800-53B Privacy: SA-22.
Validation: Annual conformity validation; evidence artifacts to be defined; PPTDF applicability: Process.</t>
  </si>
  <si>
    <t xml:space="preserve">TDA-18</t>
  </si>
  <si>
    <t xml:space="preserve">Input Data Validation</t>
  </si>
  <si>
    <t xml:space="preserve">Mechanisms exist to check the validity of information inputs.</t>
  </si>
  <si>
    <t xml:space="preserve">Does the organization check the validity of information inputs?</t>
  </si>
  <si>
    <t xml:space="preserve">IEC 62443-3-3:2013; IEC 62443-4-2:2019; NIST SP 800-82 R3 - Moderate OT Overlay; NIST SP 800-53B R5 - Moderate baseline; NIST SP 800-161 R1 - C-SCRM Baseline; NIST SP 800-53B R5 - Privacy baseline</t>
  </si>
  <si>
    <t xml:space="preserve">The organization implements and operates mechanisms to check the validity of information inputs.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</si>
  <si>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information inputs to the system requiring validity checks are defined;
b. Ensuring the validity of the organization-defined information inputs is checked;
c. Ensuring approved authorizations for logical access to information and system resources are enforced in accordance with applicable access control policies;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</si>
  <si>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formal methods or model-based design for highest-assurance systems.
In-scope requirement alignment: IEC 62443-3-3: SR 3.5 | IEC 62443-4-2: CR 3.5 | NIST SP 800-82 R3 (Moderate OT overlay): AC-02, AC-03, AC-05, SI-03, SI-04, SI-05, SI-07, SI-10 | NIST SP 800-53B Moderate: AC-05, SI-07, SI-10 | NIST SP 800-161 R1 C-SCRM: AC-2, AC-3, SI-3, SI-4, SI-5, SI-7 | NIST SP 800-53B Privacy: AC-02, AC-03, AC-05, SI-03, SI-04, SI-05, SI-07, SI-10.
Validation: Annual conformity validation; evidence artifacts to be defined; PPTDF applicability: Technology.</t>
  </si>
  <si>
    <t xml:space="preserve">SR 3.5</t>
  </si>
  <si>
    <t xml:space="preserve">CR 3.5</t>
  </si>
  <si>
    <t xml:space="preserve">∙ Enterprise formal methods or model-based design for highest-assurance systems</t>
  </si>
  <si>
    <t xml:space="preserve">TDA-19</t>
  </si>
  <si>
    <t xml:space="preserve">Error Handling</t>
  </si>
  <si>
    <t xml:space="preserve">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</si>
  <si>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 xml:space="preserve">Does the organization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</si>
  <si>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 xml:space="preserve">IEC 62443-3-3:2013; IEC 62443-4-2:2019; NIST SP 800-82 R3 - Moderate OT Overlay; NIST SP 800-53B R5 - Moderate baseline</t>
  </si>
  <si>
    <t xml:space="preserve">The organization implements and operates mechanisms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</si>
  <si>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personnel or roles to whom error messages are to be revealed is/are defined;
b. Ensuring error messages that provide the information necessary for corrective actions are generated without revealing information that could be exploited;
c. Ensuring error messages are revealed only to organization-defined personnel or roles;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</si>
  <si>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reverse engineering controls for high-assurance systems; Code obfuscation.
In-scope requirement alignment: IEC 62443-3-3: SR 3.7 | IEC 62443-4-2: CR 3.7 | NIST SP 800-82 R3 (Moderate OT overlay): SI-11 | NIST SP 800-53B Moderate: SI-11.
Validation: Annual conformity validation; evidence artifacts to be defined; PPTDF applicability: Technology.</t>
  </si>
  <si>
    <t xml:space="preserve">SR 3.7</t>
  </si>
  <si>
    <t xml:space="preserve">CR 3.7</t>
  </si>
  <si>
    <t xml:space="preserve">SI-11</t>
  </si>
  <si>
    <t xml:space="preserve">∙ Enterprise reverse engineering controls for high-assurance systems
∙ Code obfuscation</t>
  </si>
  <si>
    <t xml:space="preserve">TDA-20</t>
  </si>
  <si>
    <t xml:space="preserve">Access to Program Source Code</t>
  </si>
  <si>
    <t xml:space="preserve">Mechanisms exist to limit privileges to change software resident within software libraries.</t>
  </si>
  <si>
    <t xml:space="preserve">Does the organization limit privileges to change software resident within software libraries?</t>
  </si>
  <si>
    <t xml:space="preserve">The organization implements and operates mechanisms to limit privileges to change software resident within software libraries.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</si>
  <si>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organization-defined criteria for security-relevant information pertaining to external system interfaces, high-level design, low-level design, source code or hardware schematics and design and implementation information are documented in a System Security Plan (SSP);
b. Ensuring the developer of the system, system component or system service is required to provide design and implementation information for the controls that includes using at level of detail;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</si>
  <si>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development interface management platform; API gateway for development tools; Automated interface governance.
In-scope requirement alignment: NIST SP 800-82 R3 (Moderate OT overlay): SA-04(02) | NIST SP 800-53B Moderate: SA-04(02) | NIST SP 800-53B Privacy: SA-04(02).
Validation: Annual conformity validation; evidence artifacts to be defined; PPTDF applicability: Process.</t>
  </si>
  <si>
    <t xml:space="preserve">SA-04(02)</t>
  </si>
  <si>
    <t xml:space="preserve">8.4, 8.30</t>
  </si>
  <si>
    <t xml:space="preserve">∙ Enterprise development interface management platform
∙ API gateway for development tools
∙ Automated interface governance</t>
  </si>
  <si>
    <t xml:space="preserve">TDA-20.4</t>
  </si>
  <si>
    <t xml:space="preserve">Approved Code</t>
  </si>
  <si>
    <t xml:space="preserve">Mechanisms exist to govern the approval of binaries and code for production use.</t>
  </si>
  <si>
    <t xml:space="preserve">Does the organization govern the approval of binaries and code for production use?</t>
  </si>
  <si>
    <t xml:space="preserve">The organization implements and operates mechanisms to govern the approval of binaries and code for production use.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</si>
  <si>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approval of binaries and code for production use is governed through organizational change control processes;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</si>
  <si>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development interface security program; Formal access governance for all development interfaces.
In-scope requirement alignment: IEC 62443-4-1: SM-8.
Validation: Annual conformity validation; evidence artifacts to be defined; PPTDF applicability: Process.</t>
  </si>
  <si>
    <t xml:space="preserve">SM-8</t>
  </si>
  <si>
    <t xml:space="preserve">∙ Enterprise development interface security program
∙ Formal access governance for all development interfaces</t>
  </si>
  <si>
    <t xml:space="preserve">TPM-01</t>
  </si>
  <si>
    <t xml:space="preserve">Third-Party Management</t>
  </si>
  <si>
    <t xml:space="preserve">TPM</t>
  </si>
  <si>
    <t xml:space="preserve">Mechanisms exist to facilitate the implementation of third-party management controls.</t>
  </si>
  <si>
    <t xml:space="preserve">Does the organization facilitate the implementation of third-party management controls?</t>
  </si>
  <si>
    <t xml:space="preserve">E-TPM-03, E-TPM-06</t>
  </si>
  <si>
    <t xml:space="preserve">IEC 62443-2-1:2024; NIST SP 800-82 R3 - Moderate OT Overlay; CISA Cross-Sector Cybersecurity Performance Goals; NIST Cybersecurity Framework 2.0; CSA IoT Security Controls Framework v2; NIST SP 800-161 R1 - C-SCRM Baseline; NIST Privacy Framework 1.0; NIST SP 800-53B R5 - Privacy baseline</t>
  </si>
  <si>
    <t xml:space="preserve">Director, Procurement &amp; Vendor Risk</t>
  </si>
  <si>
    <t xml:space="preserve">AMI / OT Vendor &amp; Integrator Relationship Manager</t>
  </si>
  <si>
    <t xml:space="preserve">All AMI / OT vendors, integrators and service providers</t>
  </si>
  <si>
    <t xml:space="preserve">The organization shall manage the security, compliance and resilience risks of third parties that supply, integrate, host or support OT and AMI technologies through due diligence, contractual requirements, flow-down of security obligations, ongoing monitoring and controlled access.</t>
  </si>
  <si>
    <t xml:space="preserve">The organization develops, implements and governs processes and documentation to facilitate the implementation of third-party management controls, as well as associated standards, controls and procedures, across enterprise IT, Operational Technology (OT) and Advanced Metering Infrastructure (AMI) environments.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</si>
  <si>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security requirements to protect against supply chain risks to the system, system components, or system services and to limit the harm or consequences from supply chain-related events are defined;
b. Ensuring cybersecurity / data privacy functional requirements, descriptions and criteria are included explicitly or by reference using in the acquisition contract for the system, system component or system service;
c. Ensuring requirements for protecting cybersecurity / data privacy documentation, descriptions and criteria are included explicitly or by reference using in the acquisition contract for the system, system component or system service;
d. Ensuring strength of mechanism requirements, descriptions and criteria are included explicitly or by reference using in the acquisition contract for the system, system component or system service;
e. Ensuring cybersecurity / data privacy assurance requirements, descriptions and criteria are included explicitly or by reference using in the acquisition contract for the system, system component or system service;
f. Ensuring controls needed to satisfy the cybersecurity / data privacy requirements, descriptions and criteria are included explicitly or by reference using in the acquisition contract for the system, system component or system service;
g. Ensuring cybersecurity / data privacy documentation requirements, descriptions and criteria are included explicitly or by reference using in the acquisition contract for the system, system component or system service;
h. Ensuring third-party management operations are conducted according to documented policies, standards, procedures and/or other organizational directives;
i. Including OT and AMI security requirements (including IEC 62443 conformance, vulnerability handling, incident notification and remote access terms) in supplier contracts and flowing them down to subcontractors; and
j.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</si>
  <si>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Product / project management.
In-scope requirement alignment: IEC 62443-2-1: ORG 1.6 | NIST SP 800-82 R3 (Moderate OT overlay): SA-04, SR-01 | CISA CPG: 1.G, 1.H | NIST CSF 2.0: GV.SC-04, GV.SC-06, GV.SC-07, GV.SC-08, GV.SC-10, ID.AM | NIST SP 800-161 R1 C-SCRM: SA-4, SR-1 | CSA IoT SCF: POL-01, POL-02 | NIST Privacy Framework: GV.PO-P4 | NIST SP 800-53B Privacy: SA-04, SR-01.
Validation: Annual conformity validation; evidence artifacts E-TPM-03, E-TPM-06; PPTDF applicability: Process.</t>
  </si>
  <si>
    <t xml:space="preserve">ORG 1.6</t>
  </si>
  <si>
    <t xml:space="preserve">SA-04, SR-01</t>
  </si>
  <si>
    <t xml:space="preserve">1.G, 1.H</t>
  </si>
  <si>
    <t xml:space="preserve">GV.SC-04, GV.SC-06, GV.SC-07, GV.SC-08, GV.SC-10, ID.AM</t>
  </si>
  <si>
    <t xml:space="preserve">SA-4, SR-1</t>
  </si>
  <si>
    <t xml:space="preserve">POL-01, POL-02</t>
  </si>
  <si>
    <t xml:space="preserve">GV.PO-P4</t>
  </si>
  <si>
    <t xml:space="preserve">5.19, 5.20, 8.30</t>
  </si>
  <si>
    <t xml:space="preserve">TPM-01.1</t>
  </si>
  <si>
    <t xml:space="preserve">Third-Party Inventories</t>
  </si>
  <si>
    <t xml:space="preserve">Mechanisms exist to maintain a current, accurate and complete list of External Service Providers (ESPs) that can potentially impact the Confidentiality, Integrity, Availability and/or Safety (CIAS) of the organization's Technology Assets, Applications, Services and/or Data (TAASD).</t>
  </si>
  <si>
    <t xml:space="preserve">Does the organization maintain a current, accurate and complete list of External Service Providers (ESPs) that can potentially impact the Confidentiality, Integrity, Availability and/or Safety (CIAS) of its Technology Assets, Applications, Services and/or Data (TAASD)?</t>
  </si>
  <si>
    <t xml:space="preserve">E-AST-06, E-DCH-06</t>
  </si>
  <si>
    <t xml:space="preserve">CISA Cross-Sector Cybersecurity Performance Goals; NIST Cybersecurity Framework 2.0; DOE Cybersecurity Capability Maturity Model; NIST Privacy Framework 1.0</t>
  </si>
  <si>
    <t xml:space="preserve">The organization implements and operates mechanisms to maintain a current, accurate and complete list of External Service Providers (ESPs) that can potentially impact the Confidentiality, Integrity, Availability and/or Safety (CIAS) of the organization's Technology Assets, Applications, Services and/or Data (TAASD).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</si>
  <si>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a current, accurate and complete list of Third-Party Service Providers (TSP) that can potentially impact the Sensitivity, Integrity, Availability and/or Safety (CIAS) of the organization's systems, applications, services and data is maintained;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</si>
  <si>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CISA CPG: 1.A, 1.G, 1.H | DOE C2M2: THIRD-PARTIES-1b, THIRD-PARTIES-1d | NIST CSF 2.0: GV.SC-04, GV.SC-07, GV.SC-08, ID.AM, ID.AM-01, ID.AM-02, ID.AM-04, ID.RA-10 | NIST Privacy Framework: ID.IM-P1.
Validation: Annual conformity validation; evidence artifacts E-AST-06, E-DCH-06; PPTDF applicability: Process.</t>
  </si>
  <si>
    <t xml:space="preserve">1.A, 1.G, 1.H</t>
  </si>
  <si>
    <t xml:space="preserve">THIRD-PARTIES-1b, THIRD-PARTIES-1d</t>
  </si>
  <si>
    <t xml:space="preserve">GV.SC-04, GV.SC-07, GV.SC-08, ID.AM, ID.AM-01, ID.AM-02, ID.AM-04, ID.RA-10</t>
  </si>
  <si>
    <t xml:space="preserve">5.19</t>
  </si>
  <si>
    <t xml:space="preserve">TPM-02</t>
  </si>
  <si>
    <t xml:space="preserve">Third-Party Criticality Assessments</t>
  </si>
  <si>
    <t xml:space="preserve">Mechanisms exist to identify, prioritize and assess suppliers and partners of critical Technology Assets, Applications and/or Services (TAAS) using a supply chain risk assessment process relative to their importance in supporting the delivery of high-value services.</t>
  </si>
  <si>
    <t xml:space="preserve">Does the organization identify, prioritize and assess suppliers and partners of critical Technology Assets, Applications and/or Services (TAAS) using a supply chain risk assessment process relative to their importance in supporting the delivery of high-value services?</t>
  </si>
  <si>
    <t xml:space="preserve">E-TPM-02</t>
  </si>
  <si>
    <t xml:space="preserve">NIST SP 800-82 R3 - Moderate OT Overlay; CISA Cross-Sector Cybersecurity Performance Goals; NIST Cybersecurity Framework 2.0; NIST SP 800-53B R5 - Moderate baseline; DOE Cybersecurity Capability Maturity Model; NIST Privacy Framework 1.0; NIST SP 800-53B R5 - Privacy baseline</t>
  </si>
  <si>
    <t xml:space="preserve">The organization implements and operates mechanisms to identify, prioritize and assess suppliers and partners of critical Technology Assets, Applications and/or Services (TAAS) using a supply chain risk assessment process relative to their importance in supporting the delivery of high-value services.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</si>
  <si>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systems, system components or system services to be analyzed for criticality are defined;
b. Ensuring decision points in the system development life cycle when a criticality analysis is to be performed are defined;
c. Ensuring critical system components and functions are identified by performing a criticality analysis for systems, system components or system services at decision points in the system development life cycle;
d. Ensuring suppliers of critical or mission-essential technologies, products and services are identified;
e. Ensuring suppliers of critical or mission-essential technologies, products and services are prioritized;
f. Ensuring suppliers of critical or mission-essential technologies, products and services are assessed;
g. Including OT and AMI security requirements (including IEC 62443 conformance, vulnerability handling, incident notification and remote access terms) in supplier contracts and flowing them down to subcontractors; and
h.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</si>
  <si>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SP 800-82 R3 (Moderate OT overlay): PM-30(01), RA-09 | CISA CPG: 1.G | DOE C2M2: THIRD-PARTIES-1c, THIRD-PARTIES-1d, THIRD-PARTIES-1e, THIRD-PARTIES-1f | NIST CSF 2.0: GV.OC-04, GV.OC-05, GV.SC-04, GV.SC-06, GV.SC-07, GV.SC-08, ID.AM-05, ID.RA-10 | NIST SP 800-53B Moderate: RA-09 | NIST Privacy Framework: ID.BE-P3 | NIST SP 800-53B Privacy: PM-30(01), RA-09.
Validation: Annual conformity validation; evidence artifacts E-TPM-02; PPTDF applicability: Process.</t>
  </si>
  <si>
    <t xml:space="preserve">PM-30(01), RA-09, SA-09(03)</t>
  </si>
  <si>
    <t xml:space="preserve">1.G</t>
  </si>
  <si>
    <t xml:space="preserve">THIRD-PARTIES-1c, THIRD-PARTIES-1d, THIRD-PARTIES-1e, THIRD-PARTIES-1f</t>
  </si>
  <si>
    <t xml:space="preserve">GV.OC-04, GV.OC-05, GV.SC-04, GV.SC-06, GV.SC-07, GV.SC-08, ID.AM-05, ID.RA-10</t>
  </si>
  <si>
    <t xml:space="preserve">∙ Cybersecurity Supply Chain Risk Management (C-SCRM) program
∙ Data Protection Impact Assessment (DPIA)</t>
  </si>
  <si>
    <t xml:space="preserve">TPM-03</t>
  </si>
  <si>
    <t xml:space="preserve">Supply Chain Risk Management (SCRM)</t>
  </si>
  <si>
    <t xml:space="preserve">Mechanisms exist to:
(1) Evaluate security risks and threats associated with Technology Assets, Applications and/or Services (TAAS) supply chains; and
(2) Take appropriate remediation actions to minimize the organization's exposure to those risks and threats, as necessary.</t>
  </si>
  <si>
    <t xml:space="preserve">Does the organization:
(1) Evaluate security risks and threats associated with Technology Assets, Applications and/or Services (TAAS) supply chains; and
(2) Take appropriate remediation actions to minimize its exposure to those risks and threats, as necessary?</t>
  </si>
  <si>
    <t xml:space="preserve">IEC 62443-2-1:2024; NIST SP 800-82 R3 - Moderate OT Overlay; NERC CIP; CISA Cross-Sector Cybersecurity Performance Goals; NIST Cybersecurity Framework 2.0; CSA IoT Security Controls Framework v2; NIST SP 800-161 R1 - C-SCRM Baseline; NIST SP 800-53B R5 - Privacy baseline</t>
  </si>
  <si>
    <t xml:space="preserve">The organization ensures that Mechanisms exist to: (1) Evaluate security risks and threats associated with Technology Assets, Applications and/or Services (TAAS) supply chains; and (2) Take appropriate remediation actions to minimize the organization's exposure to those risks and threats, as necessary.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</si>
  <si>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the personnel, roles and responsibilities of the supply chain risk management team are defined;
b. Ensuring supply chain risk management activities are defined;
c. Ensuring a supply chain risk management team consisting of personnel, roles and responsibilities is established to lead and support supply chain risk management activities;
d. Ensuring the supply chain risk management plan addresses risks associated with the research and development of systems, system components or system services;
e. Ensuring the supply chain risk management plan addresses risks associated with the design of systems, system components or system services;
f. Ensuring the supply chain risk management plan addresses risks associated with the manufacturing of systems, system components or system services;
g. Ensuring the supply chain risk management plan addresses risks associated with the acquisition of systems, system components or system services;
h. Ensuring the supply chain risk management plan addresses risks associated with the delivery of systems, system components or system services;
i. Including OT and AMI security requirements (including IEC 62443 conformance, vulnerability handling, incident notification and remote access terms) in supplier contracts and flowing them down to subcontractors; and
j.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</si>
  <si>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IEC 62443-2-1: ORG 2.1 | NIST SP 800-82 R3 (Moderate OT overlay): SR-02, SR-02(01) | NERC CIP: CIP-013-2 1.2.5, CIP-013-2 1.2.6 | CISA CPG: 1.H, 1.I | NIST CSF 2.0: GV.SC, GV.SC-06, GV.SC-07 | NIST SP 800-161 R1 C-SCRM: SR-2 | CSA IoT SCF: POL-02 | NIST SP 800-53B Privacy: SR-02.
Validation: Annual conformity validation; evidence artifacts E-RSK-02; PPTDF applicability: Process.</t>
  </si>
  <si>
    <t xml:space="preserve">SA-09(03), SR-02, SR-02(01)</t>
  </si>
  <si>
    <t xml:space="preserve">SR-02, SR-02(01)</t>
  </si>
  <si>
    <t xml:space="preserve">CIP-013-2 1.2.5, CIP-013-2 1.2.6</t>
  </si>
  <si>
    <t xml:space="preserve">1.H, 1.I</t>
  </si>
  <si>
    <t xml:space="preserve">GV.SC, GV.SC-06, GV.SC-07</t>
  </si>
  <si>
    <t xml:space="preserve">SR-2</t>
  </si>
  <si>
    <t xml:space="preserve">POL-02</t>
  </si>
  <si>
    <t xml:space="preserve">SR-02</t>
  </si>
  <si>
    <t xml:space="preserve">5.19, 5.21, 5.22, 8.30</t>
  </si>
  <si>
    <t xml:space="preserve">TPM-03.1</t>
  </si>
  <si>
    <t xml:space="preserve">Acquisition Strategies, Tools &amp; Methods</t>
  </si>
  <si>
    <t xml:space="preserve">Mechanisms exist to utilize tailored acquisition strategies, contract tools and procurement methods for the purchase of unique Technology Assets, Applications and/or Services (TAAS).</t>
  </si>
  <si>
    <t xml:space="preserve">Does the organization utilize tailored acquisition strategies, contract tools and procurement methods for the purchase of unique Technology Assets, Applications and/or Services (TAAS)?</t>
  </si>
  <si>
    <t xml:space="preserve">NIST SP 800-82 R3 - Moderate OT Overlay; CISA Cross-Sector Cybersecurity Performance Goals; DOE Cybersecurity Capability Maturity Model; NIST SP 800-161 R1 - C-SCRM Baseline; NIST SP 800-53B R5 - Privacy baseline</t>
  </si>
  <si>
    <t xml:space="preserve">The organization implements and operates mechanisms to utilize tailored acquisition strategies, contract tools and procurement methods for the purchase of unique Technology Assets, Applications and/or Services (TAAS).
Within the OT and AMI environment, this objective governs AMI vendors, meter manufacturers, system integrators, telecommunications carriers and managed service providers that supply or support OT and AMI.</t>
  </si>
  <si>
    <t xml:space="preserve">The Chief Information Security Officer (CISO), in coordination with the OT Security Lead, is responsible for:
a. Ensuring acquisition strategies, contract tools and procurement methods to protect against, identify and mitigate supply chain risks are defined;
b. Ensuring acquisition strategies, contract tools, and procurement method protect against, identify and mitigate supply chain risks are developed;
c. Ensuring acquisition strategies, contract tools, and procurement methods are developed to identify supply chain risks;
d. Ensuring acquisition strategies, contract tools, and procurement methods are developed to protect against supply chain risks;
e. Ensuring acquisition strategies, contract tools, and procurement methods are developed to mitigate supply chain risks;
f. Including OT and AMI security requirements (including IEC 62443 conformance, vulnerability handling, incident notification and remote access terms) in supplier contracts and flowing them down to subcontractors; and
g.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</si>
  <si>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SP 800-82 R3 (Moderate OT overlay): SR-05 | CISA CPG: 1.I | DOE C2M2: THIRD-PARTIES-2j, THIRD-PARTIES-2k, THIRD-PARTIES-2l, THIRD-PARTIES-2m | NIST SP 800-161 R1 C-SCRM: SR-5 | NIST SP 800-53B Privacy: SR-03(01).
Validation: Annual conformity validation; evidence artifacts to be defined; PPTDF applicability: Process.</t>
  </si>
  <si>
    <t xml:space="preserve">SR-03(01), SR-05</t>
  </si>
  <si>
    <t xml:space="preserve">SR-05</t>
  </si>
  <si>
    <t xml:space="preserve">1.I</t>
  </si>
  <si>
    <t xml:space="preserve">THIRD-PARTIES-2j, THIRD-PARTIES-2k, THIRD-PARTIES-2l, THIRD-PARTIES-2m</t>
  </si>
  <si>
    <t xml:space="preserve">SR-5</t>
  </si>
  <si>
    <t xml:space="preserve">5.21, 5.22</t>
  </si>
  <si>
    <t xml:space="preserve">TPM-03.2</t>
  </si>
  <si>
    <t xml:space="preserve">Limit Potential Harm</t>
  </si>
  <si>
    <t xml:space="preserve">Mechanisms exist to utilize security safeguards to limit harm from potential adversaries who identify and target the organization's supply chain.</t>
  </si>
  <si>
    <t xml:space="preserve">Does the organization utilize security safeguards to limit harm from potential adversaries who identify and target its supply chain?</t>
  </si>
  <si>
    <t xml:space="preserve">E-TPM-01, E-TPM-02, E-TPM-03, E-TPM-05</t>
  </si>
  <si>
    <t xml:space="preserve">The organization implements and operates mechanisms to utilize security safeguards to limit harm from potential adversaries who identify and target the organization's supply chain.
Within the OT and AMI environment, this objective governs AMI vendors, meter manufacturers, system integrators, telecommunications carriers and managed service providers that supply or support OT and AMI.</t>
  </si>
  <si>
    <t xml:space="preserve">The Chief Information Security Officer (CISO), in coordination with the OT Security Lead, is responsible for:
a. Ensuring controls to limit harm from potential supply chain adversaries are defined;
b. Ensuring controls are employed to limit harm from potential adversaries identifying and targeting the organizational supply chain;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</si>
  <si>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Liability clause in contracts.
In-scope requirement alignment: CISA CPG: 1.I | NIST CSF 2.0: GV.SC-06, GV.SC-07 | CSA IoT SCF: RSM-03.
Validation: Annual conformity validation; evidence artifacts E-TPM-01, E-TPM-02, E-TPM-03, E-TPM-05; PPTDF applicability: Process.</t>
  </si>
  <si>
    <t xml:space="preserve">SR-03(02)</t>
  </si>
  <si>
    <t xml:space="preserve">GV.SC-06, GV.SC-07</t>
  </si>
  <si>
    <t xml:space="preserve">RSM-03</t>
  </si>
  <si>
    <t xml:space="preserve">5.19, 5.20</t>
  </si>
  <si>
    <t xml:space="preserve">∙ Cybersecurity Supply Chain Risk Management (C-SCRM) program
∙ Data Protection Impact Assessment (DPIA)
∙ Liability clause in contracts</t>
  </si>
  <si>
    <t xml:space="preserve">TPM-03.3</t>
  </si>
  <si>
    <t xml:space="preserve">Processes To Address Weaknesses or Deficiencies</t>
  </si>
  <si>
    <t xml:space="preserve">Mechanisms exist to address identified weaknesses or deficiencies in the security of the supply chain</t>
  </si>
  <si>
    <t xml:space="preserve">Does the organization address identified weaknesses or deficiencies in the security of the supply chain?</t>
  </si>
  <si>
    <t xml:space="preserve">NIST SP 800-82 R3 - Moderate OT Overlay; CISA Cross-Sector Cybersecurity Performance Goals; NIST Cybersecurity Framework 2.0; NIST SP 800-161 R1 - C-SCRM Baseline</t>
  </si>
  <si>
    <t xml:space="preserve">The organization implements and operates mechanisms to address identified weaknesses or deficiencies in the security of the supply chain.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</si>
  <si>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the system or system component requiring a process or processes to identify and address weaknesses or deficiencies is defined;
b. Ensuring supply chain personnel with whom to coordinate the process or processes to identify and address weaknesses or deficiencies in the supply chain elements and processes is/are defined;
c. Ensuring supply chain controls employed to protect against supply chain risks to the system, system component or system service and to limit the harm or consequences from supply chain-related events are defined;
d. Ensuring the document identifying the selected and implemented supply chain processes and controls is defined;
e. Ensuring a process or processes is/are established to identify and address weaknesses or deficiencies in the supply chain elements and processes of system or system component;
f. Ensuring the process or processes to identify and address weaknesses or deficiencies in the supply chain elements and processes of system or system component is/are coordinated with supply chain personnel;
g. Ensuring supply chain controls are employed to protect against supply chain risks to the system, system component or system service and to limit the harm or consequences from supply chain-related events;
h. Ensuring the selected and implemented supply chain processes and controls are documented in accordance with organization-defined criteria;
i. Including OT and AMI security requirements (including IEC 62443 conformance, vulnerability handling, incident notification and remote access terms) in supplier contracts and flowing them down to subcontractors; and
j.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</si>
  <si>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Liability clause in contracts.
In-scope requirement alignment: NIST SP 800-82 R3 (Moderate OT overlay): SR-03 | CISA CPG: 1.H | NIST CSF 2.0: GV.SC-06, GV.SC-07 | NIST SP 800-161 R1 C-SCRM: SR-3.
Validation: Annual conformity validation; evidence artifacts E-TPM-01, E-TPM-02, E-TPM-03, E-TPM-05; PPTDF applicability: Process.</t>
  </si>
  <si>
    <t xml:space="preserve">SR-03</t>
  </si>
  <si>
    <t xml:space="preserve">1.H</t>
  </si>
  <si>
    <t xml:space="preserve">5.19, 5.22</t>
  </si>
  <si>
    <t xml:space="preserve">TPM-03.4</t>
  </si>
  <si>
    <t xml:space="preserve">Adequate Supply</t>
  </si>
  <si>
    <t xml:space="preserve">Mechanisms exist to develop and implement a spare parts strategy to ensure that an adequate supply of critical components is available to meet operational needs.</t>
  </si>
  <si>
    <t xml:space="preserve">Does the organization develop and implement a spare parts strategy to ensure that an adequate supply of critical components is available to meet operational needs?</t>
  </si>
  <si>
    <t xml:space="preserve">The organization implements and operates mechanisms to develop and implement a spare parts strategy to ensure that an adequate supply of critical components is available to meet operational needs.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</si>
  <si>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controls to ensure an adequate supply of critical system components are defined;
b. Ensuring critical system components of which an adequate supply is required are defined;
c. Ensuring controls are employed to ensure an adequate supply of critical system components;
d. Including OT and AMI security requirements (including IEC 62443 conformance, vulnerability handling, incident notification and remote access terms) in supplier contracts and flowing them down to subcontractors; and
e.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</si>
  <si>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Enterprise TPRM platform (e.g., ProcessUnity, OneTrust); Automated vendor contract compliance tracking.
In-scope requirement alignment: NIST SP 800-82 R3 (Moderate OT overlay): SR-05(01).
Validation: Annual conformity validation; evidence artifacts to be defined; PPTDF applicability: Process.</t>
  </si>
  <si>
    <t xml:space="preserve">SR-05(01)</t>
  </si>
  <si>
    <t xml:space="preserve">∙ Enterprise TPRM platform (e.g., ProcessUnity, OneTrust)
∙ Automated vendor contract compliance tracking</t>
  </si>
  <si>
    <t xml:space="preserve">TPM-04</t>
  </si>
  <si>
    <t xml:space="preserve">Third-Party Services</t>
  </si>
  <si>
    <t xml:space="preserve">Mechanisms exist to mitigate the risks associated with third-party access to the organization's Technology Assets, Applications, Services and/or Data (TAASD).</t>
  </si>
  <si>
    <t xml:space="preserve">Does the organization mitigate the risks associated with third-party access to its Technology Assets, Applications, Services and/or Data (TAASD)?</t>
  </si>
  <si>
    <t xml:space="preserve">E-CPL-06</t>
  </si>
  <si>
    <t xml:space="preserve">NIST SP 800-82 R3 - Moderate OT Overlay; CISA Cross-Sector Cybersecurity Performance Goals; NIST Cybersecurity Framework 2.0; DOE Cybersecurity Capability Maturity Model; CSA IoT Security Controls Framework v2; NIST SP 800-53B R5 - Privacy baseline</t>
  </si>
  <si>
    <t xml:space="preserve">The organization implements and operates mechanisms to mitigate the risks associated with third-party access to the organization's Technology Assets, Applications, Services and/or Data (TAASD).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</si>
  <si>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controls to be employed by external system service providers are defined;
b. Ensuring processes, methods and techniques employed to monitor control compliance by external service providers are defined;
c. Ensuring providers of external system services comply with organizational cybersecurity / data privacy requirements;
d. Ensuring providers of external system services employ controls;
e. Ensuring organizational oversight with regard to external system services are defined and documented;
f. Ensuring user roles and responsibilities with regard to external system services are defined and documented;
g. Ensuring processes, methods and techniques are employed to monitor control compliance by external service providers on an ongoing basis;
h. Including OT and AMI security requirements (including IEC 62443 conformance, vulnerability handling, incident notification and remote access terms) in supplier contracts and flowing them down to subcontractors; and
i.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</si>
  <si>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SP 800-82 R3 (Moderate OT overlay): SA-09 | CISA CPG: 1.H | DOE C2M2: THREAT-2a, THIRD-PARTIES-1a | NIST CSF 2.0: GV.SC-06, GV.SC-07 | CSA IoT SCF: POL-01, POL-02 | NIST SP 800-53B Privacy: SA-09.
Validation: Annual conformity validation; evidence artifacts E-CPL-06; PPTDF applicability: Process.</t>
  </si>
  <si>
    <t xml:space="preserve">SA-09</t>
  </si>
  <si>
    <t xml:space="preserve">THREAT-2a, THIRD-PARTIES-1a</t>
  </si>
  <si>
    <t xml:space="preserve">5.19, 8.30</t>
  </si>
  <si>
    <t xml:space="preserve">TPM-04.1</t>
  </si>
  <si>
    <t xml:space="preserve">Third-Party Risk Assessments &amp; Approvals</t>
  </si>
  <si>
    <t xml:space="preserve">Mechanisms exist to conduct a risk assessment prior to the acquisition or outsourcing of technology-related Technology Assets, Applications and/or Services (TAAS).</t>
  </si>
  <si>
    <t xml:space="preserve">Does the organization conduct a risk assessment prior to the acquisition or outsourcing of technology-related Technology Assets, Applications and/or Services (TAAS)?</t>
  </si>
  <si>
    <t xml:space="preserve">E-TPM-01, E-TPM-02, E-TPM-03</t>
  </si>
  <si>
    <t xml:space="preserve">The organization implements and operates mechanisms to conduct a risk assessment prior to the acquisition or outsourcing of technology-related Technology Assets, Applications and/or Services (TAAS).
Within the OT and AMI environment, this objective governs AMI vendors, meter manufacturers, system integrators, telecommunications carriers and managed service providers that supply or support OT and AMI.</t>
  </si>
  <si>
    <t xml:space="preserve">IT Operations and OT Operations are jointly responsible for:
a. Ensuring personnel or roles that approve the acquisition or outsourcing of dedicated cybersecurity services is/are defined;
b. Ensuring an organizational assessment of risk is conducted prior to the acquisition or outsourcing of cybersecurity services;
c. Ensuring personnel or roles approve the acquisition or outsourcing of dedicated cybersecurity services;
d. Ensuring a process for identifying weaknesses or deficiencies in the supply chain elements and processes is established;
e. Including OT and AMI security requirements (including IEC 62443 conformance, vulnerability handling, incident notification and remote access terms) in supplier contracts and flowing them down to subcontractors; and
f.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</si>
  <si>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DOE C2M2: THIRD-PARTIES-1c, THIRD-PARTIES-2a, THIRD-PARTIES-2b, THIRD-PARTIES-2i, ARCHITECTURE-4b, ARCHITECTURE-4e | NIST CSF 2.0: GV.SC-06, GV.SC-07, ID.RA-10, ID.IM-01, ID.IM-02 | NIST Privacy Framework: ID.DE-P5.
Validation: Annual conformity validation; evidence artifacts E-TPM-01, E-TPM-02, E-TPM-03; PPTDF applicability: Process.</t>
  </si>
  <si>
    <t xml:space="preserve">SA-09(01)</t>
  </si>
  <si>
    <t xml:space="preserve">THIRD-PARTIES-1c, THIRD-PARTIES-2a, THIRD-PARTIES-2b, THIRD-PARTIES-2i, ARCHITECTURE-4b, ARCHITECTURE-4e</t>
  </si>
  <si>
    <t xml:space="preserve">GV.SC-06, GV.SC-07, ID.RA-10, ID.IM-01, ID.IM-02</t>
  </si>
  <si>
    <t xml:space="preserve">ID.DE-P5</t>
  </si>
  <si>
    <t xml:space="preserve">TPM-04.2</t>
  </si>
  <si>
    <t xml:space="preserve">External Connectivity Requirements - Identification of Ports, Protocols &amp; Services</t>
  </si>
  <si>
    <t xml:space="preserve">Mechanisms exist to require External Service Providers (ESPs) to identify and document the business need for ports, protocols and other services it requires to operate its Technology Assets, Applications and/or Services (TAAS).</t>
  </si>
  <si>
    <t xml:space="preserve">Does the organization require External Service Providers (ESPs) to identify and document the business need for ports, protocols and other services it requires to operate its Technology Assets, Applications and/or Services (TAAS)?</t>
  </si>
  <si>
    <t xml:space="preserve">The organization implements and operates mechanisms to require External Service Providers (ESPs) to identify and document the business need for ports, protocols and other services it requires to operate its Technology Assets, Applications and/or Services (TAAS).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</si>
  <si>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external system services that require the identification of functions, ports, protocols and other services are defined;
b. Ensuring providers of external system services are required to identify the functions, ports, protocols and other services required for the use of such services;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</si>
  <si>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SP 800-82 R3 (Moderate OT overlay): SA-09(02) | NIST SP 800-53B Moderate: SA-09(02).
Validation: Annual conformity validation; evidence artifacts E-CPL-06, E-TDA-07; PPTDF applicability: Process.</t>
  </si>
  <si>
    <t xml:space="preserve">SA-09(02)</t>
  </si>
  <si>
    <t xml:space="preserve">TPM-04.3</t>
  </si>
  <si>
    <t xml:space="preserve">Conflict of Interests</t>
  </si>
  <si>
    <t xml:space="preserve">Mechanisms exist to ensure that the interests of external service providers are consistent with and reflect organizational interests.</t>
  </si>
  <si>
    <t xml:space="preserve">Does the organization ensure that the interests of external service providers are consistent with and reflect organizational interests?</t>
  </si>
  <si>
    <t xml:space="preserve">E-TPM-01</t>
  </si>
  <si>
    <t xml:space="preserve">The organization implements and operates mechanisms to ensure that the interests of external service providers are consistent with and reflect organizational interests.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</si>
  <si>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external service providers are defined;
b. Ensuring actions to be taken to verify that the interests of external service providers are consistent with and reflect organizational interests are defined;
c. Ensuring actions are taken to verify that the interests of external service providers are consistent with and reflect organizational interests;
d. Including OT and AMI security requirements (including IEC 62443 conformance, vulnerability handling, incident notification and remote access terms) in supplier contracts and flowing them down to subcontractors; and
e.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</si>
  <si>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CSF 2.0: GV.SC-06.
Validation: Annual conformity validation; evidence artifacts E-TPM-01; PPTDF applicability: Process.</t>
  </si>
  <si>
    <t xml:space="preserve">SA-09(03), SA-09(04)</t>
  </si>
  <si>
    <t xml:space="preserve">GV.SC-06</t>
  </si>
  <si>
    <t xml:space="preserve">∙ Cybersecurity Supply Chain Risk Management (C-SCRM) program
∙ Data Protection Impact Assessment (DPIA)
∙ Third-party contract requirements for cybersecurity controls</t>
  </si>
  <si>
    <t xml:space="preserve">TPM-04.4</t>
  </si>
  <si>
    <t xml:space="preserve">Third-Party Processing, Storage and Service Locations</t>
  </si>
  <si>
    <t xml:space="preserve">Mechanisms exist to restrict the location of information processing/storage based on business requirements.</t>
  </si>
  <si>
    <t xml:space="preserve">Does the organization restrict the location of information processing/storage based on business requirements?</t>
  </si>
  <si>
    <t xml:space="preserve">The organization implements and operates mechanisms to restrict the location of information processing/storage based on business requirements.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</si>
  <si>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locations where information processing and data storage is/are to be restricted are defined;
b. Ensuring requirements or conditions for restricting the location of information processing, information storage or information services are defined;
c. Ensuring based on requirements, information processing, information storage or information services is/are restricted to locations;
d. Ensuring the location or site of the facility where the system resides is planned considering physical and environmental hazards;
e. Ensuring for existing facilities, physical and environmental hazards are considered in the organizational risk management strategy;
f. Including OT and AMI security requirements (including IEC 62443 conformance, vulnerability handling, incident notification and remote access terms) in supplier contracts and flowing them down to subcontractors; and
g.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</si>
  <si>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CSF 2.0: GV.SC-06 | CSA IoT SCF: POL-02 | NIST SP 800-53B Privacy: PE-23, SA-09(05).
Validation: Annual conformity validation; evidence artifacts E-AST-23; PPTDF applicability: Process.</t>
  </si>
  <si>
    <t xml:space="preserve">PE-23, SA-09(05)</t>
  </si>
  <si>
    <t xml:space="preserve">TPM-05</t>
  </si>
  <si>
    <t xml:space="preserve">Third-Party Contract Requirements</t>
  </si>
  <si>
    <t xml:space="preserve">Mechanisms exist to require contractual requirements for applicable security, compliance and resilience requirements with third-parties, reflecting the organization's needs to protect its Technology Assets, Applications, Services and/or Data (TAASD).</t>
  </si>
  <si>
    <t xml:space="preserve">Does the organization require contractual requirements for applicable security, compliance and resilience requirements with third-parties, reflecting its needs to protect its Technology Assets, Applications, Services and/or Data (TAASD)?</t>
  </si>
  <si>
    <t xml:space="preserve">E-RSK-02, E-TPM-01, E-TPM-03, E-TPM-06, E-TPM-07</t>
  </si>
  <si>
    <t xml:space="preserve">CISA Cross-Sector Cybersecurity Performance Goals; NIST Cybersecurity Framework 2.0; DOE Cybersecurity Capability Maturity Model; CSA IoT Security Controls Framework v2; NIST Privacy Framework 1.0; NIST SP 800-53B R5 - Privacy baseline</t>
  </si>
  <si>
    <t xml:space="preserve">The organization shall define and enforce contractual security, privacy, incident notification, remote access and flow-down requirements for vendors, integrators and service providers that supply or support OT and AMI technologies.</t>
  </si>
  <si>
    <t xml:space="preserve">The organization implements and operates mechanisms to require contractual requirements for applicable security, compliance and resilience requirements with third-parties, reflecting the organization's needs to protect its Technology Assets, Applications, Services and/or Data (TAASD).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</si>
  <si>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legally-binding contracts are executed to enforce cybersecurity / data privacy requirements by third-parties;
b. Ensuring before sharing sensitive / regulated data, Non-Disclosure Agreements (NDAs) are executed with third parties;
c. Ensuring security requirements to be satisfied by external system service providers are defined;
d. Ensuring the providers of external system services used for the processing, storage, or transmission of sensitive / regulated data comply with organization-defined security requirements; and
e. Including in AMI and OT supplier contracts: conformance to applicable IEC 62443 requirements, vulnerability disclosure and remediation commitments, security update and end-of-support commitments, incident notification timelines, remote access terms and flow-down to subcontractors.</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</si>
  <si>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Non-Disclosure Agreements (NDAs).
In-scope requirement alignment: CISA CPG: 1.G, 1.H | DOE C2M2: THIRD-PARTIES-2c, THIRD-PARTIES-2e, THIRD-PARTIES-2f, THIRD-PARTIES-2g, THIRD-PARTIES-2h | NIST CSF 2.0: GV.OC-02, GV.OC-03, GV.SC-02, GV.SC-05, GV.SC-06 | CSA IoT SCF: CLS-04, IMT-01, LGL-05, LGL-06, LGL-07, LGL-08, POL-01, POL-02 | NIST Privacy Framework: ID.DE-P3, GV.PO-P4, GV.AT-P4 | NIST SP 800-53B Privacy: SR-03(03).
Validation: Annual conformity validation; evidence artifacts E-RSK-02, E-TPM-01, E-TPM-03, E-TPM-06, E-TPM-07; PPTDF applicability: Process.</t>
  </si>
  <si>
    <t xml:space="preserve">SR-03(03)</t>
  </si>
  <si>
    <t xml:space="preserve">THIRD-PARTIES-2c, THIRD-PARTIES-2e, THIRD-PARTIES-2f, THIRD-PARTIES-2g, THIRD-PARTIES-2h</t>
  </si>
  <si>
    <t xml:space="preserve">GV.OC-02, GV.OC-03, GV.SC-02, GV.SC-05, GV.SC-06</t>
  </si>
  <si>
    <t xml:space="preserve">CLS-04, IMT-01, LGL-05, LGL-06, LGL-07, LGL-08, POL-01, POL-02</t>
  </si>
  <si>
    <t xml:space="preserve">ID.DE-P3, GV.PO-P4, GV.AT-P4</t>
  </si>
  <si>
    <t xml:space="preserve">5.19, 5.20, 5.21, 5.31, 6.6, 8.21, 8.30</t>
  </si>
  <si>
    <t xml:space="preserve">∙ Cybersecurity Supply Chain Risk Management (C-SCRM) program
∙ Data Protection Impact Assessment (DPIA)
∙ Third-party contract requirements for cybersecurity controls
∙ Non-Disclosure Agreements (NDAs)</t>
  </si>
  <si>
    <t xml:space="preserve">TPM-05.1</t>
  </si>
  <si>
    <t xml:space="preserve">Security Compromise Notification Agreements</t>
  </si>
  <si>
    <t xml:space="preserve">Mechanisms exist to compel External Service Providers (ESPs) to provide notification of actual or potential compromises in the supply chain that can potentially affect or have adversely affected Technology Assets, Applications and/or Services (TAAS) that the organization utilizes.</t>
  </si>
  <si>
    <t xml:space="preserve">Does the organization compel External Service Providers (ESPs) to provide notification of actual or potential compromises in the supply chain that can potentially affect or have adversely affected Technology Assets, Applications and/or Services (TAAS) that the organization utilizes?</t>
  </si>
  <si>
    <t xml:space="preserve">NIST SP 800-82 R3 - Moderate OT Overlay; NERC CIP; CISA Cross-Sector Cybersecurity Performance Goals; CSA IoT Security Controls Framework v2; NIST SP 800-161 R1 - C-SCRM Baseline</t>
  </si>
  <si>
    <t xml:space="preserve">The organization implements and operates mechanisms to compel External Service Providers (ESPs) to provide notification of actual or potential compromises in the supply chain that can potentially affect or have adversely affected Technology Assets, Applications and/or Services (TAAS) that the organization utilizes.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</si>
  <si>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security requirements to be satisfied by external system service providers are defined;
b. Ensuring agreements and procedures are established with entities involved in the supply chain for the system, system components or system service per organization-defined criteria;
c. Ensuring External Service Providers (ESPs) are contractually obligated to provide notification of actual or potential compromises in the supply chain that can potentially affect or have adversely affected systems, applications and/or services that the organization utilizes;
d. Including OT and AMI security requirements (including IEC 62443 conformance, vulnerability handling, incident notification and remote access terms) in supplier contracts and flowing them down to subcontractors; and
e.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</si>
  <si>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SP 800-82 R3 (Moderate OT overlay): SR-08 | NERC CIP: CIP-013-2 1.2.1 | CISA CPG: 1.G | NIST SP 800-161 R1 C-SCRM: SR-8 | CSA IoT SCF: POL-01.
Validation: Annual conformity validation; evidence artifacts to be defined; PPTDF applicability: Process.</t>
  </si>
  <si>
    <t xml:space="preserve">SR-08</t>
  </si>
  <si>
    <t xml:space="preserve">CIP-013-2 1.2.1</t>
  </si>
  <si>
    <t xml:space="preserve">SR-8</t>
  </si>
  <si>
    <t xml:space="preserve">POL-01</t>
  </si>
  <si>
    <t xml:space="preserve">TPM-05.2</t>
  </si>
  <si>
    <t xml:space="preserve">Contract Flow-Down Requirements</t>
  </si>
  <si>
    <t xml:space="preserve">Mechanisms exist to ensure applicable security, compliance and resilience requirements are included in contracts that flow-down to applicable sub-contractors and suppliers.</t>
  </si>
  <si>
    <t xml:space="preserve">Does the organization ensure applicable security, compliance and resilience requirements are included in contracts that flow-down to applicable sub-contractors and suppliers?</t>
  </si>
  <si>
    <t xml:space="preserve">The organization implements and operates mechanisms to ensure applicable security, compliance and resilience requirements are included in contracts that flow-down to applicable sub-contractors and suppliers.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</si>
  <si>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the controls included in the contracts of prime contractors are also included in the contracts of subcontractors;
b. Ensuring security requirements to be satisfied by external system service providers are defined;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</si>
  <si>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CSF 2.0: GV.OC-03, GV.SC-02, GV.SC-05, GV.SC-06, GV.SC-10 | NIST SP 800-53B Privacy: SR-03(03).
Validation: Annual conformity validation; evidence artifacts E-RSK-02; PPTDF applicability: Process.</t>
  </si>
  <si>
    <t xml:space="preserve">GV.OC-03, GV.SC-02, GV.SC-05, GV.SC-06, GV.SC-10</t>
  </si>
  <si>
    <t xml:space="preserve">TPM-05.3</t>
  </si>
  <si>
    <t xml:space="preserve">Third-Party Authentication Practices</t>
  </si>
  <si>
    <t xml:space="preserve">Mechanisms exist to ensure External Service Providers (ESPs) use unique authentication factors for each of its customers.</t>
  </si>
  <si>
    <t xml:space="preserve">Does the organization ensure External Service Providers (ESPs) use unique authentication factors for each of its customers?</t>
  </si>
  <si>
    <t xml:space="preserve">The organization implements and operates mechanisms to ensure External Service Providers (ESPs) use unique authentication factors for each of its customers.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</si>
  <si>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Third-Party Service Providers (TSP) are obligated to use unique authentication factors for each of its customers;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</si>
  <si>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CSF 2.0: GV.SC-06, GV.SC-10.
Validation: Annual conformity validation; evidence artifacts E-TPM-01; PPTDF applicability: Process.</t>
  </si>
  <si>
    <t xml:space="preserve">GV.SC-06, GV.SC-10</t>
  </si>
  <si>
    <t xml:space="preserve">TPM-05.4</t>
  </si>
  <si>
    <t xml:space="preserve">Responsible, Accountable, Supportive, Consulted &amp; Informed (RASCI) Matrix</t>
  </si>
  <si>
    <t xml:space="preserve">Mechanisms exist to document and maintain a Responsible, Accountable, Supportive, Consulted &amp; Informed (RASCI) matrix, or similar documentation, to delineate assignment for security, compliance and resilience controls between internal stakeholders and External Service Providers (ESPs).</t>
  </si>
  <si>
    <t xml:space="preserve">Does the organization document and maintain a Responsible, Accountable, Supportive, Consulted &amp; Informed (RASCI) matrix, or similar documentation, to delineate assignment for security, compliance and resilience controls between internal stakeholders and External Service Providers (ESPs)?</t>
  </si>
  <si>
    <t xml:space="preserve">The organization implements and operates mechanisms to document and maintain a Responsible, Accountable, Supportive, Consulted &amp; Informed (RASCI) matrix, or similar documentation, to delineate assignment for security, compliance and resilience controls between internal stakeholders and External Service Providers (ESPs).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</si>
  <si>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a Responsible, Accountable, Supportive, Consulted &amp; Informed (RASCI) matrix, or similar documentation, delineates assignment for cybersecurity / data privacy controls between internal stakeholders and Third-Party Service Providers (TSP);
b. Ensuring user roles and responsibilities with regard to external system services, including shared responsibilities with external service providers, are defined and documented;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</si>
  <si>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Third-party contract requirements for cybersecurity controls; Customer Responsibility Matrix (CRM); Shared Responsibility Matrix (SRM); Responsible, Accountable, Supporting, Consulted and Informed (RASCI) matrix.
In-scope requirement alignment: DOE C2M2: THREAT-2a, THIRD-PARTIES-1a | NIST CSF 2.0: GV.OC, GV.OC-02, GV.RM-05, GV.RR, GV.RR-02, GV.SC-02, GV.SC-06, ID.AM | NIST Privacy Framework: ID.IM-P2, GV.PO-P3, GV.PO-P4, GV.AT-P4.
Validation: Annual conformity validation; evidence artifacts E-CPL-03; PPTDF applicability: Process.</t>
  </si>
  <si>
    <t xml:space="preserve">SA-09(03)</t>
  </si>
  <si>
    <t xml:space="preserve">GV.OC, GV.OC-02, GV.RM-05, GV.RR, GV.RR-02, GV.SC-02, GV.SC-06, ID.AM</t>
  </si>
  <si>
    <t xml:space="preserve">ID.IM-P2, GV.PO-P3, GV.PO-P4, GV.AT-P4</t>
  </si>
  <si>
    <t xml:space="preserve">4.3(c)</t>
  </si>
  <si>
    <t xml:space="preserve">5.2, 5.23</t>
  </si>
  <si>
    <t xml:space="preserve">∙ Cybersecurity Supply Chain Risk Management (C-SCRM) program
∙ Third-party contract requirements for cybersecurity controls
∙ Customer Responsibility Matrix (CRM)
∙ Shared Responsibility Matrix (SRM)
∙ Responsible, Accountable, Supporting, Consulted and Informed (RASCI) matrix</t>
  </si>
  <si>
    <t xml:space="preserve">TPM-05.5</t>
  </si>
  <si>
    <t xml:space="preserve">Third-Party Scope Review</t>
  </si>
  <si>
    <t xml:space="preserve">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</si>
  <si>
    <t xml:space="preserve">Does the organization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</si>
  <si>
    <t xml:space="preserve">E-TPM-03</t>
  </si>
  <si>
    <t xml:space="preserve">The organization implements and operates mechanisms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</si>
  <si>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recurring validation of the Responsible, Accountable, Supportive, Consulted &amp; Informed (RASCI) matrix, or similar documentation, is performed to ensure cybersecurity / data privacy control assignments accurately reflect current business practices, compliance obligations, technologies and stakeholders;
b. Ensuring processes, methods, and techniques to monitor security requirement compliance by external service providers on an ongoing basis are implemented;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</si>
  <si>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DOE C2M2: THIRD-PARTIES-2d | NIST CSF 2.0: GV.SC-06.
Validation: Annual conformity validation; evidence artifacts E-TPM-03; PPTDF applicability: Process.</t>
  </si>
  <si>
    <t xml:space="preserve">THIRD-PARTIES-2d</t>
  </si>
  <si>
    <t xml:space="preserve">TPM-05.6</t>
  </si>
  <si>
    <t xml:space="preserve">First-Party Declaration (1PD)</t>
  </si>
  <si>
    <t xml:space="preserve">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</si>
  <si>
    <t xml:space="preserve">Does the organization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</si>
  <si>
    <t xml:space="preserve">The organization implements and operates mechanisms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</si>
  <si>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a First-Party Declaration (1PD) is obtained from applicable Third-Party Service Providers (TSP) that provides assurance of compliance with specified statutory, regulatory and contractual obligations for cybersecurity / data privacy controls, including any flow-down requirements to subcontractors;
b. Ensuring processes, methods, and techniques to monitor security requirement compliance by external service providers on an ongoing basis are implemented;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</si>
  <si>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NIST CSF 2.0: GV.SC-06.
Validation: Semi-Annual conformity validation; evidence artifacts E-TPM-01; PPTDF applicability: Process.</t>
  </si>
  <si>
    <t xml:space="preserve">TPM-05.7</t>
  </si>
  <si>
    <t xml:space="preserve">Break Clauses</t>
  </si>
  <si>
    <t xml:space="preserve">Mechanisms exist to include "break clauses" within contracts for failure to meet contract criteria for security, compliance and/or resilience controls.</t>
  </si>
  <si>
    <t xml:space="preserve">Does the organization include "break clauses" within contracts for failure to meet contract criteria for security, compliance and/or resilience controls?</t>
  </si>
  <si>
    <t xml:space="preserve">E-TPM-05</t>
  </si>
  <si>
    <t xml:space="preserve">The organization implements and operates mechanisms to include "break clauses" within contracts for failure to meet contract criteria for security, compliance and/or resilience controls.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</si>
  <si>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contracts with third-parties include "break clauses" to enable the organization to exit a contract due to a third-party's non-compliance with contract requirements for cybersecurity / data privacy controls;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</si>
  <si>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CISA CPG: 1.H | NIST CSF 2.0: GV.SC-06.
Validation: Annual conformity validation; evidence artifacts E-TPM-05; PPTDF applicability: Process.</t>
  </si>
  <si>
    <t xml:space="preserve">TPM-06</t>
  </si>
  <si>
    <t xml:space="preserve">Third-Party Personnel Security</t>
  </si>
  <si>
    <t xml:space="preserve">Mechanisms exist to control personnel security requirements including security roles and responsibilities for third-party providers.</t>
  </si>
  <si>
    <t xml:space="preserve">Does the organization control personnel security requirements including security roles and responsibilities for third-party providers?</t>
  </si>
  <si>
    <t xml:space="preserve">The organization implements and operates mechanisms to control personnel security requirements including security roles and responsibilities for third-party providers.
Within the OT and AMI environment, this objective governs AMI vendors, meter manufacturers, system integrators, telecommunications carriers and managed service providers that supply or support OT and AMI.</t>
  </si>
  <si>
    <t xml:space="preserve">Human Resources, in coordination with OT line management, is responsible for:
a. Ensuring roles and responsibilities for third-party provider personnel are documented;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</si>
  <si>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NIST CSF 2.0: GV.SC-06, ID.AM | CSA IoT SCF: POL-02 | NIST Privacy Framework: GV.PO-P3, GV.PO-P4, GV.AT-P4.
Validation: Annual conformity validation; evidence artifacts E-TPM-01; PPTDF applicability: Process.</t>
  </si>
  <si>
    <t xml:space="preserve">GV.SC-06, ID.AM</t>
  </si>
  <si>
    <t xml:space="preserve">GV.PO-P3, GV.PO-P4, GV.AT-P4</t>
  </si>
  <si>
    <t xml:space="preserve">5.2, 5.19, 8.30</t>
  </si>
  <si>
    <t xml:space="preserve">TPM-08</t>
  </si>
  <si>
    <t xml:space="preserve">Review of Third-Party Services</t>
  </si>
  <si>
    <t xml:space="preserve">Mechanisms exist to monitor, regularly review and assess External Service Providers (ESPs) for compliance with established contractual requirements for security, compliance and resilience controls.</t>
  </si>
  <si>
    <t xml:space="preserve">Does the organization monitor, regularly review and assess External Service Providers (ESPs) for compliance with established contractual requirements for security, compliance and resilience controls?</t>
  </si>
  <si>
    <t xml:space="preserve">NIST SP 800-82 R3 - Moderate OT Overlay; CISA Cross-Sector Cybersecurity Performance Goals; NIST Cybersecurity Framework 2.0; NIST SP 800-53B R5 - Moderate baseline; DOE Cybersecurity Capability Maturity Model; CSA IoT Security Controls Framework v2; NIST Privacy Framework 1.0</t>
  </si>
  <si>
    <t xml:space="preserve">The organization implements and operates mechanisms to monitor, regularly review and assess External Service Providers (ESPs) for compliance with established contractual requirements for security, compliance and resilience controls.
Within the OT and AMI environment, this objective governs AMI vendors, meter manufacturers, system integrators, telecommunications carriers and managed service providers that supply or support OT and AMI.</t>
  </si>
  <si>
    <t xml:space="preserve">IT Operations and OT Operations teams (asset custodians) are responsible for:
a. Ensuring the frequency at which to assess and review the supply chain-related risks associated with suppliers or contractors and the systems, system components or system services they provide is defined;
b. Ensuring the supply chain-related risks associated with suppliers or contractors and the systems, system components or system services they provide are assessed and reviewed per an organization-defined frequency;
c. Ensuring processes, methods, and techniques to monitor security requirement compliance by external service providers on an ongoing basis are implemented;
d. Ensuring supply chain elements, processes and actors to be analyzed and tested are defined;
e. Ensuring organization-defined mechanisms are employed on supply chain elements, processes and actors associated with the system, system component or system service;
f. Including OT and AMI security requirements (including IEC 62443 conformance, vulnerability handling, incident notification and remote access terms) in supplier contracts and flowing them down to subcontractors; and
g.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</si>
  <si>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NIST SP 800-82 R3 (Moderate OT overlay): SR-06 | CISA CPG: 1.H | DOE C2M2: THIRD-PARTIES-2d | NIST CSF 2.0: GV.SC-07, ID.IM-01, ID.IM-02 | NIST SP 800-53B Moderate: SR-06 | CSA IoT SCF: POL-02 | NIST Privacy Framework: ID.DE-P5.
Validation: Semi-Annual conformity validation; evidence artifacts E-TPM-03; PPTDF applicability: Process.</t>
  </si>
  <si>
    <t xml:space="preserve">SR-06, SR-06(01)</t>
  </si>
  <si>
    <t xml:space="preserve">SR-06</t>
  </si>
  <si>
    <t xml:space="preserve">GV.SC-07, ID.IM-01, ID.IM-02</t>
  </si>
  <si>
    <t xml:space="preserve">5.19, 5.20, 5.22, 8.21</t>
  </si>
  <si>
    <t xml:space="preserve">TPM-09</t>
  </si>
  <si>
    <t xml:space="preserve">Third-Party Deficiency Remediation</t>
  </si>
  <si>
    <t xml:space="preserve">Mechanisms exist to address weaknesses or deficiencies in supply chain elements identified during independent or organizational assessments of such elements.</t>
  </si>
  <si>
    <t xml:space="preserve">Does the organization address weaknesses or deficiencies in supply chain elements identified during independent or organizational assessments of such elements?</t>
  </si>
  <si>
    <t xml:space="preserve">The organization implements and operates mechanisms to address weaknesses or deficiencies in supply chain elements identified during independent or organizational assessments of such elements.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</si>
  <si>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weaknesses or deficiencies in supply chain elements identified during independent or organizational assessments of such elements are remediated;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</si>
  <si>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Third-party contract requirements for cybersecurity controls.
In-scope requirement alignment: NIST CSF 2.0: GV.SC-06, GV.SC-07, GV.SC-08 | CSA IoT SCF: POL-01.
Validation: Annual conformity validation; evidence artifacts E-TPM-03; PPTDF applicability: Process.</t>
  </si>
  <si>
    <t xml:space="preserve">GV.SC-06, GV.SC-07, GV.SC-08</t>
  </si>
  <si>
    <t xml:space="preserve">∙ Cybersecurity Supply Chain Risk Management (C-SCRM) program
∙ Third-party contract requirements for cybersecurity controls</t>
  </si>
  <si>
    <t xml:space="preserve">TPM-10</t>
  </si>
  <si>
    <t xml:space="preserve">Managing Changes To Third-Party Services</t>
  </si>
  <si>
    <t xml:space="preserve">Mechanisms exist to control changes to services by suppliers, taking into account the criticality of business Technology Assets, Applications, Services and/or Data (TAASD) that are in scope by the third-party.</t>
  </si>
  <si>
    <t xml:space="preserve">Does the organization control changes to services by suppliers, taking into account the criticality of business Technology Assets, Applications, Services and/or Data (TAASD) that are in scope by the third-party?</t>
  </si>
  <si>
    <t xml:space="preserve">The organization implements and operates mechanisms to control changes to services by suppliers, taking into account the criticality of business Technology Assets, Applications, Services and/or Data (TAASD) that are in scope by the third-party.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</si>
  <si>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affected third-parties are identified through change control practices;
b. Ensuring provided services are assessed for impact from proposed changes;
c. Ensuring recurring reviews are performed of third-party provided services against existing contract requirements;
d. Ensuring discrepancies in services provided and/or geolocation of provided services are evaluated for impact to the organization's operations;
e. Including OT and AMI security requirements (including IEC 62443 conformance, vulnerability handling, incident notification and remote access terms) in supplier contracts and flowing them down to subcontractors; and
f.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</si>
  <si>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SP 800-82 R3 (Moderate OT overlay): SA-04 | CISA CPG: 1.I | NIST CSF 2.0: GV.SC-08 | NIST SP 800-161 R1 C-SCRM: SA-4 | NIST SP 800-53B Privacy: SA-04.
Validation: Annual conformity validation; evidence artifacts E-TPM-01; PPTDF applicability: Process.</t>
  </si>
  <si>
    <t xml:space="preserve">GV.SC-08</t>
  </si>
  <si>
    <t xml:space="preserve">5.20, 5.22</t>
  </si>
  <si>
    <t xml:space="preserve">TPM-11</t>
  </si>
  <si>
    <t xml:space="preserve">Third-Party Incident Response &amp; Recovery Capabilities</t>
  </si>
  <si>
    <t xml:space="preserve">Mechanisms exist to ensure response/recovery planning and testing are conducted with critical suppliers/providers.</t>
  </si>
  <si>
    <t xml:space="preserve">Does the organization ensure response/recovery planning and testing are conducted with critical suppliers/providers?</t>
  </si>
  <si>
    <t xml:space="preserve">The organization implements and operates mechanisms to ensure response/recovery planning and testing are conducted with critical suppliers/providers.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</si>
  <si>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incident handling activities involving supply chain events are coordinated with other organizations involved in the supply chain;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</si>
  <si>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Third-party contract requirements for cybersecurity controls.
In-scope requirement alignment: NERC CIP: CIP-013-2 1.2.1, CIP-013-2 1.2.2 | NIST CSF 2.0: GV.SC-08 | CSA IoT SCF: IMT-01, OPA-05, POL-01 | NIST SP 800-53B Privacy: IR-04(10).
Validation: Annual conformity validation; evidence artifacts E-TPM-01; PPTDF applicability: Process.</t>
  </si>
  <si>
    <t xml:space="preserve">CIP-013-2 1.2.1, CIP-013-2 1.2.2</t>
  </si>
  <si>
    <t xml:space="preserve">IMT-01, OPA-05, POL-01</t>
  </si>
  <si>
    <t xml:space="preserve">THR-01</t>
  </si>
  <si>
    <t xml:space="preserve">Threat Intelligence Program</t>
  </si>
  <si>
    <t xml:space="preserve">Threat Management</t>
  </si>
  <si>
    <t xml:space="preserve">THR</t>
  </si>
  <si>
    <t xml:space="preserve">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</si>
  <si>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xml:space="preserve">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</si>
  <si>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xml:space="preserve">E-THR-04</t>
  </si>
  <si>
    <t xml:space="preserve">NIST SP 800-82 R3 - Moderate OT Overlay; CISA Cross-Sector Cybersecurity Performance Goals; NIST Cybersecurity Framework 2.0; NIST SP 800-53B R5 - Privacy baseline; ANSI/ISA-62443-3-2:2020</t>
  </si>
  <si>
    <t xml:space="preserve">Threat Intelligence Lead</t>
  </si>
  <si>
    <t xml:space="preserve">OT Threat Intelligence Analyst (E-ISAC liaison)</t>
  </si>
  <si>
    <t xml:space="preserve">Threat intelligence providers; sector ISAC; CISA</t>
  </si>
  <si>
    <t xml:space="preserve">The organization shall maintain threat intelligence-informed capabilities to identify, assess and manage threats to enterprise IT, OT and AMI systems, including sector-specific threats to energy delivery and metering infrastructure, and shall share and consume threat information with sector partners.</t>
  </si>
  <si>
    <t xml:space="preserve">The organization implements and operates mechanisms to implement a threat intelligence program that includes a cross-organization information-sharing capability that can influence the development of the system and security architectures, selection of security solutions, monitoring, threat hunting, response and recovery activities.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</si>
  <si>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a threat awareness program that includes a cross-organization information-sharing capability for threat intelligence is implemented;
b. Ensuring sources of threat intelligence are defined;
c. Ensuring a risk assessment methodology is identified;
d. Ensuring sources of threat intelligence are employed as part of a risk assessment to guide and inform the development of organizational systems and security architectures;
e. Ensuring sources of threat intelligence are employed as part of a risk assessment to guide and inform the selection of security solutions;
f. Ensuring sources of threat intelligence are employed as part of a risk assessment to guide and inform system monitoring activities;
g. Ensuring sources of threat intelligence are employed as part of a risk assessment to guide and inform threat hunting activities;
h. Ensuring sources of threat intelligence are employed as part of a risk assessment to guide and inform response and recovery activities; and
i. Incorporating energy-sector and OT threat intelligence (e.g., sector ISAC, CISA ICS advisories, manufacturer advisories) into risk assessments, monitoring use cases and response planning.</t>
  </si>
  <si>
    <t xml:space="preserve">OT/AMI implementation guidance: Participate in sector information sharing; maintain a threat catalog for OT and AMI zones (ISA/IEC 62443-3-2 ZCR 5.1); feed indicators into OT monitoring.
Suggested solutions and considerations (SCF 2026.2, enterprise): Threat intelligence program.
In-scope requirement alignment: NIST SP 800-82 R3 (Moderate OT overlay): PM-15, PM-16 | CISA CPG: 1.G, 1.H, 3.A | NIST CSF 2.0: ID.RA-03, ID.RA-08, DE, DE.AE-07 | NIST SP 800-53B Privacy: PM-15 | ISA/IEC 62443-3-2: ZCR 5.1, ZCR 6.6.
Validation: Annual conformity validation; evidence artifacts E-THR-04; PPTDF applicability: Process.</t>
  </si>
  <si>
    <t xml:space="preserve">ZCR 5.1, ZCR 6.6</t>
  </si>
  <si>
    <t xml:space="preserve">PM-15, PM-16</t>
  </si>
  <si>
    <t xml:space="preserve">1.G, 1.H, 3.A</t>
  </si>
  <si>
    <t xml:space="preserve">ID.RA-03, ID.RA-08, DE, DE.AE-07</t>
  </si>
  <si>
    <t xml:space="preserve">∙ Threat intelligence program</t>
  </si>
  <si>
    <t xml:space="preserve">THR-02</t>
  </si>
  <si>
    <t xml:space="preserve">Indicators of Exposure (IOE)</t>
  </si>
  <si>
    <t xml:space="preserve">Mechanisms exist to develop Indicators of Exposure (IOE) to understand the potential attack vectors that attackers could use to attack the organization.</t>
  </si>
  <si>
    <t xml:space="preserve">Does the organization develop Indicators of Exposure (IOE) to understand the potential attack vectors that attackers could use to attack the organization?</t>
  </si>
  <si>
    <t xml:space="preserve">E-THR-01</t>
  </si>
  <si>
    <t xml:space="preserve">The organization implements and operates mechanisms to develop Indicators of Exposure (IOE) to understand the potential attack vectors that attackers could use to attack the organization.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</si>
  <si>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Indicators of Exposure (IOE) exist for personnel to understand the potential attack vectors that attackers could use to attack the organization; and
b.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</si>
  <si>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Indicators of Exposure (IoE).
In-scope requirement alignment: CISA CPG: 3.A | NIST CSF 2.0: ID.RA-03, ID.RA-05, ID.RA-08, DE, DE.CM | ISA/IEC 62443-3-2: ZCR 5.2.
Validation: Annual conformity validation; evidence artifacts E-THR-01; PPTDF applicability: Process.</t>
  </si>
  <si>
    <t xml:space="preserve">ZCR 5.2</t>
  </si>
  <si>
    <t xml:space="preserve">ID.RA-03, ID.RA-05, ID.RA-08, DE, DE.CM</t>
  </si>
  <si>
    <t xml:space="preserve">∙ Indicators of Exposure (IoE)</t>
  </si>
  <si>
    <t xml:space="preserve">THR-03</t>
  </si>
  <si>
    <t xml:space="preserve">Threat Intelligence Feeds</t>
  </si>
  <si>
    <t xml:space="preserve">Mechanisms exist to maintain situational awareness of vulnerabilities and evolving threats by leveraging the knowledge of attacker tactics, techniques and procedures to facilitate the implementation of preventative and compensating controls.</t>
  </si>
  <si>
    <t xml:space="preserve">Does the organization maintain situational awareness of vulnerabilities and evolving threats by leveraging the knowledge of attacker tactics, techniques and procedures to facilitate the implementation of preventative and compensating controls?</t>
  </si>
  <si>
    <t xml:space="preserve">E-THR-03</t>
  </si>
  <si>
    <t xml:space="preserve">NIST SP 800-82 R3 - Moderate OT Overlay; CISA Cross-Sector Cybersecurity Performance Goals; NIST Cybersecurity Framework 2.0; DOE Cybersecurity Capability Maturity Model; CSA IoT Security Controls Framework v2; NIST SP 800-161 R1 - C-SCRM Baseline; NIST SP 800-53B R5 - Privacy baseline; ANSI/ISA-62443-3-2:2020</t>
  </si>
  <si>
    <t xml:space="preserve">The organization implements and operates mechanisms to maintain situational awareness of vulnerabilities and evolving threats by leveraging the knowledge of attacker tactics, techniques and procedures to facilitate the implementation of preventative and compensating controls.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</si>
  <si>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external organizations from whom system security alerts, advisories and directives are to be received on an ongoing basis are defined;
b. Ensuring personnel or roles to whom security alerts, advisories and directives are to be disseminated is/are defined;
c. Ensuring elements within the organization to whom security alerts, advisories and directives are to be disseminated are defined;
d. Ensuring external organizations to whom security alerts, advisories and directives are to be disseminated are defined;
e. Ensuring system security alerts, advisories, and directives from external organizations are received on an ongoing basis;
f. Ensuring threat indicator information is identified;
g. Ensuring effective mitigations are identified;
h. Ensuring intrusion detection approaches are identified; and
i.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</si>
  <si>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US-CERT mailing lists &amp; feeds; Internal newsletters; InfraGard.
In-scope requirement alignment: NIST SP 800-82 R3 (Moderate OT overlay): SI-05 | CISA CPG: 3.A | DOE C2M2: THREAT-1a, THREAT-1b, THREAT-1e, THREAT-2f, THREAT-2j, THREAT-2k, RISK-2k, SITUATION-3e | NIST CSF 2.0: ID.RA-02, ID.RA-03, ID.RA-08, DE, DE.AE-07 | NIST SP 800-161 R1 C-SCRM: SI-5 | CSA IoT SCF: MON-11 | NIST SP 800-53B Privacy: SI-05 | ISA/IEC 62443-3-2: ZCR 5.1, ZCR 6.6.
Validation: Annual conformity validation; evidence artifacts E-THR-03; PPTDF applicability: Process.</t>
  </si>
  <si>
    <t xml:space="preserve">PM-16(01), SI-05, SI-05(01)</t>
  </si>
  <si>
    <t xml:space="preserve">SI-05</t>
  </si>
  <si>
    <t xml:space="preserve">THREAT-1a, THREAT-1b, THREAT-1e, THREAT-2f, THREAT-2j, THREAT-2k, RISK-2k, SITUATION-3e</t>
  </si>
  <si>
    <t xml:space="preserve">ID.RA-02, ID.RA-03, ID.RA-08, DE, DE.AE-07</t>
  </si>
  <si>
    <t xml:space="preserve">SI-5</t>
  </si>
  <si>
    <t xml:space="preserve">MON-11</t>
  </si>
  <si>
    <t xml:space="preserve">THR-03.1</t>
  </si>
  <si>
    <t xml:space="preserve">Threat Intelligence Reporting</t>
  </si>
  <si>
    <t xml:space="preserve">Mechanisms exist to utilize external threat intelligence feeds to generate and disseminate organization-specific security alerts, advisories and/or directives.</t>
  </si>
  <si>
    <t xml:space="preserve">Does the organization utilize external threat intelligence feeds to generate and disseminate organization-specific security alerts, advisories and/or directives?</t>
  </si>
  <si>
    <t xml:space="preserve">The organization implements and operates mechanisms to utilize external threat intelligence feeds to generate and disseminate organization-specific security alerts, advisories and/or directives.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</si>
  <si>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internal security alerts, advisories, and directives are generated, as necessary;
b. Ensuring internal security alerts, advisories, and directives are disseminated, as necessary; and
c.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</si>
  <si>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US-CERT mailing lists &amp; feeds; Internal newsletters; InfraGard.
In-scope requirement alignment: DOE C2M2: THREAT-1i, THREAT-2b, THREAT-2h, THREAT-2k.
Validation: Annual conformity validation; evidence artifacts to be defined; PPTDF applicability: Process.</t>
  </si>
  <si>
    <t xml:space="preserve">THREAT-1i, THREAT-2b, THREAT-2h, THREAT-2k</t>
  </si>
  <si>
    <t xml:space="preserve">THR-04</t>
  </si>
  <si>
    <t xml:space="preserve">Insider Threat Program</t>
  </si>
  <si>
    <t xml:space="preserve">Mechanisms exist to implement an insider threat program that includes a cross-discipline insider threat incident handling team.</t>
  </si>
  <si>
    <t xml:space="preserve">Does the organization implement an insider threat program that includes a cross-discipline insider threat incident handling team?</t>
  </si>
  <si>
    <t xml:space="preserve">The organization implements and operates mechanisms to implement an insider threat program that includes a cross-discipline insider threat incident handling team.
Within the OT and AMI environment, this objective incorporates OT and energy-sector threat intelligence (e.g., E-ISAC, CISA advisories, vendor advisories) into risk assessment, monitoring and response.</t>
  </si>
  <si>
    <t xml:space="preserve">The Chief Information Security Officer (CISO), in coordination with the OT Security Lead, is responsible for:
a. Ensuring an insider threat program that includes a cross-discipline insider threat incident handling team is implemented;
b. Ensuring threat indicator information and effective mitigations obtained from external organizations are used to guide and inform intrusion detection and threat hunting; and
c.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</si>
  <si>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Insider threat program.
In-scope requirement alignment: NIST SP 800-82 R3 (Moderate OT overlay): PM-12 | NIST CSF 2.0: ID.RA-03.
Validation: Annual conformity validation; evidence artifacts E-THR-04; PPTDF applicability: Process.</t>
  </si>
  <si>
    <t xml:space="preserve">PM-12</t>
  </si>
  <si>
    <t xml:space="preserve">ID.RA-03</t>
  </si>
  <si>
    <t xml:space="preserve">∙ Insider threat program</t>
  </si>
  <si>
    <t xml:space="preserve">THR-05</t>
  </si>
  <si>
    <t xml:space="preserve">Insider Threat Awareness</t>
  </si>
  <si>
    <t xml:space="preserve">Mechanisms exist to utilize security awareness training on recognizing and reporting potential indicators of insider threat.</t>
  </si>
  <si>
    <t xml:space="preserve">Does the organization utilize security awareness training on recognizing and reporting potential indicators of insider threat?</t>
  </si>
  <si>
    <t xml:space="preserve">E-SAT-04, E-SAT-05, E-THR-04</t>
  </si>
  <si>
    <t xml:space="preserve">NIST SP 800-82 R3 - Moderate OT Overlay; NIST Cybersecurity Framework 2.0; NIST SP 800-161 R1 - C-SCRM Baseline</t>
  </si>
  <si>
    <t xml:space="preserve">The organization implements and operates mechanisms to utilize security awareness training on recognizing and reporting potential indicators of insider threat.
Within the OT and AMI environment, this objective incorporates OT and energy-sector threat intelligence (e.g., E-ISAC, CISA advisories, vendor advisories) into risk assessment, monitoring and response.</t>
  </si>
  <si>
    <t xml:space="preserve">The Chief Information Security Officer (CISO), in coordination with the OT Security Lead, is responsible for:
a. Ensuring potential indicators associated with insider threats are identified;
b. Ensuring security literacy training is provided to system users on recognizing indicators of insider threat;
c. Ensuring security literacy training is provided to system users on reporting indicators of insider threat;
d. Ensuring security awareness training on recognizing and reporting potential indicators of insider threat is provided to managers and employees; and
e.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</si>
  <si>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Enterprise insider threat program (NITTF-aligned); Dedicated insider threat team; UEBA platform (e.g., Varonis, Securonix); Anonymous reporting.
In-scope requirement alignment: NIST SP 800-82 R3 (Moderate OT overlay): AT-02(02) | NIST CSF 2.0: ID.RA-03 | NIST SP 800-161 R1 C-SCRM: AT-2(2).
Validation: Annual conformity validation; evidence artifacts E-SAT-04, E-SAT-05, E-THR-04; PPTDF applicability: Process.</t>
  </si>
  <si>
    <t xml:space="preserve">AT-02(02)</t>
  </si>
  <si>
    <t xml:space="preserve">AT-2(2)</t>
  </si>
  <si>
    <t xml:space="preserve">∙ Enterprise insider threat program (NITTF-aligned)
∙ Dedicated insider threat team
∙ UEBA platform (e.g., Varonis, Securonix)
∙ Anonymous reporting</t>
  </si>
  <si>
    <t xml:space="preserve">THR-06</t>
  </si>
  <si>
    <t xml:space="preserve">Vulnerability Disclosure Program (VDP)</t>
  </si>
  <si>
    <t xml:space="preserve">Mechanisms exist to establish a Vulnerability Disclosure Program (VDP) to assist with the secure development and maintenance of Technology Assets, Applications and/or Services (TAAS) that receives unsolicited input from the public about vulnerabilities in organizational TAAS.</t>
  </si>
  <si>
    <t xml:space="preserve">Does the organization establish a Vulnerability Disclosure Program (VDP) to assist with the secure development and maintenance of Technology Assets, Applications and/or Services (TAAS) that receives unsolicited input from the public about vulnerabilities in organizational TAAS?</t>
  </si>
  <si>
    <t xml:space="preserve">E-TDA-16</t>
  </si>
  <si>
    <t xml:space="preserve">NIST SP 800-82 R3 - Moderate OT Overlay; CISA Cross-Sector Cybersecurity Performance Goals; DOE Cybersecurity Capability Maturity Model; CSA IoT Security Controls Framework v2</t>
  </si>
  <si>
    <t xml:space="preserve">The organization implements and operates mechanisms to establish a Vulnerability Disclosure Program (VDP) to assist with the secure development and maintenance of Technology Assets, Applications and/or Services (TAAS) that receives unsolicited input from the public about vulnerabilities in organizational TAAS.
Within the OT and AMI environment, this objective incorporates OT and energy-sector threat intelligence (e.g., E-ISAC, CISA advisories, vendor advisories) into risk assessment, monitoring and response.</t>
  </si>
  <si>
    <t xml:space="preserve">OT Engineering and application development teams are responsible for:
a. Ensuring a public reporting channel is established for receiving reports of vulnerabilities in organizational systems and system components; and
b.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</si>
  <si>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Vulnerability Disclosure Program (VDP); "bug bounty" program.
In-scope requirement alignment: NIST SP 800-82 R3 (Moderate OT overlay): RA-05(11) | CISA CPG: 4.B | DOE C2M2: THREAT-1m | CSA IoT SCF: TRN-03, SET-05.
Validation: Annual conformity validation; evidence artifacts E-TDA-16; PPTDF applicability: Process.</t>
  </si>
  <si>
    <t xml:space="preserve">RA-05(11)</t>
  </si>
  <si>
    <t xml:space="preserve">4.B</t>
  </si>
  <si>
    <t xml:space="preserve">THREAT-1m</t>
  </si>
  <si>
    <t xml:space="preserve">TRN-03, SET-05</t>
  </si>
  <si>
    <t xml:space="preserve">∙ Vulnerability Disclosure Program (VDP)
∙ "bug bounty" program</t>
  </si>
  <si>
    <t xml:space="preserve">THR-06.1</t>
  </si>
  <si>
    <t xml:space="preserve">Security Disclosure Contact Information</t>
  </si>
  <si>
    <t xml:space="preserve">Mechanisms exist to enable public submissions of discovered or potential security vulnerabilities.</t>
  </si>
  <si>
    <t xml:space="preserve">Does the organization enable public submissions of discovered or potential security vulnerabilities?</t>
  </si>
  <si>
    <t xml:space="preserve">The organization implements and operates mechanisms to enable public submissions of discovered or potential security vulnerabilities.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</si>
  <si>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a process to enable public submissions of discovered or potential security vulnerabilities is defined;
b. Ensuring a process to receive public submissions of discovered or potential security vulnerabilities is implemented; and
c.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</si>
  <si>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Vulnerability Disclosure Program (VDP); "bug bounty" program.
In-scope requirement alignment: CISA CPG: 4.B, 4.C.
Validation: Annual conformity validation; evidence artifacts to be defined; PPTDF applicability: Process.</t>
  </si>
  <si>
    <t xml:space="preserve">4.B, 4.C</t>
  </si>
  <si>
    <t xml:space="preserve">THR-07</t>
  </si>
  <si>
    <t xml:space="preserve">Threat Hunting</t>
  </si>
  <si>
    <t xml:space="preserve">Mechanisms exist to perform cyber threat hunting that uses Indicators of Compromise (IoC) to detect, track and disrupt threats that evade existing security controls.</t>
  </si>
  <si>
    <t xml:space="preserve">Does the organization perform cyber threat hunting that uses Indicators of Compromise (IoC) to detect, track and disrupt threats that evade existing security controls?</t>
  </si>
  <si>
    <t xml:space="preserve">E-THR-05</t>
  </si>
  <si>
    <t xml:space="preserve">The organization implements and operates mechanisms to perform cyber threat hunting that uses Indicators of Compromise (IoC) to detect, track and disrupt threats that evade existing security controls.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</si>
  <si>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a cyber threat capability is established and maintained to search for Indicators of Compromise (IOC) in organizational systems;
b. Ensuring a cyber threat capability is established and maintained to detect, track and disrupt threats that evade existing controls;
c. Ensuring cyber threat hunting activities are conducted according to an organization-defined frequency and/or organization-defined event to detect, track and disrupt threats that evade existing controls;
d. Ensuring sensors and monitoring capabilities to be relocated are defined;
e. Ensuring locations to where sensors and monitoring capabilities are to be relocated are defined;
f. Ensuring conditions or circumstances for relocating sensors and monitoring capabilities are defined;
g. Ensuring sensors and monitoring capabilities are relocated to locations under organization-defined conditions or circumstances;
h. Ensuring Indicators of Compromise (IOC) are defined; and
i.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</si>
  <si>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Threat hunting capability.
In-scope requirement alignment: NIST CSF 2.0: ID.RA-03, DE | NIST SP 800-53B Privacy: SC-48.
Validation: Annual conformity validation; evidence artifacts E-THR-05; PPTDF applicability: Process.</t>
  </si>
  <si>
    <t xml:space="preserve">RA-10, SC-48</t>
  </si>
  <si>
    <t xml:space="preserve">ID.RA-03, DE</t>
  </si>
  <si>
    <t xml:space="preserve">SG.RA Risk Management and Assessment; SG.SC Smart Grid Information System and Communication Protection</t>
  </si>
  <si>
    <t xml:space="preserve">∙ Threat hunting capability</t>
  </si>
  <si>
    <t xml:space="preserve">THR-09</t>
  </si>
  <si>
    <t xml:space="preserve">Threat Catalog</t>
  </si>
  <si>
    <t xml:space="preserve">Mechanisms exist to develop and keep current a catalog of applicable internal and external threats to the organization, both natural and manmade.</t>
  </si>
  <si>
    <t xml:space="preserve">Does the organization develop and keep current a catalog of applicable internal and external threats to the organization, both natural and manmade?</t>
  </si>
  <si>
    <t xml:space="preserve">E-THR-06</t>
  </si>
  <si>
    <t xml:space="preserve">CISA Cross-Sector Cybersecurity Performance Goals; NIST Cybersecurity Framework 2.0; DOE Cybersecurity Capability Maturity Model; ANSI/ISA-62443-3-2:2020</t>
  </si>
  <si>
    <t xml:space="preserve">The organization implements and operates mechanisms to develop and keep current a catalog of applicable internal and external threats to the organization, both natural and manmade.
Within the OT and AMI environment, this objective incorporates OT and energy-sector threat intelligence (e.g., E-ISAC, CISA advisories, vendor advisories) into risk assessment, monitoring and response.</t>
  </si>
  <si>
    <t xml:space="preserve">The Information Risk Manager, in coordination with OT Engineering, is responsible for:
a. Ensuring the organization maintains a threat catalog that documents applicable internal and external threats that are specific to the organization;
b. Ensuring the threat catalog documents both natural and manmade threats;
c. Ensuring on at least an annual basis, a threat assessment is performed to identify and assess applicable internal and external threats;
d. Ensuring the threat catalog is updated, based on a current threat assessment; and
e.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</si>
  <si>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Documented threat catalog.
In-scope requirement alignment: CISA CPG: 3.A | DOE C2M2: RISK-2j | NIST CSF 2.0: ID.RA-03, ID.RA-04, ID.RA-05, PR.IR-02, DE | ISA/IEC 62443-3-2: ZCR 5.1.
Validation: Annual conformity validation; evidence artifacts E-THR-06; PPTDF applicability: Process.</t>
  </si>
  <si>
    <t xml:space="preserve">ZCR 5.1</t>
  </si>
  <si>
    <t xml:space="preserve">RISK-2j</t>
  </si>
  <si>
    <t xml:space="preserve">ID.RA-03, ID.RA-04, ID.RA-05, PR.IR-02, DE</t>
  </si>
  <si>
    <t xml:space="preserve">∙ Documented threat catalog</t>
  </si>
  <si>
    <t xml:space="preserve">THR-10</t>
  </si>
  <si>
    <t xml:space="preserve">Threat Analysis</t>
  </si>
  <si>
    <t xml:space="preserve">Mechanisms exist to identify, assess, prioritize and document the potential impact(s) and likelihood(s) of applicable internal and external threats.</t>
  </si>
  <si>
    <t xml:space="preserve">Does the organization identify, assess, prioritize and document the potential impact(s) and likelihood(s) of applicable internal and external threats?</t>
  </si>
  <si>
    <t xml:space="preserve">E-THR-07</t>
  </si>
  <si>
    <t xml:space="preserve">The organization implements and operates mechanisms to identify, assess, prioritize and document the potential impact(s) and likelihood(s) of applicable internal and external threats.
Within the OT and AMI environment, this objective incorporates OT and energy-sector threat intelligence (e.g., E-ISAC, CISA advisories, vendor advisories) into risk assessment, monitoring and response.</t>
  </si>
  <si>
    <t xml:space="preserve">The Information Risk Manager, in coordination with OT Engineering, is responsible for:
a. Ensuring on at least an annual basis, a threat assessment is performed to identify and assess applicable internal and external threats;
b. Ensuring a threat catalog captures applicable internal and external threats from the threat assessment;
c. Ensuring each item in the threat catalog is prioritized, based on the potential threat to the organization; and
d.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</si>
  <si>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Documented threat analysis.
In-scope requirement alignment: DOE C2M2: THREAT-2c, THREAT-2e, THREAT-2g, THREAT-2i | NIST CSF 2.0: ID.RA-04, ID.RA-05, DE, DE.AE-07 | ISA/IEC 62443-3-2: ZCR 5.1.
Validation: Annual conformity validation; evidence artifacts E-THR-07; PPTDF applicability: Process.</t>
  </si>
  <si>
    <t xml:space="preserve">THREAT-2c, THREAT-2e, THREAT-2g, THREAT-2i</t>
  </si>
  <si>
    <t xml:space="preserve">ID.RA-04, ID.RA-05, DE, DE.AE-07</t>
  </si>
  <si>
    <t xml:space="preserve">∙ Documented threat analysis</t>
  </si>
  <si>
    <t xml:space="preserve">VPM-01</t>
  </si>
  <si>
    <t xml:space="preserve">Vulnerability &amp; Patch Management Program (VPMP)</t>
  </si>
  <si>
    <t xml:space="preserve">Vulnerability &amp; Patch Management</t>
  </si>
  <si>
    <t xml:space="preserve">VPM</t>
  </si>
  <si>
    <t xml:space="preserve">Mechanisms exist to facilitate the implementation and monitoring of vulnerability management controls.</t>
  </si>
  <si>
    <t xml:space="preserve">Does the organization facilitate the implementation and monitoring of vulnerability management controls?</t>
  </si>
  <si>
    <t xml:space="preserve">E-MNT-03, E-THR-05, E-VPM-01</t>
  </si>
  <si>
    <t xml:space="preserve">Vulnerability Management Lead</t>
  </si>
  <si>
    <t xml:space="preserve">OT Vulnerability &amp; Firmware Management Lead</t>
  </si>
  <si>
    <t xml:space="preserve">AMI vendor; OT equipment manufacturers; vulnerability scanning vendor</t>
  </si>
  <si>
    <t xml:space="preserve">The organization shall reduce exploitable weaknesses in enterprise IT, OT and AMI assets through risk-based vulnerability identification, ranking and remediation. OT and AMI vulnerability management shall use operationally safe discovery methods, coordinate firmware and patch deployment with manufacturers and system operations, and apply documented compensating controls where timely patching is not feasible.</t>
  </si>
  <si>
    <t xml:space="preserve">The organization implements and operates mechanisms to facilitate the implementation and monitoring of vulnerability management controls.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</si>
  <si>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an organization-wide vulnerability and patch management program is developed and implemented to proactively identify and remediation vulnerabilities;
b. Ensuring the time within which to identify system flaws is specified;
c. Ensuring system flaws are identified within the specified time frame;
d. Ensuring the time within which to report system flaws is specified;
e. Ensuring system flaws are reported within the specified time frame;
f. Ensuring the time within which to correct system flaws is specified;
g. Ensuring system flaws are corrected within the specified time frame;
h. Ensuring vulnerability &amp; patch management operations are conducted according to documented policies, standards, procedures and/or other organizational directives;
i. Identifying vulnerabilities in OT and AMI assets through vendor advisories, passive monitoring, configuration review and scanning only where validated as safe; and
j.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</si>
  <si>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Vulnerability &amp; Patch Management Program.
In-scope requirement alignment: NIST SP 800-82 R3 (Moderate OT overlay): SI-02, SI-03 | NERC CIP: CIP-003-8 1.1.7, CIP-007-6 1.3, CIP-007-6 2.1 | CISA CPG: 1.F | DOE C2M2: THREAT-1j | NIST CSF 2.0: ID.RA-01, ID.RA-08, PR.PS-02 | NIST SP 800-161 R1 C-SCRM: SI-2, SI-3 | CSA IoT SCF: CLS-06, VLN-01, VLN-04 | NIST Privacy Framework: PR.PO-P10 | NIST SP 800-53B Privacy: SI-02, SI-03.
Validation: Annual conformity validation; evidence artifacts E-MNT-03, E-THR-05, E-VPM-01; PPTDF applicability: Process.</t>
  </si>
  <si>
    <t xml:space="preserve">CIP-003-8 1.1.7, CIP-007-6 1.3, CIP-007-6 2.1</t>
  </si>
  <si>
    <t xml:space="preserve">THREAT-1j</t>
  </si>
  <si>
    <t xml:space="preserve">ID.RA-01, ID.RA-08, PR.PS-02</t>
  </si>
  <si>
    <t xml:space="preserve">CLS-06, VLN-01, VLN-04</t>
  </si>
  <si>
    <t xml:space="preserve">PR.PO-P10</t>
  </si>
  <si>
    <t xml:space="preserve">∙ Vulnerability &amp; Patch Management Program</t>
  </si>
  <si>
    <t xml:space="preserve">VPM-01.1</t>
  </si>
  <si>
    <t xml:space="preserve">Attack Surface Scope</t>
  </si>
  <si>
    <t xml:space="preserve">Mechanisms exist to define and manage the scope for its attack surface management activities.</t>
  </si>
  <si>
    <t xml:space="preserve">Does the organization define and manage the scope for its attack surface management activities?</t>
  </si>
  <si>
    <t xml:space="preserve">E-VPM-06</t>
  </si>
  <si>
    <t xml:space="preserve">CISA Cross-Sector Cybersecurity Performance Goals; NIST Cybersecurity Framework 2.0; DOE Cybersecurity Capability Maturity Model; CSA IoT Security Controls Framework v2; NIST SP 800-53B R5 - Privacy baseline</t>
  </si>
  <si>
    <t xml:space="preserve">The organization implements and operates mechanisms to define and manage the scope for its attack surface management activities.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</si>
  <si>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Information Risk Manager, in coordination with OT Engineering, is responsible for:
a. Ensuring the breadth of testing and evaluation of required controls is defined;
b. Ensuring the depth of testing and evaluation of required controls is defined;
c. Ensuring system, applications and services are monitored for vulnerabilities per an organization-defined frequency;
d. Ensuring systems and system components are included in the scope of the specified enhanced security requirements;
e. Ensuring systems and system components that are not included in systems and system components are segregated in purpose-specific networks;
f. Ensuring the developer of the system, system component or system service is required to perform attack surface reviews;
g. Ensuring the developer of the system, system component, or system service is required to perform vulnerability analyses during the subsequent testing and evaluation of the system, component, or service that produces evidence that meets an organization-defined breadth;
h. Ensuring the developer of the system, system component, or system service is required to verify that the scope of testing and evaluation provides complete coverage of the required controls at an organization-defined depth;
i. Identifying vulnerabilities in OT and AMI assets through vendor advisories, passive monitoring, configuration review and scanning only where validated as safe; and
j.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</si>
  <si>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ASM platform (e.g., CyCognito, Mandiant ASM); Automated continuous attack surface monitoring.
In-scope requirement alignment: CISA CPG: 1.E, 1.F | DOE C2M2: THREAT-1e | NIST CSF 2.0: PR.PS-02 | CSA IoT SCF: CLS-06, VLN-02 | NIST SP 800-53B Privacy: SA-11(06), SA-11(07).
Validation: Annual conformity validation; evidence artifacts E-VPM-06; PPTDF applicability: Process.</t>
  </si>
  <si>
    <t xml:space="preserve">SA-11(06), SA-11(07)</t>
  </si>
  <si>
    <t xml:space="preserve">1.E, 1.F</t>
  </si>
  <si>
    <t xml:space="preserve">THREAT-1e</t>
  </si>
  <si>
    <t xml:space="preserve">PR.PS-02</t>
  </si>
  <si>
    <t xml:space="preserve">CLS-06, VLN-02</t>
  </si>
  <si>
    <t xml:space="preserve">∙ Enterprise ASM platform (e.g., CyCognito, Mandiant ASM)
∙ Automated continuous attack surface monitoring</t>
  </si>
  <si>
    <t xml:space="preserve">VPM-02</t>
  </si>
  <si>
    <t xml:space="preserve">Vulnerability Remediation Process</t>
  </si>
  <si>
    <t xml:space="preserve">Mechanisms exist to ensure that vulnerabilities are properly identified, tracked and remediated.</t>
  </si>
  <si>
    <t xml:space="preserve">Does the organization ensure that vulnerabilities are properly identified, tracked and remediated?</t>
  </si>
  <si>
    <t xml:space="preserve">E-RSK-03, E-RSK-04, E-VPM-01, E-VPM-09</t>
  </si>
  <si>
    <t xml:space="preserve">IEC 62443-2-1:2024; NIST SP 800-82 R3 - Moderate OT Overlay; NERC CIP; CISA Cross-Sector Cybersecurity Performance Goals; NIST Cybersecurity Framework 2.0; CSA IoT Security Controls Framework v2; NIST SP 800-53B R5 - Privacy baseline</t>
  </si>
  <si>
    <t xml:space="preserve">The organization implements and operates mechanisms to ensure that vulnerabilities are properly identified, tracked and remediated.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</si>
  <si>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vulnerabilities are identified;
b. Ensuring response times to remediate system vulnerabilities are defined;
c. Ensuring vulnerabilities are remediated in accordance with risk assessments;
d. Identifying vulnerabilities in OT and AMI assets through vendor advisories, passive monitoring, configuration review and scanning only where validated as safe; and
e.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</si>
  <si>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(e.g., Tenable.io, Qualys); Automated remediation tracking; SIEM integration.
In-scope requirement alignment: IEC 62443-2-1: EVENT 1.9 | NIST SP 800-82 R3 (Moderate OT overlay): PM-04 | NERC CIP: CIP-007-6 2.2, CIP-007-6 2.3, CIP-007-6 2.4 | CISA CPG: 1.E, 1.F | NIST CSF 2.0: ID.RA-08, PR.PS-02 | CSA IoT SCF: CLS-06, VLN-04 | NIST SP 800-53B Privacy: PM-04, SC-18(01).
Validation: Annual conformity validation; evidence artifacts E-RSK-03, E-RSK-04, E-VPM-01, E-VPM-09; PPTDF applicability: Process.</t>
  </si>
  <si>
    <t xml:space="preserve">EVENT 1.9</t>
  </si>
  <si>
    <t xml:space="preserve">PM-04, SC-18(01)</t>
  </si>
  <si>
    <t xml:space="preserve">PM-04</t>
  </si>
  <si>
    <t xml:space="preserve">CIP-007-6 2.2, CIP-007-6 2.3, CIP-007-6 2.4</t>
  </si>
  <si>
    <t xml:space="preserve">ID.RA-08, PR.PS-02</t>
  </si>
  <si>
    <t xml:space="preserve">CLS-06, VLN-04</t>
  </si>
  <si>
    <t xml:space="preserve">SG.PM Security Program Management; SG.SC Smart Grid Information System and Communication Protection</t>
  </si>
  <si>
    <t xml:space="preserve">∙ Enterprise vulnerability management platform (e.g., Tenable.io, Qualys)
∙ Automated remediation tracking
∙ SIEM integration</t>
  </si>
  <si>
    <t xml:space="preserve">VPM-03</t>
  </si>
  <si>
    <t xml:space="preserve">Vulnerability Ranking</t>
  </si>
  <si>
    <t xml:space="preserve">Mechanisms exist to identify and assign a risk ranking to newly discovered security vulnerabilities using reputable outside sources for security vulnerability information.</t>
  </si>
  <si>
    <t xml:space="preserve">Does the organization identify and assign a risk ranking to newly discovered security vulnerabilities using reputable outside sources for security vulnerability information?</t>
  </si>
  <si>
    <t xml:space="preserve">E-RSK-03, E-RSK-04, E-VPM-01, E-VPM-10</t>
  </si>
  <si>
    <t xml:space="preserve">The organization implements and operates mechanisms to identify and assign a risk ranking to newly discovered security vulnerabilities using reputable outside sources for security vulnerability information.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</si>
  <si>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Information Risk Manager, in coordination with OT Engineering, is responsible for:
a. Ensuring a risk ranking methodology is utilized to prioritize newly discovered security vulnerabilities;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</si>
  <si>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with risk-based ranking (e.g., Tenable.io, Qualys); Threat intelligence integration for prioritization.
In-scope requirement alignment: DOE C2M2: THREAT-1b, THREAT-1g, THREAT-1h, THREAT-2b, THREAT-2d | NIST CSF 2.0: ID.RA-08 | CSA IoT SCF: VLN-04.
Validation: Annual conformity validation; evidence artifacts E-RSK-03, E-RSK-04, E-VPM-01, E-VPM-10; PPTDF applicability: Process.</t>
  </si>
  <si>
    <t xml:space="preserve">THREAT-1b, THREAT-1g, THREAT-1h, THREAT-2b, THREAT-2d</t>
  </si>
  <si>
    <t xml:space="preserve">ID.RA-08</t>
  </si>
  <si>
    <t xml:space="preserve">VLN-04</t>
  </si>
  <si>
    <t xml:space="preserve">∙ Enterprise vulnerability management platform with risk-based ranking (e.g., Tenable.io, Qualys)
∙ Threat intelligence integration for prioritization</t>
  </si>
  <si>
    <t xml:space="preserve">VPM-03.1</t>
  </si>
  <si>
    <t xml:space="preserve">Vulnerability Exploitation Analysis</t>
  </si>
  <si>
    <t xml:space="preserve">Mechanisms exist to identify, assess, prioritize and document the potential impact(s) and likelihood(s) of applicable internal and external threats exploiting known vulnerabilities.</t>
  </si>
  <si>
    <t xml:space="preserve">Does the organization identify, assess, prioritize and document the potential impact(s) and likelihood(s) of applicable internal and external threats exploiting known vulnerabilities?</t>
  </si>
  <si>
    <t xml:space="preserve">The organization implements and operates mechanisms to identify, assess, prioritize and document the potential impact(s) and likelihood(s) of applicable internal and external threats exploiting known vulnerabilities.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</si>
  <si>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Information Risk Manager, in coordination with OT Engineering, is responsible for:
a. Ensuring on at least an annual basis, a threat assessment is performed to identify and assess applicable internal and external threats;
b. Ensuring a threat catalog captures applicable internal and external threats from the threat assessment;
c. Ensuring the scope of Attack Surface Management (ASM) is defined;
d. Ensuring vulnerability scanning activities are performed against the scope of ASM to identify applicable vulnerabilities;
e. Ensuring the organization documents the potential impact(s) and likelihood(s) of applicable internal and external threats exploiting known vulnerabilities;
f. Ensuring each item in the threat catalog is prioritized, based on potential impact(s) and likelihood(s) of applicable internal and external threats exploiting identified vulnerabilities;
g. Identifying vulnerabilities in OT and AMI assets through vendor advisories, passive monitoring, configuration review and scanning only where validated as safe; and
h.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</si>
  <si>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with threat intel integration (e.g., Tenable, Qualys); CISA KEV, EPSS scoring; Automated exploit prioritization.
In-scope requirement alignment: DOE C2M2: THREAT-1b, THREAT-1g, THREAT-1h, THREAT-2b.
Validation: Annual conformity validation; evidence artifacts to be defined; PPTDF applicability: Process.</t>
  </si>
  <si>
    <t xml:space="preserve">THREAT-1b, THREAT-1g, THREAT-1h, THREAT-2b</t>
  </si>
  <si>
    <t xml:space="preserve">∙ Enterprise vulnerability management with threat intel integration (e.g., Tenable, Qualys)
∙ CISA KEV, EPSS scoring
∙ Automated exploit prioritization</t>
  </si>
  <si>
    <t xml:space="preserve">VPM-04</t>
  </si>
  <si>
    <t xml:space="preserve">Continuous Vulnerability Remediation Activities</t>
  </si>
  <si>
    <t xml:space="preserve">Mechanisms exist to address new threats and vulnerabilities on an ongoing basis and ensure assets are protected against known attacks.</t>
  </si>
  <si>
    <t xml:space="preserve">Does the organization address new threats and vulnerabilities on an ongoing basis and ensure assets are protected against known attacks?</t>
  </si>
  <si>
    <t xml:space="preserve">E-MNT-03, E-THR-05</t>
  </si>
  <si>
    <t xml:space="preserve">CISA Cross-Sector Cybersecurity Performance Goals; DOE Cybersecurity Capability Maturity Model; CSA IoT Security Controls Framework v2; NIST SP 800-53B R5 - Privacy baseline</t>
  </si>
  <si>
    <t xml:space="preserve">The organization implements and operates mechanisms to address new threats and vulnerabilities on an ongoing basis and ensure assets are protected against known attacks.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</si>
  <si>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sources of new threats and vulnerabilities are defined;
b. Ensuring a time period is defined to seek out new, applicable threats and vulnerabilities;
c. Ensuring a capability exists to respond to new threats and vulnerabilities on an ongoing basis;
d. Ensuring system vulnerabilities are remediated within organization-defined response times;
e. Identifying vulnerabilities in OT and AMI assets through vendor advisories, passive monitoring, configuration review and scanning only where validated as safe; and
f.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</si>
  <si>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continuous vulnerability management platform; Real-time scanning; Automated patching integration; SIEM/SOAR integration.
In-scope requirement alignment: CISA CPG: 1.E | DOE C2M2: THREAT-1d, THREAT-1i, THREAT-2d | CSA IoT SCF: CLS-06, VLN-03 | NIST SP 800-53B Privacy: SC-18(01).
Validation: Annual conformity validation; evidence artifacts E-MNT-03, E-THR-05; PPTDF applicability: Process.</t>
  </si>
  <si>
    <t xml:space="preserve">SC-18(01)</t>
  </si>
  <si>
    <t xml:space="preserve">THREAT-1d, THREAT-1i, THREAT-2d</t>
  </si>
  <si>
    <t xml:space="preserve">CLS-06, VLN-03</t>
  </si>
  <si>
    <t xml:space="preserve">∙ Enterprise continuous vulnerability management platform
∙ Real-time scanning
∙ Automated patching integration
∙ SIEM/SOAR integration</t>
  </si>
  <si>
    <t xml:space="preserve">VPM-04.1</t>
  </si>
  <si>
    <t xml:space="preserve">Stable Versions</t>
  </si>
  <si>
    <t xml:space="preserve">Mechanisms exist to install the latest stable version of any software and/or security-related updates on all applicable systems.</t>
  </si>
  <si>
    <t xml:space="preserve">Does the organization install the latest stable version of any software and/or security-related updates on all applicable systems?</t>
  </si>
  <si>
    <t xml:space="preserve">The organization implements and operates mechanisms to install the latest stable version of any software and/or security-related updates on all applicable systems.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</si>
  <si>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latest stable version of software and/or security-related updates is installed on applicable systems;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</si>
  <si>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software lifecycle management platform; Automated EOL detection (e.g., CSAM, Flexera); Remediation workflows for EOL software.
In-scope requirement alignment: CSA IoT SCF: CLS-06.
Validation: Annual conformity validation; evidence artifacts to be defined; PPTDF applicability: Process.</t>
  </si>
  <si>
    <t xml:space="preserve">CLS-06</t>
  </si>
  <si>
    <t xml:space="preserve">∙ Enterprise software lifecycle management platform
∙ Automated EOL detection (e.g., CSAM, Flexera)
∙ Remediation workflows for EOL software</t>
  </si>
  <si>
    <t xml:space="preserve">VPM-04.3</t>
  </si>
  <si>
    <t xml:space="preserve">Deferred Patching Decisions</t>
  </si>
  <si>
    <t xml:space="preserve">Mechanisms exist to facilitate the deferral of software and/or firmware patches when the disadvantages of applying the patch outweighs the benefits.</t>
  </si>
  <si>
    <t xml:space="preserve">Does the organization facilitate the deferral of software and/or firmware patches when the disadvantages of applying the patch outweighs the benefits?</t>
  </si>
  <si>
    <t xml:space="preserve">The organization implements and operates mechanisms to facilitate the deferral of software and/or firmware patches when the disadvantages of applying the patch outweighs the benefits.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</si>
  <si>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criteria are defined to justify the deferral of software and/or firmware patches;
b. Ensuring the deferral of software and/or firmware patches is facilitated when the disadvantages of applying the patch outweighs the benefits, based on organization-defined criteria;
c. Identifying vulnerabilities in OT and AMI assets through vendor advisories, passive monitoring, configuration review and scanning only where validated as safe; and
d.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</si>
  <si>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patch exception management program; Automated deferred patch tracking and escalation; Compensating control validation for all exceptions; Board-level reporting on material deferred patches.
In-scope requirement alignment: IEC 62443-2-1: COMP 3.5.
Validation: Annual conformity validation; evidence artifacts to be defined; PPTDF applicability: Process.</t>
  </si>
  <si>
    <t xml:space="preserve">∙ Enterprise patch exception management program
∙ Automated deferred patch tracking and escalation
∙ Compensating control validation for all exceptions
∙ Board-level reporting on material deferred patches</t>
  </si>
  <si>
    <t xml:space="preserve">VPM-05</t>
  </si>
  <si>
    <t xml:space="preserve">Software &amp; Firmware Patching</t>
  </si>
  <si>
    <t xml:space="preserve">Mechanisms exist to conduct software patching for all deployed Technology Assets, Applications and/or Services (TAAS), including firmware.</t>
  </si>
  <si>
    <t xml:space="preserve">Does the organization conduct software patching for all deployed Technology Assets, Applications and/or Services (TAAS), including firmware?</t>
  </si>
  <si>
    <t xml:space="preserve">E-MNT-03, E-VPM-10</t>
  </si>
  <si>
    <t xml:space="preserve">NIST SP 800-82 R3 - Moderate OT Overlay; NERC CIP; NIST Cybersecurity Framework 2.0; CSA IoT Security Controls Framework v2; NIST SP 800-161 R1 - C-SCRM Baseline; NIST SP 800-53B R5 - Privacy baseline</t>
  </si>
  <si>
    <t xml:space="preserve">The organization shall apply a risk-based approach to software and firmware patching across enterprise IT, OT and AMI assets, coordinating with manufacturers and system operations so that security updates are tested, staged and deployed without compromising safety or availability, with compensating controls documented where patching is delayed.</t>
  </si>
  <si>
    <t xml:space="preserve">The organization implements and operates mechanisms to conduct software patching for all deployed Technology Assets, Applications and/or Services (TAAS), including firmware.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</si>
  <si>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time period within which to install security-relevant software updates after the release of the updates is defined;
b. Ensuring system flaws are identified;
c. Ensuring automated patch management tools are employed to facilitate flaw remediation to components;
d. Ensuring system flaws are corrected;
e. Ensuring system flaws are reported;
f. Ensuring the time period within which to install security-relevant firmware updates after the release of the updates is defined;
g. Ensuring software updates related to flaw remediation are tested for effectiveness before installation;
h. Ensuring software updates related to flaw remediation are tested for potential side effects before installation;
i. Evaluating manufacturer security updates for OT and AMI assets within risk-based timelines (e.g., assessment within thirty-five (35) days of release) and deploying updates within timelines agreed with OT Engineering and System Operations;
j. Testing firmware and patches in a representative environment, deploying in stages with rollback capability, and coordinating deployment with maintenance windows; and
k. Documenting compensating controls and risk acceptance where updates cannot be applied due to safety, availability or vendor support constraints.</t>
  </si>
  <si>
    <t xml:space="preserve">OT/AMI implementation guidance: Track vulnerabilities against the OT/AMI asset inventory; use ISA-TR62443-2-3 patch management guidance; align with NERC CIP-007 R2 patch management where applicable.
Suggested solutions and considerations (SCF 2026.2, enterprise): ManageEngine Endpoint Central.
In-scope requirement alignment: NIST SP 800-82 R3 (Moderate OT overlay): SI-02, SI-03 | NERC CIP: CIP-007-6 1.3, CIP-007-6 2.3 | NIST CSF 2.0: PR.PS-02 | NIST SP 800-161 R1 C-SCRM: SI-2, SI-3 | CSA IoT SCF: CCM-07, CLS-06, VLN-01 | NIST SP 800-53B Privacy: SI-02, SI-02(04), SI-03.
Validation: Quarterly conformity validation; evidence artifacts E-MNT-03, E-VPM-10; PPTDF applicability: Technology.</t>
  </si>
  <si>
    <t xml:space="preserve">SI-02, SI-02(04), SI-03</t>
  </si>
  <si>
    <t xml:space="preserve">CIP-007-6 1.3, CIP-007-6 2.3</t>
  </si>
  <si>
    <t xml:space="preserve">CCM-07, CLS-06, VLN-01</t>
  </si>
  <si>
    <t xml:space="preserve">∙ ManageEngine Endpoint Central (https://manageengine.com)</t>
  </si>
  <si>
    <t xml:space="preserve">VPM-05.1</t>
  </si>
  <si>
    <t xml:space="preserve">Centralized Management of Flaw Remediation Processes</t>
  </si>
  <si>
    <t xml:space="preserve">Mechanisms exist to centrally-manage the flaw remediation process.</t>
  </si>
  <si>
    <t xml:space="preserve">Does the organization centrally-manage the flaw remediation process?</t>
  </si>
  <si>
    <t xml:space="preserve">The organization implements and operates mechanisms to centrally-manage the flaw remediation process.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</si>
  <si>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Project Management Office (PMO), including OT and AMI program managers, is responsible for:
a. Ensuring cybersecurity / data privacy controls and related processes to be centrally managed are defined;
b. Ensuring controls and related processes are centrally managed;
c. Ensuring the system components requiring automated patch management tools to facilitate flaw remediation are defined;
d. Ensuring automated patch management tools are employed to facilitate flaw remediation to components;
e. Identifying vulnerabilities in OT and AMI assets through vendor advisories, passive monitoring, configuration review and scanning only where validated as safe; and
f.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</si>
  <si>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(e.g., Tenable One, Qualys VMDR); Full asset-vulnerability integration; Automated centralized management.
In-scope requirement alignment: DOE C2M2: THREAT-1l, RISK-2l | CSA IoT SCF: CCM-06, CCM-07, CLS-06, VLN-01, VLN-02 | NIST SP 800-53B Privacy: PL-09, SI-02(04).
Validation: Annual conformity validation; evidence artifacts to be defined; PPTDF applicability: Process.</t>
  </si>
  <si>
    <t xml:space="preserve">PL-09, SI-02(04)</t>
  </si>
  <si>
    <t xml:space="preserve">THREAT-1l, RISK-2l</t>
  </si>
  <si>
    <t xml:space="preserve">CCM-06, CCM-07, CLS-06, VLN-01, VLN-02</t>
  </si>
  <si>
    <t xml:space="preserve">SG.PL Planning; SG.SI Smart Grid Information System and Information Integrity</t>
  </si>
  <si>
    <t xml:space="preserve">∙ Enterprise vulnerability management platform (e.g., Tenable One, Qualys VMDR)
∙ Full asset-vulnerability integration
∙ Automated centralized management</t>
  </si>
  <si>
    <t xml:space="preserve">VPM-05.2</t>
  </si>
  <si>
    <t xml:space="preserve">Automated Remediation Status</t>
  </si>
  <si>
    <t xml:space="preserve">Automated mechanisms exist to determine the state of system components with regard to flaw remediation.</t>
  </si>
  <si>
    <t xml:space="preserve">Does the organization use automated mechanisms to determine the state of system components with regard to flaw remediation?</t>
  </si>
  <si>
    <t xml:space="preserve">The organization implements and operates automated mechanisms to determine the state of system components with regard to flaw remediation.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</si>
  <si>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automated mechanisms to determine if applicable security-relevant software and firmware updates are installed on system components are defined;
b. Ensuring the frequency at which to determine if applicable security-relevant software and firmware updates are installed on system components is defined;
c. Ensuring system components have applicable security-relevant software and firmware updates installed frequency using automated mechanisms;
d. Ensuring the system components requiring automated patch management tools to facilitate flaw remediation are defined;
e. Ensuring automated patch management tools are employed to facilitate flaw remediation to components;
f. Identifying vulnerabilities in OT and AMI assets through vendor advisories, passive monitoring, configuration review and scanning only where validated as safe; and
g.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</si>
  <si>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with automated remediation status tracking and verification.
In-scope requirement alignment: IEC 62443-2-1: COMP 3.3 | NIST SP 800-82 R3 (Moderate OT overlay): SI-02(02) | NIST SP 800-53B Moderate: SI-02(02) | NIST SP 800-53B Privacy: SI-02(04).
Validation: Quarterly conformity validation; evidence artifacts to be defined; PPTDF applicability: Technology.</t>
  </si>
  <si>
    <t xml:space="preserve">COMP 3.3</t>
  </si>
  <si>
    <t xml:space="preserve">SI-02(02), SI-02(04)</t>
  </si>
  <si>
    <t xml:space="preserve">SI-02(02)</t>
  </si>
  <si>
    <t xml:space="preserve">SI-02(04)</t>
  </si>
  <si>
    <t xml:space="preserve">∙ Enterprise vulnerability management with automated remediation status tracking and verification</t>
  </si>
  <si>
    <t xml:space="preserve">VPM-05.3</t>
  </si>
  <si>
    <t xml:space="preserve">Time To Remediate / Benchmarks For Corrective Action</t>
  </si>
  <si>
    <t xml:space="preserve">Mechanisms exist to track the effectiveness of remediation operations through metrics reporting.</t>
  </si>
  <si>
    <t xml:space="preserve">Does the organization track the effectiveness of remediation operations through metrics reporting?</t>
  </si>
  <si>
    <t xml:space="preserve">The organization implements and operates mechanisms to track the effectiveness of remediation operations through metrics reporting.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</si>
  <si>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benchmarks for taking corrective actions are defined;
b. Ensuring the time between flaw identification and flaw remediation is measured;
c. Ensuring benchmarks for taking corrective actions have been established;
d. Identifying vulnerabilities in OT and AMI assets through vendor advisories, passive monitoring, configuration review and scanning only where validated as safe; and
e.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</si>
  <si>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with SLA tracking and reporting (e.g., Tenable.io, Qualys).
In-scope requirement alignment: DOE C2M2: THREAT-1i, RISK-2l.
Validation: Semi-Annual conformity validation; evidence artifacts to be defined; PPTDF applicability: Process.</t>
  </si>
  <si>
    <t xml:space="preserve">SI-02(03)</t>
  </si>
  <si>
    <t xml:space="preserve">THREAT-1i, RISK-2l</t>
  </si>
  <si>
    <t xml:space="preserve">∙ Enterprise vulnerability management platform with SLA tracking and reporting (e.g., Tenable.io, Qualys)</t>
  </si>
  <si>
    <t xml:space="preserve">VPM-05.4</t>
  </si>
  <si>
    <t xml:space="preserve">Automated Software &amp; Firmware Updates</t>
  </si>
  <si>
    <t xml:space="preserve">Automated mechanisms exist to install the latest stable versions of security-relevant software and firmware updates.</t>
  </si>
  <si>
    <t xml:space="preserve">Does the organization use automated mechanisms to install the latest stable versions of security-relevant software and firmware updates?</t>
  </si>
  <si>
    <t xml:space="preserve">The organization implements and operates automated mechanisms to install the latest stable versions of security-relevant software and firmware updates.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</si>
  <si>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system components requiring automated patch management tools to facilitate flaw remediation are defined;
b. Ensuring automated patch management tools are employed to facilitate flaw remediation to components;
c. Ensuring security-relevant software and firmware updates to be automatically installed to system components are defined;
d. Ensuring system components requiring security-relevant software updates to be automatically installed are defined;
e. Ensuring security-relevant software and firmware updates are installed automatically to system components;
f. Identifying vulnerabilities in OT and AMI assets through vendor advisories, passive monitoring, configuration review and scanning only where validated as safe; and
g.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</si>
  <si>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Azure Update Manager; ManageEngine Endpoint Central.
In-scope requirement alignment: CSA IoT SCF: CCM-07, CLS-06, VLN-03 | NIST SP 800-53B Privacy: SI-02(04).
Validation: Quarterly conformity validation; evidence artifacts to be defined; PPTDF applicability: Technology.</t>
  </si>
  <si>
    <t xml:space="preserve">SI-02(04), SI-02(05)</t>
  </si>
  <si>
    <t xml:space="preserve">CCM-07, CLS-06, VLN-03</t>
  </si>
  <si>
    <t xml:space="preserve">∙ Azure Update Manager (https://azure.microsoft.com)
∙ ManageEngine Endpoint Central (https://manageengine.com)</t>
  </si>
  <si>
    <t xml:space="preserve">VPM-05.6</t>
  </si>
  <si>
    <t xml:space="preserve">Pre-Deployment Patch Testing</t>
  </si>
  <si>
    <t xml:space="preserve">Mechanisms exist to perform due diligence on software and/or firmware update stability by conducting pre-production testing in a non-production environment.</t>
  </si>
  <si>
    <t xml:space="preserve">Does the organization perform due diligence on software and/or firmware update stability by conducting pre-production testing in a non-production environment?</t>
  </si>
  <si>
    <t xml:space="preserve">The organization implements and operates mechanisms to perform due diligence on software and/or firmware update stability by conducting pre-production testing in a non-production environment.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</si>
  <si>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a process to conduct reasonable testing of software and/or firmware patching in a non-production environment, prior to production release, is defined;
b. Ensuring prior to production release, the organization performs reasonable testing of software and/or firmware patching in a non-production environment;
c. Identifying vulnerabilities in OT and AMI assets through vendor advisories, passive monitoring, configuration review and scanning only where validated as safe; and
d.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</si>
  <si>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patch management platform (e.g., Microsoft SCCM, Tanium); Automated pre-production testing; Pilot group deployment.
In-scope requirement alignment: IEC 62443-2-1: COMP 3.2, COMP 3.4.
Validation: Annual conformity validation; evidence artifacts to be defined; PPTDF applicability: Process.</t>
  </si>
  <si>
    <t xml:space="preserve">COMP 3.2, COMP 3.4</t>
  </si>
  <si>
    <t xml:space="preserve">∙ Enterprise patch management platform (e.g., Microsoft SCCM, Tanium)
∙ Automated pre-production testing
∙ Pilot group deployment</t>
  </si>
  <si>
    <t xml:space="preserve">VPM-05.8</t>
  </si>
  <si>
    <t xml:space="preserve">Software Patch Integrity</t>
  </si>
  <si>
    <t xml:space="preserve">Mechanisms exist to ensure software and/or firmware patches are:
(1) Obtained from trusted sources; and 
(2) Checked for integrity.</t>
  </si>
  <si>
    <t xml:space="preserve">Does the organization ensure software and/or firmware patches are:
(1) Obtained from trusted sources; and 
(2) Checked for integrity?</t>
  </si>
  <si>
    <t xml:space="preserve">The organization implements and operates mechanisms to ensure software and/or firmware patches are: (1) Obtained from trusted sources; and (2) Checked for integrity.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</si>
  <si>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software and/or firmware patches are obtained from trusted sources;
b. Ensuring software and/or firmware patches are checked for integrity;
c. Identifying vulnerabilities in OT and AMI assets through vendor advisories, passive monitoring, configuration review and scanning only where validated as safe; and
d.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</si>
  <si>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patch management with automated integrity verification (e.g., SCCM, Tanium); Cryptographic signature enforcement.
In-scope requirement alignment: IEC 62443-2-1: COMP 3.1.
Validation: Annual conformity validation; evidence artifacts to be defined; PPTDF applicability: Technology.</t>
  </si>
  <si>
    <t xml:space="preserve">COMP 3.1</t>
  </si>
  <si>
    <t xml:space="preserve">∙ Enterprise patch management with automated integrity verification (e.g., SCCM, Tanium)
∙ Cryptographic signature enforcement</t>
  </si>
  <si>
    <t xml:space="preserve">VPM-06</t>
  </si>
  <si>
    <t xml:space="preserve">Vulnerability Scanning</t>
  </si>
  <si>
    <t xml:space="preserve">Mechanisms exist to detect vulnerabilities and configuration errors by routine vulnerability scanning of systems and applications.</t>
  </si>
  <si>
    <t xml:space="preserve">Does the organization detect vulnerabilities and configuration errors by routine vulnerability scanning of systems and applications?</t>
  </si>
  <si>
    <t xml:space="preserve">E-VPM-05, E-VPM-11</t>
  </si>
  <si>
    <t xml:space="preserve">IEC 62443-2-1:2024; NIST SP 800-82 R3 - Moderate OT Overlay; NERC CIP; NIST Cybersecurity Framework 2.0; DOE Cybersecurity Capability Maturity Model; CSA IoT Security Controls Framework v2; NIST SP 800-161 R1 - C-SCRM Baseline; NIST SP 800-53B R5 - Privacy baseline; ANSI/ISA-62443-3-2:2020</t>
  </si>
  <si>
    <t xml:space="preserve">The organization implements and operates mechanisms to detect vulnerabilities and configuration errors by routine vulnerability scanning of systems and applications.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</si>
  <si>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the frequency at which the system is scanned for vulnerabilities is defined;
b. Ensuring response times to remediate legitimate vulnerabilities in accordance with an organizational assessment of risk are defined;
c. Ensuring personnel or roles with whom information obtained from the vulnerability scanning process and control assessments are to be shared;
d. Ensuring vulnerability scan reports and results from vulnerability monitoring are analyzed;
e. Ensuring systems and hosted applications are scanned for vulnerabilities frequently and/or randomly in accordance with organization-defined process and when new vulnerabilities potentially affecting the system are identified and reported;
f. Ensuring vulnerability monitoring tools and techniques are employed to facilitate interoperability among tools;
g. Ensuring vulnerability monitoring tools and techniques are employed to automate parts of the vulnerability management process by using standards for enumerating platforms, software flaws and improper configurations;
h. Ensuring vulnerability monitoring tools and techniques are employed to facilitate interoperability among tools and to automate parts of the vulnerability management process by using standards for formatting checklists and test procedures; and
i. Using operationally safe vulnerability identification methods (vendor advisories, passive monitoring, configuration review, offline analysis) for OT and AMI assets and performing active scanning only where validated as safe and approved by OT Engineering.</t>
  </si>
  <si>
    <t xml:space="preserve">OT/AMI implementation guidance: Track vulnerabilities against the OT/AMI asset inventory; use ISA-TR62443-2-3 patch management guidance; align with NERC CIP-007 R2 patch management where applicable.
Suggested solutions and considerations (SCF 2026.2, enterprise): External vulnerability scans (unauthenticated); Internal vulnerability scans (authenticated); Nessus; Qualys; Rapid7.
In-scope requirement alignment: IEC 62443-2-1: ORG 2.2(c) | NIST SP 800-82 R3 (Moderate OT overlay): RA-05 | NERC CIP: CIP-010-4 3.1, CIP-010-4 3.2.1, CIP-010-4 3.2.2, CIP-010-4 3.3, CIP-010-4 3.4 | DOE C2M2: THREAT-1c, THREAT-1f, THREAT-1k | NIST CSF 2.0: ID.RA-01 | NIST SP 800-161 R1 C-SCRM: RA-5 | CSA IoT SCF: VLN-04 | NIST SP 800-53B Privacy: RA-05 | ISA/IEC 62443-3-2: ZCR 5.2.
Validation: Semi-Annual conformity validation; evidence artifacts E-VPM-05, E-VPM-11; PPTDF applicability: Process.</t>
  </si>
  <si>
    <t xml:space="preserve">ORG 2.2(c)</t>
  </si>
  <si>
    <t xml:space="preserve">RA-05</t>
  </si>
  <si>
    <t xml:space="preserve">CIP-010-4 3.1, CIP-010-4 3.2.1, CIP-010-4 3.2.2, CIP-010-4 3.3, CIP-010-4 3.4</t>
  </si>
  <si>
    <t xml:space="preserve">THREAT-1c, THREAT-1f, THREAT-1k</t>
  </si>
  <si>
    <t xml:space="preserve">RA-5</t>
  </si>
  <si>
    <t xml:space="preserve">∙ External vulnerability scans (unauthenticated)
∙ Internal vulnerability scans (authenticated)
∙ Nessus (https://tenable.com)
∙ Qualys (https://qualys.com)
∙ Rapid7 (https://rapid7.com)</t>
  </si>
  <si>
    <t xml:space="preserve">VPM-06.1</t>
  </si>
  <si>
    <t xml:space="preserve">Update Tool Capability</t>
  </si>
  <si>
    <t xml:space="preserve">Mechanisms exist to update vulnerability scanning tools.</t>
  </si>
  <si>
    <t xml:space="preserve">Does the organization update vulnerability scanning tools?</t>
  </si>
  <si>
    <t xml:space="preserve">The organization implements and operates mechanisms to update vulnerability scanning tools.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</si>
  <si>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frequency at which to update system vulnerabilities to be scanned is defined;
b. Ensuring system vulnerabilities to be scanned are updated per an organization-defined frequency;
c. Ensuring system vulnerabilities to be scanned are updated when new vulnerabilities are identified and reported;
d. Identifying vulnerabilities in OT and AMI assets through vendor advisories, passive monitoring, configuration review and scanning only where validated as safe; and
e.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</si>
  <si>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with automated scanner updates (e.g., Tenable, Qualys).
In-scope requirement alignment: NIST SP 800-82 R3 (Moderate OT overlay): RA-05, RA-05(02) | DOE C2M2: THREAT-1a, THREAT-1e | NIST SP 800-161 R1 C-SCRM: RA-5 | NIST SP 800-53B Privacy: RA-05.
Validation: Annual conformity validation; evidence artifacts to be defined; PPTDF applicability: Technology.</t>
  </si>
  <si>
    <t xml:space="preserve">RA-05, RA-05(02)</t>
  </si>
  <si>
    <t xml:space="preserve">THREAT-1a, THREAT-1e</t>
  </si>
  <si>
    <t xml:space="preserve">∙ Enterprise vulnerability management platform with automated scanner updates (e.g., Tenable, Qualys)</t>
  </si>
  <si>
    <t xml:space="preserve">VPM-06.2</t>
  </si>
  <si>
    <t xml:space="preserve">Breadth / Depth of Coverage</t>
  </si>
  <si>
    <t xml:space="preserve">Mechanisms exist to identify the breadth and depth of coverage for vulnerability scanning that define the system components scanned and types of vulnerabilities that are checked for.</t>
  </si>
  <si>
    <t xml:space="preserve">Does the organization identify the breadth and depth of coverage for vulnerability scanning that define the system components scanned and types of vulnerabilities that are checked for?</t>
  </si>
  <si>
    <t xml:space="preserve">The organization implements and operates mechanisms to identify the breadth and depth of coverage for vulnerability scanning that define the system components scanned and types of vulnerabilities that are checked for.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</si>
  <si>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Information Risk Manager, in coordination with OT Engineering, is responsible for:
a. Ensuring the breadth and depth of vulnerability scanning coverage are defined;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</si>
  <si>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with comprehensive asset discovery and scanning (e.g., Tenable One).
In-scope requirement alignment: DOE C2M2: THREAT-1e | CSA IoT SCF: VLN-04 | ISA/IEC 62443-3-2: ZCR 5.2.
Validation: Annual conformity validation; evidence artifacts to be defined; PPTDF applicability: Process.</t>
  </si>
  <si>
    <t xml:space="preserve">RA-05(03)</t>
  </si>
  <si>
    <t xml:space="preserve">∙ Enterprise vulnerability management with comprehensive asset discovery and scanning (e.g., Tenable One)</t>
  </si>
  <si>
    <t xml:space="preserve">VPM-06.3</t>
  </si>
  <si>
    <t xml:space="preserve">Privileged Access</t>
  </si>
  <si>
    <t xml:space="preserve">Mechanisms exist to implement privileged access authorization for selected vulnerability scanning activities.</t>
  </si>
  <si>
    <t xml:space="preserve">Does the organization implement privileged access authorization for selected vulnerability scanning activities?</t>
  </si>
  <si>
    <t xml:space="preserve">The organization implements and operates mechanisms to implement privileged access authorization for selected vulnerability scanning activities.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</si>
  <si>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teams (asset custodians) are responsible for:
a. Ensuring system components to which privileged access is authorized for selected vulnerability scanning activities are defined;
b. Ensuring vulnerability scanning activities selected for privileged access authorization to system components are defined;
c. Ensuring privileged access authorization is implemented to system components for vulnerability scanning activities;
d. Identifying vulnerabilities in OT and AMI assets through vendor advisories, passive monitoring, configuration review and scanning only where validated as safe; and
e.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</si>
  <si>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with PAM-integrated credentialed scanning (e.g., Tenable + CyberArk).
In-scope requirement alignment: NIST SP 800-82 R3 (Moderate OT overlay): RA-05(05) | NIST SP 800-53B Moderate: RA-05(05).
Validation: Semi-Annual conformity validation; evidence artifacts to be defined; PPTDF applicability: Technology.</t>
  </si>
  <si>
    <t xml:space="preserve">RA-05(05)</t>
  </si>
  <si>
    <t xml:space="preserve">∙ Enterprise vulnerability management with PAM-integrated credentialed scanning (e.g., Tenable + CyberArk)</t>
  </si>
  <si>
    <t xml:space="preserve">VPM-06.7</t>
  </si>
  <si>
    <t xml:space="preserve">Internal Vulnerability Assessment Scans</t>
  </si>
  <si>
    <t xml:space="preserve">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</si>
  <si>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 xml:space="preserve">Does the organization perform quarterly internal vulnerability scans, which includes all segments of its internal network, as well as rescans until passing results are obtained or all “high” vulnerabilities are resolved, as defined by the Common Vulnerability Scoring System (CVSS)?</t>
  </si>
  <si>
    <t xml:space="preserve">E-VPM-05</t>
  </si>
  <si>
    <t xml:space="preserve">The organization implements and operates mechanisms to perform quarterly internal vulnerability scans, which includes all segments of the organization's internal network, as well as rescans until passing results are obtained or all “high” vulnerabilities are resolved, as defined by the Common Vulnerability Scoring System (CVSS).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</si>
  <si>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for Payment Card Industry Data Security Standard (PCI DSS) compliance, quarterly internal vulnerability scans, which includes all segments of the organization's internal network, are performed until passing results are obtained or all “high” vulnerabilities are resolved, as defined by the Common Vulnerability Scoring System (CVSS);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</si>
  <si>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Nessus; Qualys; Rapid7.
In-scope requirement alignment: ISA/IEC 62443-3-2: ZCR 5.2.
Validation: Semi-Annual conformity validation; evidence artifacts E-VPM-05; PPTDF applicability: Technology.</t>
  </si>
  <si>
    <t xml:space="preserve">∙ Nessus (https://tenable.com)
∙ Qualys (https://qualys.com)
∙ Rapid7 (https://rapid7.com)</t>
  </si>
  <si>
    <t xml:space="preserve">VPM-07</t>
  </si>
  <si>
    <t xml:space="preserve">Penetration Testing</t>
  </si>
  <si>
    <t xml:space="preserve">Mechanisms exist to conduct penetration testing on Technology Assets, Applications and/or Services (TAAS).</t>
  </si>
  <si>
    <t xml:space="preserve">Does the organization conduct penetration testing on Technology Assets, Applications and/or Services (TAAS)?</t>
  </si>
  <si>
    <t xml:space="preserve">E-VPM-02, E-VPM-03</t>
  </si>
  <si>
    <t xml:space="preserve">The organization implements and operates mechanisms to conduct penetration testing on Technology Assets, Applications and/or Services (TAAS).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</si>
  <si>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the breadth of penetration testing is defined;
b. Ensuring the depth of penetration testing is defined;
c. Ensuring constraints of penetration testing are defined;
d. Ensuring automated scanning tools are identified;
e. Ensuring ad hoc tests using subject matter experts are identified;
f. Ensuring penetration testing is conducted frequently leveraging automated scanning tools and ad hoc tests using subject matter experts;
g. Ensuring frequency at which to conduct penetration testing on systems or system components is defined;
h. Ensuring penetration testing is conducted organization-defined frequency on organization-defined system(s) or system components;
i. Identifying vulnerabilities in OT and AMI assets through vendor advisories, passive monitoring, configuration review and scanning only where validated as safe; and
j.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</si>
  <si>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penetration testing program; Annual and event-driven pen tests; Red team exercises; Purple teaming.
In-scope requirement alignment: CISA CPG: 1.F | CSA IoT SCF: SET-02, SET-04 | NIST SP 800-53B Privacy: SA-11(05).
Validation: Annual conformity validation; evidence artifacts E-VPM-02, E-VPM-03; PPTDF applicability: Technology.</t>
  </si>
  <si>
    <t xml:space="preserve">CA-08, SA-11(05)</t>
  </si>
  <si>
    <t xml:space="preserve">SET-02, SET-04</t>
  </si>
  <si>
    <t xml:space="preserve">∙ Enterprise penetration testing program
∙ Annual and event-driven pen tests
∙ Red team exercises
∙ Purple teaming</t>
  </si>
  <si>
    <t xml:space="preserve">VPM-07.1</t>
  </si>
  <si>
    <t xml:space="preserve">Independent Penetration Agent or Team</t>
  </si>
  <si>
    <t xml:space="preserve">Mechanisms exist to utilize an independent assessor or penetration team to perform penetration testing.</t>
  </si>
  <si>
    <t xml:space="preserve">Does the organization utilize an independent assessor or penetration team to perform penetration testing?</t>
  </si>
  <si>
    <t xml:space="preserve">E-VPM-04</t>
  </si>
  <si>
    <t xml:space="preserve">The organization implements and operates mechanisms to utilize an independent assessor or penetration team to perform penetration testing.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</si>
  <si>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an independent penetration testing agent or team is employed to perform penetration testing on the system or system components;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</si>
  <si>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independent pen testing program; Qualified third-party pen test teams; Annual and ad-hoc testing; Full red team exercises.
In-scope requirement alignment: CSA IoT SCF: SET-02, SET-03, SET-04.
Validation: Annual conformity validation; evidence artifacts E-VPM-04; PPTDF applicability: Process.</t>
  </si>
  <si>
    <t xml:space="preserve">CA-08(01)</t>
  </si>
  <si>
    <t xml:space="preserve">SET-02, SET-03, SET-04</t>
  </si>
  <si>
    <t xml:space="preserve">∙ Enterprise independent pen testing program
∙ Qualified third-party pen test teams
∙ Annual and ad-hoc testing
∙ Full red team exercises</t>
  </si>
  <si>
    <t xml:space="preserve">VPM-08</t>
  </si>
  <si>
    <t xml:space="preserve">Technical Surveillance Countermeasures Security</t>
  </si>
  <si>
    <t xml:space="preserve">Mechanisms exist to utilize a technical surveillance countermeasures survey.</t>
  </si>
  <si>
    <t xml:space="preserve">Does the organization utilize a technical surveillance countermeasures survey?</t>
  </si>
  <si>
    <t xml:space="preserve">The organization implements and operates mechanisms to utilize a technical surveillance countermeasures survey.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</si>
  <si>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locations to employ technical surveillance countermeasure surveys are defined;
b. Ensuring the frequency at which to employ technical surveillance countermeasure surveys is defined;
c. Ensuring events or indicators which, if they occur, trigger a technical surveillance countermeasures survey are defined;
d. Ensuring a technical surveillance countermeasures survey is employed at locations per organization-defined criteria;
e. Identifying vulnerabilities in OT and AMI assets through vendor advisories, passive monitoring, configuration review and scanning only where validated as safe; and
f.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</si>
  <si>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Facility sweeping for "bugs" or other unauthorized surveillance technologies.
In-scope requirement alignment: CSA IoT SCF: SWS-06.
Validation: Annual conformity validation; evidence artifacts to be defined; PPTDF applicability: Process.</t>
  </si>
  <si>
    <t xml:space="preserve">RA-06</t>
  </si>
  <si>
    <t xml:space="preserve">∙ Facility sweeping for "bugs" or other unauthorized surveillance technologies.</t>
  </si>
  <si>
    <t xml:space="preserve">VPM-10</t>
  </si>
  <si>
    <t xml:space="preserve">Red Team Exercises</t>
  </si>
  <si>
    <t xml:space="preserve">Mechanisms exist to utilize "red team" exercises to simulate attempts by adversaries to compromise Technology Assets, Applications and/or Services (TAAS) in accordance with organization-defined rules of engagement.</t>
  </si>
  <si>
    <t xml:space="preserve">Does the organization utilize "red team" exercises to simulate attempts by adversaries to compromise Technology Assets, Applications and/or Services (TAAS) in accordance with organization-defined rules of engagement?</t>
  </si>
  <si>
    <t xml:space="preserve">The organization implements and operates mechanisms to utilize "red team" exercises to simulate attempts by adversaries to compromise Technology Assets, Applications and/or Services (TAAS) in accordance with organization-defined rules of engagement.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</si>
  <si>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red team exercises to simulate attempts by adversaries to compromise organizational systems are defined;
b. Ensuring organization-defined red team exercises are employed to simulate attempts by adversaries to compromise organizational systems in accordance with applicable rules of engagement;
c. Identifying vulnerabilities in OT and AMI assets through vendor advisories, passive monitoring, configuration review and scanning only where validated as safe; and
d.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</si>
  <si>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"red team" exercises.
In-scope requirement alignment: CSA IoT SCF: SET-03.
Validation: Annual conformity validation; evidence artifacts to be defined; PPTDF applicability: Process.</t>
  </si>
  <si>
    <t xml:space="preserve">CA-08(02)</t>
  </si>
  <si>
    <t xml:space="preserve">SET-03</t>
  </si>
  <si>
    <t xml:space="preserve">∙ "red team" exercises</t>
  </si>
  <si>
    <t xml:space="preserve">Family</t>
  </si>
  <si>
    <t xml:space="preserve">Controls in Baseline</t>
  </si>
  <si>
    <t xml:space="preserve">SCF Principle</t>
  </si>
  <si>
    <t xml:space="preserve">OT/AMI Objective Extension</t>
  </si>
  <si>
    <t xml:space="preserve">OT/AMI Standard Requirements (appended)</t>
  </si>
  <si>
    <t xml:space="preserve">OT/AMI Implementation Guidance</t>
  </si>
  <si>
    <t xml:space="preserve">Manage Technology Assets, Applications and Services (TAAS) throughout their lifecycle to maintain visibility, accountability, authorization and protection.</t>
  </si>
  <si>
    <t xml:space="preserve">Within the OT and AMI environment, this objective applies to OT and AMI assets, including field devices that cannot be actively scanned, and supports the definition of the System Under Consideration (SUC), zones and conduits required by ISA/IEC 62443-3-2.</t>
  </si>
  <si>
    <t xml:space="preserve">- Maintaining an OT and AMI asset inventory that records device type, firmware version, physical location, zone and conduit assignment, criticality and the accountable owner
- Using passive discovery, head-end system records and field work-order data to maintain inventory accuracy for devices that cannot be actively scanned
- Reconciling the OT and AMI inventory with the enterprise CMDB and the AMI head-end at a defined frequency (at least quarterly)</t>
  </si>
  <si>
    <t xml:space="preserve">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t>
  </si>
  <si>
    <t xml:space="preserve">Maintain resilient capabilities to sustain business-critical functions and recover from disruptions through documented, tested and maintained continuity and recovery processes.</t>
  </si>
  <si>
    <t xml:space="preserve">Within the OT and AMI environment, this objective prioritizes the availability and safe operation of OT and AMI services, including manual or degraded-mode operations when head-end, communications or control systems are unavailable.</t>
  </si>
  <si>
    <t xml:space="preserve">- Documenting manual and degraded-mode operating procedures for metering, control and field operations when OT or AMI systems are unavailable
- Maintaining recovery capabilities for AMI head-end, meter data management, SCADA/DMS and supporting telecommunications that meet documented recovery time and recovery point objectives
- Exercising OT and AMI recovery scenarios, including ransomware and loss of communications, with system operations and field personnel at least annually</t>
  </si>
  <si>
    <t xml:space="preserve">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t>
  </si>
  <si>
    <t xml:space="preserve">Govern current and future capacity and performance requirements for Technology Assets, Applications, Services and Data (TAASD) to sustain reliable operations.</t>
  </si>
  <si>
    <t xml:space="preserve">Within the OT and AMI environment, this objective covers AMI head-end, meter data management, backhaul and control system capacity so that read success rates, control message latency and storm-mode operations are sustained.</t>
  </si>
  <si>
    <t xml:space="preserve">- Monitoring AMI read success rates, backhaul utilization and head-end performance against defined thresholds
- Planning capacity for storm restoration, mass outage notification and firmware campaign loads</t>
  </si>
  <si>
    <t xml:space="preserve">Define performance thresholds for AMI data collection and control traffic; implement resource prioritization for control and safety traffic over informational traffic; align to IEC 62443-3-3 SR 7.1/7.2 resource availability requirements.</t>
  </si>
  <si>
    <t xml:space="preserve">Establish and enforce secure configuration baselines that implement least privilege and least functionality for Technology Assets, Applications and Services (TAAS) to support a defensible secure configuration posture.</t>
  </si>
  <si>
    <t xml:space="preserve">Within the OT and AMI environment, this objective establishes vendor-validated, least-functionality baselines for OT and AMI components and controls deviations through OT change management.</t>
  </si>
  <si>
    <t xml:space="preserve">- Developing and maintaining secure configuration baselines for OT and AMI asset classes (head-end, HMI, engineering workstation, network device, RTU/PLC, collector, meter) that are validated with the manufacturer and OT Engineering
- Disabling unused ports, protocols, services, optical/diagnostic interfaces and default accounts on OT and AMI components where technically feasible and safe
- Detecting and responding to unauthorized configuration changes on OT and AMI components through integrity monitoring or periodic baseline comparison</t>
  </si>
  <si>
    <t xml:space="preserve">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t>
  </si>
  <si>
    <t xml:space="preserve">Manage changes to Technology Assets, Applications, Services and Data (TAASD) through an authorized, risk-based process that evaluates, implements and validates changes before and after deployment.</t>
  </si>
  <si>
    <t xml:space="preserve">Within the OT and AMI environment, this objective requires change control for OT and AMI changes, including firmware campaigns, controller logic, head-end configuration and zone or conduit changes, with explicit evaluation of safety and reliability impact.</t>
  </si>
  <si>
    <t xml:space="preserve">- Requiring OT Engineering and System Operations approval for changes that affect OT or AMI assets, zones or conduits
- Testing OT and AMI changes in a representative non-production environment and defining rollback procedures before deployment
- Scheduling OT and AMI changes within approved maintenance windows and coordinating with operational and regulatory requirements</t>
  </si>
  <si>
    <t xml:space="preserve">Establish an OT Change Control Board (or OT representation on the enterprise CAB). Treat meter firmware campaigns as controlled changes with phased rollout and rollback. Align with IEC 62443-2-1 CM requirements and NERC CIP-010 configuration change management where applicable.</t>
  </si>
  <si>
    <t xml:space="preserve">Govern cloud services and environments through risk-based, cloud-native security, compliance and resilience practices aligned with shared responsibility obligations.</t>
  </si>
  <si>
    <t xml:space="preserve">Within the OT and AMI environment, this objective governs hosted AMI head-end, meter data management and analytics services and the connectivity between those services and on-premise OT networks.</t>
  </si>
  <si>
    <t xml:space="preserve">- Documenting the shared responsibility model for hosted AMI and OT support services
- Restricting connectivity between hosted services and OT networks to defined, monitored conduits</t>
  </si>
  <si>
    <t xml:space="preserve">Require contractual security, availability and data-location commitments from hosted HES/MDM providers; route hosted-service connectivity through the OT DMZ; align to CSA IoT and NIST SP 800-161 requirements for cloud-backed field devices.</t>
  </si>
  <si>
    <t xml:space="preserve">Govern security, compliance and data protection obligations to maintain defensible evidence of conformity with applicable internal and external requirements.</t>
  </si>
  <si>
    <t xml:space="preserve">Within the OT and AMI environment, this objective includes OT and AMI regulatory obligations and the ability to evidence conformity for regulators, auditors and customers.</t>
  </si>
  <si>
    <t xml:space="preserve">- Maintaining a compliance obligations register that identifies OT and AMI regulatory, contractual and customer-privacy requirements and the controls that satisfy them
- Including OT and AMI systems in the scope of compliance assessments and audits</t>
  </si>
  <si>
    <t xml:space="preserve">Map obligations to the control baseline (this Rosetta Stone) and maintain a Statement of Applicability. Include ISA/IEC 62443-3-2 ZCR 6.9 regulatory requirements in the Cyber Security Requirements Specification for each system under consideration.</t>
  </si>
  <si>
    <t xml:space="preserve">Use appropriate cryptographic mechanisms and industry-recognized key management practices to protect sensitive and regulated data at rest and in transit.</t>
  </si>
  <si>
    <t xml:space="preserve">Within the OT and AMI environment, this objective protects AMI and OT communications and stored data, and governs the lifecycle of meter keys, device certificates and firmware signing keys.</t>
  </si>
  <si>
    <t xml:space="preserve">- Managing AMI meter keys, device certificates and firmware signing keys through a documented key management lifecycle (generation, distribution, storage, rotation, revocation and destruction) with separation of duties
- Using approved algorithms and validated cryptographic modules for AMI head-end, backhaul and field communications where technically feasible, with documented compensating controls where legacy protocols cannot be encrypted
- Protecting cryptographic material in hardware security modules or equivalent protected storage and restricting access to authorized personnel and systems</t>
  </si>
  <si>
    <t xml:space="preserve">Maintain a cryptographic inventory for AMI and OT (algorithms, key lengths, certificate authorities, expiry). Plan for crypto-agility and post-quantum migration of long-lived field devices. Align with IEC 62443-3-3 SR 4.x and SR 3.1 and IEC 62443-4-2 CR 4.x requirements.</t>
  </si>
  <si>
    <t xml:space="preserve">Enforce a standardized classification methodology to determine data sensitivity and support Technology Assets, Applications and Services (TAAS) criticality decisions, enabling appropriate data handling, protection, retention and disposal requirements.</t>
  </si>
  <si>
    <t xml:space="preserve">Within the OT and AMI environment, this objective covers meter data, customer energy usage data, OT configurations and engineering documentation, and controls removable media and portable devices used with OT and AMI assets.</t>
  </si>
  <si>
    <t xml:space="preserve">- Classifying Customer Energy Usage Data, meter data, OT configurations, cryptographic material and network/zone diagrams and applying handling requirements accordingly
- Controlling the use of removable media and portable devices with OT and AMI assets, including scanning, authorization and tracking</t>
  </si>
  <si>
    <t xml:space="preserve">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t>
  </si>
  <si>
    <t xml:space="preserve">Apply risk-based security, compliance and resilience practices to embedded technologies where compromise or misuse could create operational, safety and/or data protection impacts.</t>
  </si>
  <si>
    <t xml:space="preserve">Within the OT and AMI environment, this objective applies directly to AMI meters, collectors, gateways and OT field devices, including their physical interfaces, firmware, communications and safety functions.</t>
  </si>
  <si>
    <t xml:space="preserve">- Requiring AMI and OT device suppliers to meet IEC 62443-4-2 component requirements and IEC 62443-4-1 secure development practices appropriate to the target security level
- Protecting physical diagnostic, optical and test interfaces on meters and field devices against unauthorized use and generating alerts for tamper or interface access events
- Delivering firmware and configuration updates to embedded devices only through authenticated, integrity-protected channels with staged rollout and rollback capability</t>
  </si>
  <si>
    <t xml:space="preserve">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t>
  </si>
  <si>
    <t xml:space="preserve">Harden and centrally manage endpoint devices to protect Technology Assets, Applications, Services and Data (TAASD) from unauthorized access, compromise and disruption.</t>
  </si>
  <si>
    <t xml:space="preserve">Within the OT and AMI environment, this objective hardens OT endpoints such as HMIs, engineering workstations, historians and head-end servers using manufacturer-validated protections (e.g., application allow-listing) that do not impair control functions.</t>
  </si>
  <si>
    <t xml:space="preserve">- Deploying manufacturer-validated endpoint protection (e.g., application allow-listing, anti-malware with controlled updates, file integrity monitoring) on OT servers, HMIs, engineering workstations and head-end hosts
- Restricting the use of USB and other input/output ports on OT endpoints to authorized, controlled use cases</t>
  </si>
  <si>
    <t xml:space="preserve">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t>
  </si>
  <si>
    <t xml:space="preserve">Govern the organization’s Security, Compliance &amp; Resilience Program (SCRP) through accountable oversight, evidence-based decision-making and defensible evidence that the organization is secure, compliant and resilient.</t>
  </si>
  <si>
    <t xml:space="preserve">Within the OT and AMI environment, this objective extends program governance to the OT and AMI environments so that IT, OT and field operations operate under one accountable program with shared policies, standards and reporting.</t>
  </si>
  <si>
    <t xml:space="preserve">- Designating an executive sponsor and an OT Security Lead with documented authority over OT and AMI cyber risk decisions
- Integrating IEC 62443-2-1 security program requirements and applicable regulatory obligations (e.g., NERC CIP, state utility commission requirements) into program charters, policies and reporting
- Reporting OT and AMI program status, material risks and key risk indicators to the governing body at least annually</t>
  </si>
  <si>
    <t xml:space="preserve">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t>
  </si>
  <si>
    <t xml:space="preserve">Execute security-informed personnel management practices that address screening, onboarding, acceptable behavior, role-based risk, competence and offboarding requirements.</t>
  </si>
  <si>
    <t xml:space="preserve">Within the OT and AMI environment, this objective extends personnel security to employees, contractors and vendor personnel with logical or physical access to OT and AMI assets, including field crews and meter technicians.</t>
  </si>
  <si>
    <t xml:space="preserve">- Applying risk-based personnel screening and access agreements to personnel, contractors and vendors with access to OT and AMI assets
- Promptly revoking logical and physical OT and AMI access, and recovering devices, keys and credentials, upon transfer or termination</t>
  </si>
  <si>
    <t xml:space="preserve">Include OT and AMI roles in position risk categorization. Coordinate HR, contractor management and OT access administration for timely access changes. Align with NERC CIP-004 personnel and training requirements where applicable.</t>
  </si>
  <si>
    <t xml:space="preserve">Implement secure, compliant and resilient Identity and Access Management (IAM) capabilities that enforce least privilege across human users, devices, service accounts and other Non-Person Entities (NPEs).</t>
  </si>
  <si>
    <t xml:space="preserve">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</si>
  <si>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 Managing OT and AMI accounts (operator, engineering, service, device and vendor accounts) through a documented lifecycle with unique identification where technically feasible and documented compensating controls where shared accounts are required for safe operation
- Enforcing multi-factor authentication for all remote access to OT and AMI environments and for privileged access to head-end and control system functions
- Reviewing OT and AMI access rights, including vendor and emergency accounts, at least semi-annually and upon role change</t>
  </si>
  <si>
    <t xml:space="preserve">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t>
  </si>
  <si>
    <t xml:space="preserve">Execute Information Assurance (IA) practices to validate that expected security, compliance and resilience controls are appropriately designed and operating as intended for Technology Assets, Applications and Services (TAAS).</t>
  </si>
  <si>
    <t xml:space="preserve">Within the OT and AMI environment, this objective validates OT and AMI controls using operationally safe assessment methods and supports authorization decisions for zones, conduits and systems under consideration.</t>
  </si>
  <si>
    <t xml:space="preserve">- Documenting assessment boundaries that reflect OT and AMI zones, conduits and systems under consideration
- Using operationally safe assessment methods (e.g., configuration review, passive analysis, testing in representative environments) for OT and AMI assets</t>
  </si>
  <si>
    <t xml:space="preserve">Maintain System Security Plans that document zone/conduit characteristics, operating environment assumptions and applied controls (ISA/IEC 62443-3-2 ZCR 6). Use independent assessors for high-criticality OT systems.</t>
  </si>
  <si>
    <t xml:space="preserve">Maintain a tested incident response capability that enables trained responders to identify, analyze, contain, eradicate and recover from incidents according to documented Incident Response Plans (IRPs).</t>
  </si>
  <si>
    <t xml:space="preserve">Within the OT and AMI environment, this objective integrates OT and AMI responders, system operations and vendors into incident handling and addresses OT-specific scenarios while preserving safety and service continuity.</t>
  </si>
  <si>
    <t xml:space="preserve">- Maintaining OT and AMI incident response playbooks (e.g., unauthorized control or disconnect commands, head-end compromise, firmware tampering, loss of communications) that define safe containment actions and operational coordination
- Defining regulatory and sector reporting obligations and timelines for OT and AMI incidents (e.g., NERC CIP-008, CISA, state utility commission) and the roles responsible for reporting
- Exercising OT and AMI incident scenarios with system operations, field operations and key vendors at least annually</t>
  </si>
  <si>
    <t xml:space="preserve">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t>
  </si>
  <si>
    <t xml:space="preserve">Govern mobile device access to Technology Assets, Applications, Services and Data (TAASD) to reduce attack surface and data exposure.</t>
  </si>
  <si>
    <t xml:space="preserve">Within the OT and AMI environment, this objective covers handheld meter programming devices, field tablets and in-vehicle computers that interact with meters, collectors and OT systems.</t>
  </si>
  <si>
    <t xml:space="preserve">- Centrally managing and encrypting mobile devices that interact with OT and AMI assets, with remote-wipe capability
- Restricting mobile devices used for OT and AMI functions to authorized applications and connections</t>
  </si>
  <si>
    <t xml:space="preserve">Enroll field devices in MDM with separate OT profiles; prohibit personally owned devices from AMI programming or OT functions; align with IEC 62443-3-3 SR 2.3 portable and mobile device requirements.</t>
  </si>
  <si>
    <t xml:space="preserve">Proactively maintain Technology Assets, Applications and Services (TAAS) through authorized maintenance practices that preserve performance, security, compliance, resilience and supportability.</t>
  </si>
  <si>
    <t xml:space="preserve">Within the OT and AMI environment, this objective controls local and remote maintenance of OT and AMI assets, including vendor sessions, maintenance laptops and portable tools used in substations, plants and meter shops.</t>
  </si>
  <si>
    <t xml:space="preserve">- Pre-approving, authenticating, monitoring and logging remote maintenance sessions to OT and AMI systems and verifying session termination
- Controlling maintenance tools and portable devices used with OT and AMI assets, including inspection for malicious code before connection</t>
  </si>
  <si>
    <t xml:space="preserve">Route all vendor remote maintenance through a monitored OT remote-access gateway with MFA, time-bound approval and session recording. Maintain dedicated, hardened maintenance laptops for OT. Align with NIST SP 800-82 R3 MA controls and IEC 62443-2-1 NET 3.x remote access requirements.</t>
  </si>
  <si>
    <t xml:space="preserve">Maintain situational awareness through centralized collection, correlation and analysis of security-relevant telemetry from Technology Assets, Applications and Services (TAAS).</t>
  </si>
  <si>
    <t xml:space="preserve">The organization shall maintain continuous security monitoring and centralized logging across enterprise IT, OT and AMI environments to detect, investigate and respond to anomalous and malicious activity. OT and AMI monitoring shall be protocol-aware, prioritize availability and safety, and provide visibility of head-end, network, field device and remote-access activity.</t>
  </si>
  <si>
    <t xml:space="preserve">Within the OT and AMI environment, this objective provides protocol-aware visibility of OT and AMI networks, head-end systems, field devices and remote access, with event logs collected and analyzed without impairing operations.</t>
  </si>
  <si>
    <t xml:space="preserve">- Collecting security event logs from AMI head-end systems, OT servers, HMIs, network security devices, remote-access gateways and, where supported, field devices into a centralized monitoring capability
- Deploying passive, OT-protocol-aware network monitoring at zone boundaries and key conduits to detect unauthorized devices, communications and commands
- Defining OT and AMI use cases and alert thresholds (e.g., mass disconnect commands, firmware pushes, unauthorized remote sessions) and reviewing them at least annually</t>
  </si>
  <si>
    <t xml:space="preserve">Deploy passive OT network detection sensors at Purdue level boundaries and the AMI head-end segment. Ensure the SOC or MSSP has OT context, playbooks and escalation to System Operations. Align with IEC 62443-3-3 SR 6.x and NERC CIP-007 R4 security event monitoring where applicable.</t>
  </si>
  <si>
    <t xml:space="preserve">Architect and implement defense-in-depth network protections that segment, restrict and monitor access to Technology Assets, Applications, Services and Data (TAASD).</t>
  </si>
  <si>
    <t xml:space="preserve">Within the OT and AMI environment, this objective implements ISA/IEC 62443-3-2 zones and conduits across enterprise, DMZ, control center, substation, backhaul and AMI mesh networks with deny-by-default conduit enforcement and monitored remote access.</t>
  </si>
  <si>
    <t xml:space="preserve">- Partitioning OT and AMI networks into zones and conduits based on risk assessment, with enterprise IT, OT, safety-related and AMI field networks in separate zones and all inter-zone traffic routed through monitored, deny-by-default conduits
- Maintaining an OT demilitarized zone (DMZ) for all data exchange between enterprise IT (including hosted services) and OT or AMI head-end systems, with no direct enterprise-to-OT connectivity
- Protecting AMI RF mesh, cellular and other wireless or backhaul communications with authentication and encryption and modelling them as separate zones</t>
  </si>
  <si>
    <t xml:space="preserve">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t>
  </si>
  <si>
    <t xml:space="preserve">Deliver secure, compliant and resilient operations through defined processes, skilled personnel, monitoring, escalation and continuous improvement that effectively detect, isolate, and remediate cyber threats while ensuring business resilience.</t>
  </si>
  <si>
    <t xml:space="preserve">Within the OT and AMI environment, this objective defines operating procedures and security operations coverage for OT and AMI, including coordination between the SOC, system operations and field operations.</t>
  </si>
  <si>
    <t xml:space="preserve">- Maintaining standardized operating procedures for OT and AMI security operations, including coordination with system and field operations</t>
  </si>
  <si>
    <t xml:space="preserve">Document a security concept of operations for OT and AMI that defines monitoring scope, escalation paths and authority to act in operational environments.</t>
  </si>
  <si>
    <t xml:space="preserve">Protect physical environments through layered physical security and environmental controls that safeguard physical and digital assets from unauthorized access, theft, damage and disruption.</t>
  </si>
  <si>
    <t xml:space="preserve">Within the OT and AMI environment, this objective addresses control centers, substations, plants, communications sites, meter shops and unattended field enclosures housing OT and AMI assets.</t>
  </si>
  <si>
    <t xml:space="preserve">- Enforcing and logging physical access to control centers, substations, communications sites, meter shops and head-end facilities, and reviewing access rights at least annually
- Protecting unattended field enclosures, collectors and network equipment with locks, tamper detection and periodic inspection</t>
  </si>
  <si>
    <t xml:space="preserve">Apply layered physical security proportional to zone criticality (ISA/IEC 62443-3-2 ZCR 6.4 physical boundary). Integrate physical access events with security monitoring. Align with NERC CIP-006 Physical Security Perimeter and NIST SP 800-82 R3 PE controls where applicable.</t>
  </si>
  <si>
    <t xml:space="preserve">Execute risk-based and legally defensible data privacy practices that conform with applicable statutory, regulatory and contractual obligations to protect sensitive Personal Data (sPD) throughout its lifecycle.</t>
  </si>
  <si>
    <t xml:space="preserve">Within the OT and AMI environment, this objective governs Customer Energy Usage Data and personal data collected through AMI meters and processed by head-end, meter data management, billing, analytics and third-party systems.</t>
  </si>
  <si>
    <t xml:space="preserve">- Identifying Customer Energy Usage Data and associated personal data as in-scope personal data and documenting its collection, processing, retention and sharing
- Limiting the use and sharing of Customer Energy Usage Data to authorized purposes with customer transparency and, where required, consent or opt-out</t>
  </si>
  <si>
    <t xml:space="preserve">Maintain a CEUD data inventory and data-flow map from meter to third parties. Apply aggregation, de-identification and retention limits for analytics. Align with NIST Privacy Framework outcomes and applicable state utility commission privacy rules.</t>
  </si>
  <si>
    <t xml:space="preserve">Operationalize security, compliance and resilience objectives by integrating cybersecurity and data privacy requirements into project, program and resource management practices.</t>
  </si>
  <si>
    <t xml:space="preserve">Within the OT and AMI environment, this objective ensures OT and AMI projects (e.g., meter deployment, head-end upgrades, control system replacements) define and fund security requirements from initiation.</t>
  </si>
  <si>
    <t xml:space="preserve">- Defining security, compliance and resilience requirements, including target security levels, for OT and AMI projects at initiation
- Allocating resources for OT and AMI security activities across project delivery and operations</t>
  </si>
  <si>
    <t xml:space="preserve">Include a Cyber Security Requirements Specification (ISA/IEC 62443-3-2 ZCR 6) in OT and AMI project deliverables and gate reviews.</t>
  </si>
  <si>
    <t xml:space="preserve">Proactively identify, assess, prioritize and treat risks to align Technology Assets, Applications, Services and Data (TAASD)-related decisions with the organization's defined risk appetite and risk tolerance.</t>
  </si>
  <si>
    <t xml:space="preserve">Within the OT and AMI environment, this objective applies the ISA/IEC 62443-3-2 risk assessment workflow to OT and AMI zones and conduits, establishing target security levels and documented risk treatment approved by accountable asset owners.</t>
  </si>
  <si>
    <t xml:space="preserve">- Performing initial and detailed cyber security risk assessments for OT and AMI systems under consideration using the corporate risk matrix and consequence scales that include safety, reliability, environmental, financial and regulatory impact
- Establishing and documenting a target security level (SL-T) for each OT and AMI zone and conduit and recording residual risk and treatment decisions in the risk register
- Obtaining documented approval of OT and AMI risk assessment results and treatment plans from the accountable asset-owner management</t>
  </si>
  <si>
    <t xml:space="preserve">Adopt the ISA/IEC 62443-3-2 ZCR 1-7 workflow and Annex B risk matrix conventions; reference ISA-TR84.00.09 and process hazard analyses for safety-related zones; use IEC 62443-3-3 SL-C to evaluate countermeasure effectiveness.</t>
  </si>
  <si>
    <t xml:space="preserve">Foster a security, compliance and resilience-minded workforce through ongoing, role-based education on evolving threats, obligations and secure workplace practices.</t>
  </si>
  <si>
    <t xml:space="preserve">Within the OT and AMI environment, this objective delivers OT and AMI-specific awareness and role-based training to engineers, operators, field crews, meter technicians and vendor personnel.</t>
  </si>
  <si>
    <t xml:space="preserve">- Delivering role-based OT and AMI security training to engineering, operations, field and vendor personnel before access is granted and at least annually thereafter</t>
  </si>
  <si>
    <t xml:space="preserve">Include OT scenarios (removable media, remote access, social engineering of field crews, safe incident reporting) in training; align with NERC CIP-004 training requirements where applicable.</t>
  </si>
  <si>
    <t xml:space="preserve">Apply industry-recognized secure engineering and architecture principles to deliver secure, compliant and resilient systems, applications and services.</t>
  </si>
  <si>
    <t xml:space="preserve">Within the OT and AMI environment, this objective applies defense-in-depth and zone/conduit partitioning to OT and AMI architectures in order to achieve the target security level for each zone and conduit.</t>
  </si>
  <si>
    <t xml:space="preserve">- Documenting OT and AMI reference architectures that define zones, conduits, DMZ patterns, trust boundaries and the target security level for each zone and conduit
- Reviewing OT and AMI designs against the reference architecture and IEC 62443-3-3 system requirements before deployment</t>
  </si>
  <si>
    <t xml:space="preserve">Use the Purdue model and ISA/IEC 62443-3-2 partitioning for OT; model AMI as head-end zone, backhaul conduit, collector/mesh zone and meter zone; align SL-T to IEC 62443-3-3 SR/RE selection.</t>
  </si>
  <si>
    <t xml:space="preserve">Develop and acquire Technology Assets, Applications and Services (TAAS) through secure-by-design, risk-informed and resilient lifecycle practices.</t>
  </si>
  <si>
    <t xml:space="preserve">Within the OT and AMI environment, this objective establishes security requirements and supplier secure-development expectations for AMI and OT products and verifies them before deployment.</t>
  </si>
  <si>
    <t xml:space="preserve">- Specifying IEC 62443-4-2 component requirements, IEC 62443-4-1 secure development practices and target security levels in AMI and OT acquisition requirements
- Requiring suppliers to provide vulnerability disclosure, security update and end-of-support commitments for AMI and OT products</t>
  </si>
  <si>
    <t xml:space="preserve">Use the Cyber Security Requirements Specification (ISA/IEC 62443-3-2 ZCR 6.1) as the acquisition baseline; require software bills of materials and signed firmware; align with NIST SP 800-161 supplier requirements.</t>
  </si>
  <si>
    <t xml:space="preserve">Proactively identify, assess and manage threats to Technology Assets, Applications, Services and Data (TAASD) and business processes to inform risk decisions and corrective actions.</t>
  </si>
  <si>
    <t xml:space="preserve">Within the OT and AMI environment, this objective incorporates OT and energy-sector threat intelligence (e.g., E-ISAC, CISA advisories, vendor advisories) into risk assessment, monitoring and response.</t>
  </si>
  <si>
    <t xml:space="preserve">- Consuming and actioning OT and energy-sector threat intelligence and vendor security advisories for AMI and OT products</t>
  </si>
  <si>
    <t xml:space="preserve">Participate in sector information sharing; maintain a threat catalog for OT and AMI zones (ISA/IEC 62443-3-2 ZCR 5.1); feed indicators into OT monitoring.</t>
  </si>
  <si>
    <t xml:space="preserve">Execute Supply Chain Risk Management (SCRM) practices to assess, select, contract, monitor and manage trustworthy third parties for product and service delivery.</t>
  </si>
  <si>
    <t xml:space="preserve">Within the OT and AMI environment, this objective governs AMI vendors, meter manufacturers, system integrators, telecommunications carriers and managed service providers that supply or support OT and AMI.</t>
  </si>
  <si>
    <t xml:space="preserve">- Including OT and AMI security requirements (including IEC 62443 conformance, vulnerability handling, incident notification and remote access terms) in supplier contracts and flowing them down to subcontractors
- Assessing the criticality and security posture of AMI and OT suppliers and integrators before onboarding and periodically thereafter</t>
  </si>
  <si>
    <t xml:space="preserve">Maintain a supplier inventory for OT and AMI; prioritize assessments by consequence of compromise; align with NIST SP 800-161 C-SCRM practices and IEC 62443-2-4 service provider requirements.</t>
  </si>
  <si>
    <t xml:space="preserve">Reduce exploitable weaknesses in Technology Assets, Applications and Services (TAAS) through coordinated vulnerability identification, prioritization, remediation and validation practices.</t>
  </si>
  <si>
    <t xml:space="preserve">Within the OT and AMI environment, this objective applies operationally safe vulnerability identification and risk-based remediation to OT and AMI assets, with compensating controls where patching is constrained by safety, availability or vendor support.</t>
  </si>
  <si>
    <t xml:space="preserve">- Identifying vulnerabilities in OT and AMI assets through vendor advisories, passive monitoring, configuration review and scanning only where validated as safe
- Deploying firmware and security patches to OT and AMI assets within risk-based timelines agreed with OT Engineering and System Operations, with testing, staged rollout and rollback, and documenting compensating controls where remediation is delayed</t>
  </si>
  <si>
    <t xml:space="preserve">Track vulnerabilities against the OT/AMI asset inventory; use ISA-TR62443-2-3 patch management guidance; align with NERC CIP-007 R2 patch management where applicable.</t>
  </si>
  <si>
    <t xml:space="preserve">NET-14*</t>
  </si>
  <si>
    <t xml:space="preserve">Sub-domain intent override (controls starting with NET-14)</t>
  </si>
  <si>
    <t xml:space="preserve">NET-15*</t>
  </si>
  <si>
    <t xml:space="preserve">Sub-domain intent override (controls starting with NET-15)</t>
  </si>
  <si>
    <t xml:space="preserve">IAC-10*</t>
  </si>
  <si>
    <t xml:space="preserve">Sub-domain intent override (controls starting with IAC-10)</t>
  </si>
  <si>
    <t xml:space="preserve">IAC-16*</t>
  </si>
  <si>
    <t xml:space="preserve">Sub-domain intent override (controls starting with IAC-16)</t>
  </si>
  <si>
    <t xml:space="preserve">BCD-11*</t>
  </si>
  <si>
    <t xml:space="preserve">Sub-domain intent override (controls starting with BCD-11)</t>
  </si>
  <si>
    <t xml:space="preserve">BCD-12*</t>
  </si>
  <si>
    <t xml:space="preserve">Sub-domain intent override (controls starting with BCD-12)</t>
  </si>
  <si>
    <t xml:space="preserve">DCH-12*</t>
  </si>
  <si>
    <t xml:space="preserve">Sub-domain intent override (controls starting with DCH-12)</t>
  </si>
  <si>
    <t xml:space="preserve">PES-07*</t>
  </si>
  <si>
    <t xml:space="preserve">Sub-domain intent override (controls starting with PES-07)</t>
  </si>
  <si>
    <t xml:space="preserve">PES-08*</t>
  </si>
  <si>
    <t xml:space="preserve">Sub-domain intent override (controls starting with PES-08)</t>
  </si>
  <si>
    <t xml:space="preserve">PES-09*</t>
  </si>
  <si>
    <t xml:space="preserve">Sub-domain intent override (controls starting with PES-09)</t>
  </si>
  <si>
    <t xml:space="preserve">MON-0*</t>
  </si>
  <si>
    <t xml:space="preserve">Sub-domain intent override (controls starting with MON-0)</t>
  </si>
  <si>
    <t xml:space="preserve">MON-1*</t>
  </si>
  <si>
    <t xml:space="preserve">Sub-domain intent override (controls starting with MON-1)</t>
  </si>
  <si>
    <t xml:space="preserve">TPM-05*</t>
  </si>
  <si>
    <t xml:space="preserve">Sub-domain intent override (controls starting with TPM-05)</t>
  </si>
  <si>
    <t xml:space="preserve">VPM-05*</t>
  </si>
  <si>
    <t xml:space="preserve">Sub-domain intent override (controls starting with VPM-05)</t>
  </si>
  <si>
    <t xml:space="preserve">CRY-09*</t>
  </si>
  <si>
    <t xml:space="preserve">Sub-domain intent override (controls starting with CRY-09)</t>
  </si>
  <si>
    <t xml:space="preserve">EMB-07*</t>
  </si>
  <si>
    <t xml:space="preserve">Sub-domain intent override (controls starting with EMB-07)</t>
  </si>
  <si>
    <t xml:space="preserve">ISA/IEC 62443-3-2:2020 Requirement</t>
  </si>
  <si>
    <t xml:space="preserve">SCF 2026.2 Controls</t>
  </si>
  <si>
    <t xml:space="preserve">SCF Control Titles</t>
  </si>
  <si>
    <t xml:space="preserve">Crosswalk Rationale</t>
  </si>
  <si>
    <t xml:space="preserve">Identify the SUC perimeter and access points</t>
  </si>
  <si>
    <t xml:space="preserve">AST-01, AST-02, AST-04, AST-04.1, AST-04.2, NET-03</t>
  </si>
  <si>
    <t xml:space="preserve">AST-01 Asset Governance; AST-02 Asset Inventories; AST-04 Network Diagrams &amp; Data Flow Diagrams (DFDs); AST-04.1 Asset Scope Classification; AST-04.2 Control Applicability Boundary Graphical Representation; NET-03 Boundary Protection</t>
  </si>
  <si>
    <t xml:space="preserve">The System Under Consideration (SUC) is defined through asset governance, inventories, network/data-flow diagrams, asset scope classification and boundary definition.</t>
  </si>
  <si>
    <t xml:space="preserve">Perform initial cyber security risk assessment</t>
  </si>
  <si>
    <t xml:space="preserve">RSK-04, RSK-04.2, RSK-04.3, RSK-02, RSK-02.1, EMB-15</t>
  </si>
  <si>
    <t xml:space="preserve">RSK-04 Risk Assessment; RSK-04.2 Risk Assessment Methodology; RSK-04.3 Instances Requiring A Risk Assessment; RSK-02 Risk-Based Security Categorization; RSK-02.1 Impact-Level Prioritization; EMB-15 Safety Assessment</t>
  </si>
  <si>
    <t xml:space="preserve">Worst-case, unmitigated risk to health, safety, environment, reliability and service delivery is assessed using the corporate risk matrix and safety assessments.</t>
  </si>
  <si>
    <t xml:space="preserve">ZCR 3.1</t>
  </si>
  <si>
    <t xml:space="preserve">Establish zones and conduits</t>
  </si>
  <si>
    <t xml:space="preserve">NET-06, NET-06.3, SEA-03, SEA-03.1, AST-04.1</t>
  </si>
  <si>
    <t xml:space="preserve">NET-06 Network Segmentation (macrosegmentation); NET-06.3 Sensitive / Regulated Data Enclave (Secure Zone); SEA-03 Defense-In-Depth (DiD) Architecture; SEA-03.1 System Partitioning; AST-04.1 Asset Scope Classification</t>
  </si>
  <si>
    <t xml:space="preserve">Assets sharing common security requirements are grouped into zones; communications between zones are modelled as conduits.</t>
  </si>
  <si>
    <t xml:space="preserve">Separate business and IACS assets</t>
  </si>
  <si>
    <t xml:space="preserve">NET-06, NET-06.4, NET-06.9, SEA-03.1</t>
  </si>
  <si>
    <t xml:space="preserve">NET-06 Network Segmentation (macrosegmentation); NET-06.4 Segregation From Enterprise Services; NET-06.9 Separate Subnets To Isolate Functions; SEA-03.1 System Partitioning</t>
  </si>
  <si>
    <t xml:space="preserve">Enterprise IT and OT/AMI assets are placed in logically or physically separated zones (Purdue-aligned segmentation).</t>
  </si>
  <si>
    <t xml:space="preserve">Separate safety related assets</t>
  </si>
  <si>
    <t xml:space="preserve">NET-06.3, EMB-15, EMB-19, SEA-03.1</t>
  </si>
  <si>
    <t xml:space="preserve">NET-06.3 Sensitive / Regulated Data Enclave (Secure Zone); EMB-15 Safety Assessment; EMB-19 Safe Operations; SEA-03.1 System Partitioning</t>
  </si>
  <si>
    <t xml:space="preserve">Safety-related assets (e.g., protection, disconnect and load-control functions) are isolated into dedicated zones or the zone is designated safety-related.</t>
  </si>
  <si>
    <t xml:space="preserve">Separate temporarily connected devices</t>
  </si>
  <si>
    <t xml:space="preserve">NET-06.9, AST-01.5, MNT-04, MNT-04.1, DCH-12</t>
  </si>
  <si>
    <t xml:space="preserve">NET-06.9 Separate Subnets To Isolate Functions; AST-01.5 Authorized To Connect; MNT-04 Maintenance Tools; MNT-04.1 Inspect Tools; DCH-12 Removable Media Security</t>
  </si>
  <si>
    <t xml:space="preserve">Portable engineering laptops, handheld meter-programming devices and removable media are treated as separate, higher-risk zones.</t>
  </si>
  <si>
    <t xml:space="preserve">Separate wireless devices</t>
  </si>
  <si>
    <t xml:space="preserve">NET-15, NET-15.1, NET-15.4, NET-06.9, CRY-07</t>
  </si>
  <si>
    <t xml:space="preserve">NET-15 Wireless Networking; NET-15.1 Authentication &amp; Encryption; NET-15.4 Wireless Boundaries; NET-06.9 Separate Subnets To Isolate Functions; CRY-07 Wireless Access Authentication &amp; Encryption</t>
  </si>
  <si>
    <t xml:space="preserve">AMI RF mesh, cellular backhaul and plant Wi-Fi are modelled as separate wireless zones with access points as conduits.</t>
  </si>
  <si>
    <t xml:space="preserve">Separate devices connected via external networks</t>
  </si>
  <si>
    <t xml:space="preserve">NET-14, NET-14.3, NET-14.6, NET-03, MNT-05</t>
  </si>
  <si>
    <t xml:space="preserve">NET-14 Remote Access; NET-14.3 Managed Access Control Points; NET-14.6 Third-Party Remote Access Governance; NET-03 Boundary Protection; MNT-05 Remote Maintenance</t>
  </si>
  <si>
    <t xml:space="preserve">Vendor, integrator and remote-operator access is modelled as an external zone with its own conduit controls (DMZ, jump host, MFA, session recording).</t>
  </si>
  <si>
    <t xml:space="preserve">Compare initial risk to tolerable risk</t>
  </si>
  <si>
    <t xml:space="preserve">RSK-01.3, RSK-01.4, RSK-05</t>
  </si>
  <si>
    <t xml:space="preserve">RSK-01.3 Risk Tolerance; RSK-01.4 Risk Threshold; RSK-05 Risk Ranking</t>
  </si>
  <si>
    <t xml:space="preserve">Initial risk is compared with documented risk tolerance and thresholds to decide whether a detailed assessment is required.</t>
  </si>
  <si>
    <t xml:space="preserve">Identify threats</t>
  </si>
  <si>
    <t xml:space="preserve">THR-01, THR-03, THR-09, THR-10</t>
  </si>
  <si>
    <t xml:space="preserve">THR-01 Threat Intelligence Program; THR-03 Threat Intelligence Feeds; THR-09 Threat Catalog; THR-10 Threat Analysis</t>
  </si>
  <si>
    <t xml:space="preserve">Threat sources, capabilities, vectors and affected assets are enumerated for each zone and conduit using sector threat intelligence (e.g., E-ISAC, CISA).</t>
  </si>
  <si>
    <t xml:space="preserve">Identify vulnerabilities</t>
  </si>
  <si>
    <t xml:space="preserve">VPM-06, VPM-06.2, VPM-06.7, THR-02</t>
  </si>
  <si>
    <t xml:space="preserve">VPM-06 Vulnerability Scanning; VPM-06.2 Breadth / Depth of Coverage; VPM-06.7 Internal Vulnerability Assessment Scans; THR-02 Indicators of Exposure (IOE)</t>
  </si>
  <si>
    <t xml:space="preserve">Known vulnerabilities of zone/conduit assets and access points are identified through OT-safe assessment methods.</t>
  </si>
  <si>
    <t xml:space="preserve">Determine consequence and impact</t>
  </si>
  <si>
    <t xml:space="preserve">RSK-08, BCD-02, RSK-02.1</t>
  </si>
  <si>
    <t xml:space="preserve">RSK-08 Business Impact Analysis (BIA); BCD-02 Identify Critical Assets; RSK-02.1 Impact-Level Prioritization</t>
  </si>
  <si>
    <t xml:space="preserve">Worst-case consequences (safety, reliability, financial, regulatory, reputational) are determined through business impact analysis and critical asset identification.</t>
  </si>
  <si>
    <t xml:space="preserve">ZCR 5.4</t>
  </si>
  <si>
    <t xml:space="preserve">Determine unmitigated likelihood</t>
  </si>
  <si>
    <t xml:space="preserve">RSK-04.2, RSK-05</t>
  </si>
  <si>
    <t xml:space="preserve">RSK-04.2 Risk Assessment Methodology; RSK-05 Risk Ranking</t>
  </si>
  <si>
    <t xml:space="preserve">Likelihood is estimated using the documented risk assessment methodology and ranking scale.</t>
  </si>
  <si>
    <t xml:space="preserve">ZCR 5.5</t>
  </si>
  <si>
    <t xml:space="preserve">Determine unmitigated cyber security risk</t>
  </si>
  <si>
    <t xml:space="preserve">RSK-04, RSK-05</t>
  </si>
  <si>
    <t xml:space="preserve">RSK-04 Risk Assessment; RSK-05 Risk Ranking</t>
  </si>
  <si>
    <t xml:space="preserve">Impact and likelihood are combined using the corporate risk matrix.</t>
  </si>
  <si>
    <t xml:space="preserve">ZCR 5.6</t>
  </si>
  <si>
    <t xml:space="preserve">Determine SL-T</t>
  </si>
  <si>
    <t xml:space="preserve">SEA-01, SEA-03, RSK-02, TDA-02</t>
  </si>
  <si>
    <t xml:space="preserve">SEA-01 Secure Engineering Principles; SEA-03 Defense-In-Depth (DiD) Architecture; RSK-02 Risk-Based Security Categorization; TDA-02 Minimum Viable Product (MVP) Security Requirements</t>
  </si>
  <si>
    <t xml:space="preserve">A target security level (SL-T) is set for each zone and conduit and expressed as design requirements.</t>
  </si>
  <si>
    <t xml:space="preserve">ZCR 5.7</t>
  </si>
  <si>
    <t xml:space="preserve">Compare unmitigated risk with tolerable risk</t>
  </si>
  <si>
    <t xml:space="preserve">RSK-01.3, RSK-06.3</t>
  </si>
  <si>
    <t xml:space="preserve">RSK-01.3 Risk Tolerance; RSK-06.3 Risk Treatment Options</t>
  </si>
  <si>
    <t xml:space="preserve">Risks exceeding tolerance are accepted, transferred or mitigated through a documented decision.</t>
  </si>
  <si>
    <t xml:space="preserve">Identify and evaluate existing countermeasures</t>
  </si>
  <si>
    <t xml:space="preserve">IAO-02, IAO-03, RSK-06.2</t>
  </si>
  <si>
    <t xml:space="preserve">IAO-02 Assessments; IAO-03 Applied Security, Compliance and Resilience Controls Documentation; RSK-06.2 Compensating Countermeasures</t>
  </si>
  <si>
    <t xml:space="preserve">Existing technical, administrative and procedural countermeasures are inventoried and their effectiveness assessed against SL-C.</t>
  </si>
  <si>
    <t xml:space="preserve">Reevaluate likelihood and impact</t>
  </si>
  <si>
    <t xml:space="preserve">RSK-07, RSK-04</t>
  </si>
  <si>
    <t xml:space="preserve">RSK-07 Risk Assessment Update; RSK-04 Risk Assessment</t>
  </si>
  <si>
    <t xml:space="preserve">Likelihood and impact are re-evaluated considering existing countermeasures.</t>
  </si>
  <si>
    <t xml:space="preserve">Determine residual risk</t>
  </si>
  <si>
    <t xml:space="preserve">RSK-06.1, RSK-04.1</t>
  </si>
  <si>
    <t xml:space="preserve">RSK-06.1 Risk Response; RSK-04.1 Risk Register</t>
  </si>
  <si>
    <t xml:space="preserve">Residual risk is recorded in the risk register with the associated risk response.</t>
  </si>
  <si>
    <t xml:space="preserve">ZCR 5.11</t>
  </si>
  <si>
    <t xml:space="preserve">Compare residual risk with tolerable risk</t>
  </si>
  <si>
    <t xml:space="preserve">RSK-01.3, RSK-06.3, RSK-13</t>
  </si>
  <si>
    <t xml:space="preserve">RSK-01.3 Risk Tolerance; RSK-06.3 Risk Treatment Options; RSK-13 Executive Leadership Approval For Managing Material Risk</t>
  </si>
  <si>
    <t xml:space="preserve">Residual risk above tolerance requires documented acceptance by accountable leadership.</t>
  </si>
  <si>
    <t xml:space="preserve">Identify additional cyber security countermeasures</t>
  </si>
  <si>
    <t xml:space="preserve">RSK-06, RSK-06.2, RSK-06.4</t>
  </si>
  <si>
    <t xml:space="preserve">RSK-06 Risk Remediation; RSK-06.2 Compensating Countermeasures; RSK-06.4 Risk Treatment Plan (RTP)</t>
  </si>
  <si>
    <t xml:space="preserve">Additional countermeasures and compensating controls are selected and captured in a risk treatment plan.</t>
  </si>
  <si>
    <t xml:space="preserve">Document and communicate results</t>
  </si>
  <si>
    <t xml:space="preserve">RSK-04.1, RSK-04.4, IAO-02.4, DCH-02</t>
  </si>
  <si>
    <t xml:space="preserve">RSK-04.1 Risk Register; RSK-04.4 Risk Assessment Stakeholder Involvement; IAO-02.4 Security Assessment Report (SAR); DCH-02 Data &amp; Asset Classification</t>
  </si>
  <si>
    <t xml:space="preserve">Assessment results are documented, classified, protected and communicated to stakeholders.</t>
  </si>
  <si>
    <t xml:space="preserve">ZCR 6.1</t>
  </si>
  <si>
    <t xml:space="preserve">Cyber security requirements specification (CRS)</t>
  </si>
  <si>
    <t xml:space="preserve">TDA-02, SEA-01, IAO-03</t>
  </si>
  <si>
    <t xml:space="preserve">TDA-02 Minimum Viable Product (MVP) Security Requirements; SEA-01 Secure Engineering Principles; IAO-03 Applied Security, Compliance and Resilience Controls Documentation</t>
  </si>
  <si>
    <t xml:space="preserve">A CRS captures mandatory countermeasures and general security requirements for the SUC.</t>
  </si>
  <si>
    <t xml:space="preserve">ZCR 6.2</t>
  </si>
  <si>
    <t xml:space="preserve">SUC description</t>
  </si>
  <si>
    <t xml:space="preserve">AST-04, IAO-03</t>
  </si>
  <si>
    <t xml:space="preserve">AST-04 Network Diagrams &amp; Data Flow Diagrams (DFDs); IAO-03 Applied Security, Compliance and Resilience Controls Documentation</t>
  </si>
  <si>
    <t xml:space="preserve">The CRS includes the name, function and intended usage of the SUC and the process or service under control.</t>
  </si>
  <si>
    <t xml:space="preserve">ZCR 6.3</t>
  </si>
  <si>
    <t xml:space="preserve">Zone and conduit drawings</t>
  </si>
  <si>
    <t xml:space="preserve">AST-04, AST-04.2</t>
  </si>
  <si>
    <t xml:space="preserve">AST-04 Network Diagrams &amp; Data Flow Diagrams (DFDs); AST-04.2 Control Applicability Boundary Graphical Representation</t>
  </si>
  <si>
    <t xml:space="preserve">Drawings illustrate zone/conduit partitioning and every asset is assigned to a zone or conduit.</t>
  </si>
  <si>
    <t xml:space="preserve">Zone and conduit characteristics</t>
  </si>
  <si>
    <t xml:space="preserve">AST-04.1, AST-03, NET-06, TDA-02.1</t>
  </si>
  <si>
    <t xml:space="preserve">AST-04.1 Asset Scope Classification; AST-03 Asset Ownership Assignment; NET-06 Network Segmentation (macrosegmentation); TDA-02.1 Ports, Protocols &amp; Services In Use</t>
  </si>
  <si>
    <t xml:space="preserve">Each zone/conduit is characterized (identifier, accountable organization, boundaries, safety designation, access points, data flows, assets, SL-T, requirements, policies, assumptions).</t>
  </si>
  <si>
    <t xml:space="preserve">Operating environment assumptions</t>
  </si>
  <si>
    <t xml:space="preserve">IAO-03, PES-01, SEA-02</t>
  </si>
  <si>
    <t xml:space="preserve">IAO-03 Applied Security, Compliance and Resilience Controls Documentation; PES-01 Physical &amp; Environmental Protections; SEA-02 Alignment With Enterprise Architecture</t>
  </si>
  <si>
    <t xml:space="preserve">Physical and logical operating environment assumptions are documented in system security plans.</t>
  </si>
  <si>
    <t xml:space="preserve">ZCR 6.6</t>
  </si>
  <si>
    <t xml:space="preserve">Threat environment</t>
  </si>
  <si>
    <t xml:space="preserve">THR-01, THR-03</t>
  </si>
  <si>
    <t xml:space="preserve">THR-01 Threat Intelligence Program; THR-03 Threat Intelligence Feeds</t>
  </si>
  <si>
    <t xml:space="preserve">The CRS describes the current and emerging threat environment and its intelligence sources.</t>
  </si>
  <si>
    <t xml:space="preserve">Organizational security policies</t>
  </si>
  <si>
    <t xml:space="preserve">GOV-02, GOV-09</t>
  </si>
  <si>
    <t xml:space="preserve">GOV-02 Publishing Security, Compliance &amp; Resilience Documentation; GOV-09 Define Control Objectives</t>
  </si>
  <si>
    <t xml:space="preserve">Countermeasures implementing organizational policies are reflected in the CRS.</t>
  </si>
  <si>
    <t xml:space="preserve">Tolerable risk</t>
  </si>
  <si>
    <t xml:space="preserve">RSK-01.3, RSK-01.5</t>
  </si>
  <si>
    <t xml:space="preserve">RSK-01.3 Risk Tolerance; RSK-01.5 Risk Appetite</t>
  </si>
  <si>
    <t xml:space="preserve">Tolerable risk for the SUC is stated in the CRS.</t>
  </si>
  <si>
    <t xml:space="preserve">Regulatory requirements</t>
  </si>
  <si>
    <t xml:space="preserve">CPL-01, CPL-01.2</t>
  </si>
  <si>
    <t xml:space="preserve">CPL-01 Statutory, Regulatory &amp; Contractual Compliance; CPL-01.2 Compliance Scope</t>
  </si>
  <si>
    <t xml:space="preserve">Applicable regulatory requirements (e.g., NERC CIP, state utility commission orders) are included in the CRS.</t>
  </si>
  <si>
    <t xml:space="preserve">Attain asset owner approval</t>
  </si>
  <si>
    <t xml:space="preserve">RSK-13, GOV-15.4, RSK-06.4</t>
  </si>
  <si>
    <t xml:space="preserve">RSK-13 Executive Leadership Approval For Managing Material Risk; GOV-15.4 Authorize Technology Assets, Applications and/or Services (TAAS); RSK-06.4 Risk Treatment Plan (RTP)</t>
  </si>
  <si>
    <t xml:space="preserve">Accountable asset-owner management reviews and approves the risk assessment and treatment plan.</t>
  </si>
  <si>
    <t xml:space="preserve">Tier 1 - OT Core</t>
  </si>
  <si>
    <t xml:space="preserve">Tier 2 - Converged IT/OT</t>
  </si>
  <si>
    <t xml:space="preserve">Tier 3 - AMI / Embedded / Supply Chain</t>
  </si>
  <si>
    <t xml:space="preserve">Tier 4 - Privacy</t>
  </si>
  <si>
    <t xml:space="preserve">Total</t>
  </si>
  <si>
    <t xml:space="preserve">Lifecycle Stage</t>
  </si>
  <si>
    <t xml:space="preserve">Implementation Status</t>
  </si>
  <si>
    <t xml:space="preserve">Assessment Scope</t>
  </si>
  <si>
    <t xml:space="preserve">Assessment Status</t>
  </si>
  <si>
    <t xml:space="preserve">Effectiveness</t>
  </si>
  <si>
    <t xml:space="preserve">Evidence Status</t>
  </si>
  <si>
    <t xml:space="preserve">Gap Type</t>
  </si>
  <si>
    <t xml:space="preserve">Severity / Risk</t>
  </si>
  <si>
    <t xml:space="preserve">Treatment Decision</t>
  </si>
  <si>
    <t xml:space="preserve">POA&amp;M Status</t>
  </si>
  <si>
    <t xml:space="preserve">Validation Status</t>
  </si>
  <si>
    <t xml:space="preserve">Entity</t>
  </si>
  <si>
    <t xml:space="preserve">Target Security Level (SL-T)</t>
  </si>
  <si>
    <t xml:space="preserve">Domain Default Accountability</t>
  </si>
  <si>
    <t xml:space="preserve">Active</t>
  </si>
  <si>
    <t xml:space="preserve">Fully Implemented</t>
  </si>
  <si>
    <t xml:space="preserve">In Scope</t>
  </si>
  <si>
    <t xml:space="preserve">Not Assessed</t>
  </si>
  <si>
    <t xml:space="preserve">Effective</t>
  </si>
  <si>
    <t xml:space="preserve">Not Requested</t>
  </si>
  <si>
    <t xml:space="preserve">Design Gap</t>
  </si>
  <si>
    <t xml:space="preserve">Critical</t>
  </si>
  <si>
    <t xml:space="preserve">Remediate</t>
  </si>
  <si>
    <t xml:space="preserve">Not Opened</t>
  </si>
  <si>
    <t xml:space="preserve">Not Scheduled</t>
  </si>
  <si>
    <t xml:space="preserve">Corporate</t>
  </si>
  <si>
    <t xml:space="preserve">SL 1</t>
  </si>
  <si>
    <t xml:space="preserve">AST = IT Ops</t>
  </si>
  <si>
    <t xml:space="preserve">Draft</t>
  </si>
  <si>
    <t xml:space="preserve">In-Review</t>
  </si>
  <si>
    <t xml:space="preserve">Not Applicable</t>
  </si>
  <si>
    <t xml:space="preserve">In Progress</t>
  </si>
  <si>
    <t xml:space="preserve">Partially Effective</t>
  </si>
  <si>
    <t xml:space="preserve">Requested</t>
  </si>
  <si>
    <t xml:space="preserve">Operating Gap</t>
  </si>
  <si>
    <t xml:space="preserve">High</t>
  </si>
  <si>
    <t xml:space="preserve">Mitigate</t>
  </si>
  <si>
    <t xml:space="preserve">Open</t>
  </si>
  <si>
    <t xml:space="preserve">Scheduled</t>
  </si>
  <si>
    <t xml:space="preserve">Platform</t>
  </si>
  <si>
    <t xml:space="preserve">SL 2</t>
  </si>
  <si>
    <t xml:space="preserve">BCD = IT Ops - Shared</t>
  </si>
  <si>
    <t xml:space="preserve">Retired</t>
  </si>
  <si>
    <t xml:space="preserve">Largely Implemented</t>
  </si>
  <si>
    <t xml:space="preserve">CSP</t>
  </si>
  <si>
    <t xml:space="preserve">Duplicate - Review Required</t>
  </si>
  <si>
    <t xml:space="preserve">Complete</t>
  </si>
  <si>
    <t xml:space="preserve">Ineffective</t>
  </si>
  <si>
    <t xml:space="preserve">Partially Received</t>
  </si>
  <si>
    <t xml:space="preserve">Evidence Gap</t>
  </si>
  <si>
    <t xml:space="preserve">Moderate</t>
  </si>
  <si>
    <t xml:space="preserve">Transfer</t>
  </si>
  <si>
    <t xml:space="preserve">Passed</t>
  </si>
  <si>
    <t xml:space="preserve">SL 3</t>
  </si>
  <si>
    <t xml:space="preserve">CAP = IT Ops - Shared</t>
  </si>
  <si>
    <t xml:space="preserve">Deferred</t>
  </si>
  <si>
    <t xml:space="preserve">Not Tested</t>
  </si>
  <si>
    <t xml:space="preserve">Received</t>
  </si>
  <si>
    <t xml:space="preserve">Scope Gap</t>
  </si>
  <si>
    <t xml:space="preserve">Low</t>
  </si>
  <si>
    <t xml:space="preserve">Accept</t>
  </si>
  <si>
    <t xml:space="preserve">Blocked</t>
  </si>
  <si>
    <t xml:space="preserve">Failed</t>
  </si>
  <si>
    <t xml:space="preserve">SL 4</t>
  </si>
  <si>
    <t xml:space="preserve">CFG = IT Ops - Shared</t>
  </si>
  <si>
    <t xml:space="preserve">Not Implemented</t>
  </si>
  <si>
    <t xml:space="preserve">Validated</t>
  </si>
  <si>
    <t xml:space="preserve">No Gap</t>
  </si>
  <si>
    <t xml:space="preserve">Informational</t>
  </si>
  <si>
    <t xml:space="preserve">Avoid</t>
  </si>
  <si>
    <t xml:space="preserve">Pending Validation</t>
  </si>
  <si>
    <t xml:space="preserve">Not Required</t>
  </si>
  <si>
    <t xml:space="preserve">CHG = IT PMO</t>
  </si>
  <si>
    <t xml:space="preserve">Not Reviewed</t>
  </si>
  <si>
    <t xml:space="preserve">Insufficient</t>
  </si>
  <si>
    <t xml:space="preserve">Not Rated</t>
  </si>
  <si>
    <t xml:space="preserve">Closed</t>
  </si>
  <si>
    <t xml:space="preserve">CLD = IT Ops - Shared</t>
  </si>
  <si>
    <t xml:space="preserve">Partially Implemented</t>
  </si>
  <si>
    <t xml:space="preserve">CPL = Compliance Manager</t>
  </si>
  <si>
    <t xml:space="preserve">CRY = IT Ops - Shared</t>
  </si>
  <si>
    <t xml:space="preserve">DCH = IT Ops - Shared</t>
  </si>
  <si>
    <t xml:space="preserve">EMB = IT Ops - Shared</t>
  </si>
  <si>
    <t xml:space="preserve">END = IT Ops</t>
  </si>
  <si>
    <t xml:space="preserve">GOV = CISO</t>
  </si>
  <si>
    <t xml:space="preserve">HRS = HR</t>
  </si>
  <si>
    <t xml:space="preserve">IAC = IT Ops</t>
  </si>
  <si>
    <t xml:space="preserve">IAO = Information Risk Manager</t>
  </si>
  <si>
    <t xml:space="preserve">IRO = Incident Commander</t>
  </si>
  <si>
    <t xml:space="preserve">MDM = IT Ops</t>
  </si>
  <si>
    <t xml:space="preserve">MNT = IT Ops</t>
  </si>
  <si>
    <t xml:space="preserve">Shared</t>
  </si>
  <si>
    <t xml:space="preserve">MON = MSSP</t>
  </si>
  <si>
    <t xml:space="preserve">NET = IT Ops</t>
  </si>
  <si>
    <t xml:space="preserve">OPS = IT Ops - Shared</t>
  </si>
  <si>
    <t xml:space="preserve">PES = Facilities</t>
  </si>
  <si>
    <t xml:space="preserve">PRI = Legal</t>
  </si>
  <si>
    <t xml:space="preserve">PRM = IT PMO</t>
  </si>
  <si>
    <t xml:space="preserve">RSK = Information Risk Manager</t>
  </si>
  <si>
    <t xml:space="preserve">SAT = CISO</t>
  </si>
  <si>
    <t xml:space="preserve">SEA = IT Ops</t>
  </si>
  <si>
    <t xml:space="preserve">TDA = ProdDev</t>
  </si>
  <si>
    <t xml:space="preserve">THR = MSSP</t>
  </si>
  <si>
    <t xml:space="preserve">TPM = GRC Analyst</t>
  </si>
  <si>
    <t xml:space="preserve">VPM = IT Ops - Shared</t>
  </si>
  <si>
    <t xml:space="preserve">WEB = ProdDev</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</si>
</sst>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t="s">
        <v>8</v>
      </c>
    </row>
    <row r="12" customFormat="false" ht="23.8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3" min="3" style="0" width="44"/>
    <col collapsed="false" customWidth="true" hidden="false" outlineLevel="0" max="4" min="4" style="0" width="36"/>
    <col collapsed="false" customWidth="true" hidden="false" outlineLevel="0" max="5" min="5" style="0" width="90"/>
    <col collapsed="false" customWidth="true" hidden="false" outlineLevel="0" max="7" min="6" style="0" width="16"/>
  </cols>
  <sheetData>
    <row r="1" customFormat="false" ht="31.5" hidden="false" customHeight="true" outlineLevel="0" collapsed="false">
      <c r="A1" s="4" t="s">
        <v>21</v>
      </c>
      <c r="B1" s="4" t="s">
        <v>22</v>
      </c>
      <c r="C1" s="4" t="s">
        <v>23</v>
      </c>
      <c r="D1" s="4" t="s">
        <v>24</v>
      </c>
      <c r="E1" s="4" t="s">
        <v>25</v>
      </c>
      <c r="F1" s="4" t="s">
        <v>26</v>
      </c>
      <c r="G1" s="4" t="s">
        <v>27</v>
      </c>
    </row>
    <row r="2" customFormat="false" ht="23.85" hidden="false" customHeight="false" outlineLevel="0" collapsed="false">
      <c r="A2" s="5" t="s">
        <v>28</v>
      </c>
      <c r="B2" s="5" t="s">
        <v>29</v>
      </c>
      <c r="C2" s="5" t="s">
        <v>30</v>
      </c>
      <c r="D2" s="5" t="s">
        <v>31</v>
      </c>
      <c r="E2" s="5" t="s">
        <v>32</v>
      </c>
      <c r="F2" s="5" t="n">
        <v>112</v>
      </c>
      <c r="G2" s="5" t="n">
        <v>112</v>
      </c>
    </row>
    <row r="3" customFormat="false" ht="23.85" hidden="false" customHeight="false" outlineLevel="0" collapsed="false">
      <c r="A3" s="5" t="s">
        <v>33</v>
      </c>
      <c r="B3" s="5" t="s">
        <v>34</v>
      </c>
      <c r="C3" s="5" t="s">
        <v>30</v>
      </c>
      <c r="D3" s="5" t="s">
        <v>35</v>
      </c>
      <c r="E3" s="5" t="s">
        <v>36</v>
      </c>
      <c r="F3" s="5" t="n">
        <v>80</v>
      </c>
      <c r="G3" s="5" t="n">
        <v>80</v>
      </c>
    </row>
    <row r="4" customFormat="false" ht="23.85" hidden="false" customHeight="false" outlineLevel="0" collapsed="false">
      <c r="A4" s="5" t="s">
        <v>37</v>
      </c>
      <c r="B4" s="5" t="s">
        <v>38</v>
      </c>
      <c r="C4" s="5" t="s">
        <v>30</v>
      </c>
      <c r="D4" s="5" t="s">
        <v>39</v>
      </c>
      <c r="E4" s="5" t="s">
        <v>40</v>
      </c>
      <c r="F4" s="5" t="n">
        <v>89</v>
      </c>
      <c r="G4" s="5" t="n">
        <v>89</v>
      </c>
    </row>
    <row r="5" customFormat="false" ht="23.85" hidden="false" customHeight="false" outlineLevel="0" collapsed="false">
      <c r="A5" s="5" t="s">
        <v>41</v>
      </c>
      <c r="B5" s="5" t="s">
        <v>42</v>
      </c>
      <c r="C5" s="5" t="s">
        <v>30</v>
      </c>
      <c r="D5" s="5" t="s">
        <v>43</v>
      </c>
      <c r="E5" s="5" t="s">
        <v>44</v>
      </c>
      <c r="F5" s="5" t="n">
        <v>390</v>
      </c>
      <c r="G5" s="5" t="n">
        <v>390</v>
      </c>
    </row>
    <row r="6" customFormat="false" ht="23.85" hidden="false" customHeight="false" outlineLevel="0" collapsed="false">
      <c r="A6" s="5" t="s">
        <v>45</v>
      </c>
      <c r="B6" s="5" t="s">
        <v>46</v>
      </c>
      <c r="C6" s="5" t="s">
        <v>30</v>
      </c>
      <c r="D6" s="5" t="s">
        <v>47</v>
      </c>
      <c r="E6" s="5" t="s">
        <v>48</v>
      </c>
      <c r="F6" s="5" t="n">
        <v>122</v>
      </c>
      <c r="G6" s="5" t="n">
        <v>122</v>
      </c>
    </row>
    <row r="7" customFormat="false" ht="15" hidden="false" customHeight="false" outlineLevel="0" collapsed="false">
      <c r="A7" s="5" t="s">
        <v>49</v>
      </c>
      <c r="B7" s="5" t="s">
        <v>50</v>
      </c>
      <c r="C7" s="5" t="s">
        <v>30</v>
      </c>
      <c r="D7" s="5" t="s">
        <v>51</v>
      </c>
      <c r="E7" s="5" t="s">
        <v>52</v>
      </c>
      <c r="F7" s="5" t="n">
        <v>126</v>
      </c>
      <c r="G7" s="5" t="n">
        <v>126</v>
      </c>
    </row>
    <row r="8" customFormat="false" ht="15" hidden="false" customHeight="false" outlineLevel="0" collapsed="false">
      <c r="A8" s="5" t="s">
        <v>53</v>
      </c>
      <c r="B8" s="5" t="s">
        <v>54</v>
      </c>
      <c r="C8" s="5" t="s">
        <v>55</v>
      </c>
      <c r="D8" s="5" t="s">
        <v>56</v>
      </c>
      <c r="E8" s="5" t="s">
        <v>57</v>
      </c>
      <c r="F8" s="5" t="n">
        <v>250</v>
      </c>
      <c r="G8" s="5" t="n">
        <v>250</v>
      </c>
    </row>
    <row r="9" customFormat="false" ht="15" hidden="false" customHeight="false" outlineLevel="0" collapsed="false">
      <c r="A9" s="5" t="s">
        <v>58</v>
      </c>
      <c r="B9" s="5" t="s">
        <v>59</v>
      </c>
      <c r="C9" s="5" t="s">
        <v>55</v>
      </c>
      <c r="D9" s="5" t="s">
        <v>60</v>
      </c>
      <c r="E9" s="5" t="s">
        <v>61</v>
      </c>
      <c r="F9" s="5" t="n">
        <v>157</v>
      </c>
      <c r="G9" s="5" t="n">
        <v>157</v>
      </c>
    </row>
    <row r="10" customFormat="false" ht="15" hidden="false" customHeight="false" outlineLevel="0" collapsed="false">
      <c r="A10" s="5" t="s">
        <v>62</v>
      </c>
      <c r="B10" s="5" t="s">
        <v>63</v>
      </c>
      <c r="C10" s="5" t="s">
        <v>55</v>
      </c>
      <c r="D10" s="5" t="s">
        <v>64</v>
      </c>
      <c r="E10" s="5" t="s">
        <v>65</v>
      </c>
      <c r="F10" s="5" t="n">
        <v>224</v>
      </c>
      <c r="G10" s="5" t="n">
        <v>224</v>
      </c>
    </row>
    <row r="11" customFormat="false" ht="15" hidden="false" customHeight="false" outlineLevel="0" collapsed="false">
      <c r="A11" s="5" t="s">
        <v>66</v>
      </c>
      <c r="B11" s="5" t="s">
        <v>67</v>
      </c>
      <c r="C11" s="5" t="s">
        <v>68</v>
      </c>
      <c r="D11" s="5" t="s">
        <v>69</v>
      </c>
      <c r="E11" s="5" t="s">
        <v>70</v>
      </c>
      <c r="F11" s="5" t="n">
        <v>25</v>
      </c>
      <c r="G11" s="5" t="n">
        <v>25</v>
      </c>
    </row>
    <row r="12" customFormat="false" ht="15" hidden="false" customHeight="false" outlineLevel="0" collapsed="false">
      <c r="A12" s="5" t="s">
        <v>71</v>
      </c>
      <c r="B12" s="5" t="s">
        <v>72</v>
      </c>
      <c r="C12" s="5" t="s">
        <v>68</v>
      </c>
      <c r="D12" s="5" t="s">
        <v>73</v>
      </c>
      <c r="E12" s="5" t="s">
        <v>74</v>
      </c>
      <c r="F12" s="5" t="n">
        <v>253</v>
      </c>
      <c r="G12" s="5" t="n">
        <v>250</v>
      </c>
    </row>
    <row r="13" customFormat="false" ht="15" hidden="false" customHeight="false" outlineLevel="0" collapsed="false">
      <c r="A13" s="5" t="s">
        <v>75</v>
      </c>
      <c r="B13" s="5" t="s">
        <v>76</v>
      </c>
      <c r="C13" s="5" t="s">
        <v>68</v>
      </c>
      <c r="D13" s="5" t="s">
        <v>77</v>
      </c>
      <c r="E13" s="5" t="s">
        <v>78</v>
      </c>
      <c r="F13" s="5" t="n">
        <v>132</v>
      </c>
      <c r="G13" s="5" t="n">
        <v>132</v>
      </c>
    </row>
    <row r="14" customFormat="false" ht="15" hidden="false" customHeight="false" outlineLevel="0" collapsed="false">
      <c r="A14" s="5" t="s">
        <v>79</v>
      </c>
      <c r="B14" s="5" t="s">
        <v>80</v>
      </c>
      <c r="C14" s="5" t="s">
        <v>68</v>
      </c>
      <c r="D14" s="5" t="s">
        <v>81</v>
      </c>
      <c r="E14" s="5" t="s">
        <v>82</v>
      </c>
      <c r="F14" s="5" t="n">
        <v>19</v>
      </c>
      <c r="G14" s="5" t="n">
        <v>19</v>
      </c>
    </row>
    <row r="15" customFormat="false" ht="15" hidden="false" customHeight="false" outlineLevel="0" collapsed="false">
      <c r="A15" s="5" t="s">
        <v>83</v>
      </c>
      <c r="B15" s="5" t="s">
        <v>84</v>
      </c>
      <c r="C15" s="5" t="s">
        <v>85</v>
      </c>
      <c r="D15" s="5" t="s">
        <v>84</v>
      </c>
      <c r="E15" s="5" t="s">
        <v>86</v>
      </c>
      <c r="F15" s="5" t="n">
        <v>153</v>
      </c>
      <c r="G15" s="5" t="n">
        <v>153</v>
      </c>
    </row>
    <row r="16" customFormat="false" ht="15" hidden="false" customHeight="false" outlineLevel="0" collapsed="false">
      <c r="A16" s="5" t="s">
        <v>87</v>
      </c>
      <c r="B16" s="5" t="s">
        <v>88</v>
      </c>
      <c r="C16" s="5" t="s">
        <v>85</v>
      </c>
      <c r="D16" s="5" t="s">
        <v>89</v>
      </c>
      <c r="E16" s="5" t="s">
        <v>90</v>
      </c>
      <c r="F16" s="5" t="n">
        <v>346</v>
      </c>
      <c r="G16" s="5" t="n">
        <v>346</v>
      </c>
    </row>
    <row r="17" customFormat="false" ht="15" hidden="false" customHeight="false" outlineLevel="0" collapsed="false">
      <c r="A17" s="5" t="s">
        <v>91</v>
      </c>
      <c r="B17" s="5" t="s">
        <v>92</v>
      </c>
      <c r="C17" s="5" t="s">
        <v>30</v>
      </c>
      <c r="D17" s="5" t="s">
        <v>93</v>
      </c>
      <c r="E17" s="5" t="s">
        <v>94</v>
      </c>
      <c r="F17" s="5" t="n">
        <v>69</v>
      </c>
      <c r="G17" s="5" t="n">
        <v>69</v>
      </c>
    </row>
    <row r="18" customFormat="false" ht="23.85" hidden="false" customHeight="false" outlineLevel="0" collapsed="false">
      <c r="A18" s="5"/>
      <c r="B18" s="5" t="s">
        <v>95</v>
      </c>
      <c r="C18" s="5"/>
      <c r="D18" s="5"/>
      <c r="E18" s="5" t="s">
        <v>96</v>
      </c>
      <c r="F18" s="5"/>
      <c r="G18" s="5"/>
    </row>
    <row r="19" customFormat="false" ht="15" hidden="false" customHeight="false" outlineLevel="0" collapsed="false">
      <c r="A19" s="5"/>
      <c r="B19" s="5" t="s">
        <v>97</v>
      </c>
      <c r="C19" s="5"/>
      <c r="D19" s="5"/>
      <c r="E19" s="5"/>
      <c r="F19" s="5" t="n">
        <v>1534</v>
      </c>
      <c r="G19" s="5" t="n">
        <v>809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8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26"/>
    <col collapsed="false" customWidth="true" hidden="false" outlineLevel="0" max="4" min="4" style="0" width="10"/>
    <col collapsed="false" customWidth="true" hidden="false" outlineLevel="0" max="5" min="5" style="0" width="12"/>
    <col collapsed="false" customWidth="true" hidden="false" outlineLevel="0" max="6" min="6" style="0" width="50"/>
    <col collapsed="false" customWidth="true" hidden="false" outlineLevel="0" max="7" min="7" style="0" width="40"/>
    <col collapsed="false" customWidth="true" hidden="false" outlineLevel="0" max="8" min="8" style="0" width="11"/>
    <col collapsed="false" customWidth="true" hidden="false" outlineLevel="0" max="9" min="9" style="0" width="12"/>
    <col collapsed="false" customWidth="true" hidden="false" outlineLevel="0" max="10" min="10" style="0" width="13"/>
    <col collapsed="false" customWidth="true" hidden="false" outlineLevel="0" max="11" min="11" style="0" width="16"/>
    <col collapsed="false" customWidth="true" hidden="false" outlineLevel="0" max="12" min="12" style="0" width="26"/>
    <col collapsed="false" customWidth="true" hidden="false" outlineLevel="0" max="13" min="13" style="0" width="12"/>
    <col collapsed="false" customWidth="true" hidden="false" outlineLevel="0" max="14" min="14" style="0" width="44"/>
    <col collapsed="false" customWidth="true" hidden="false" outlineLevel="0" max="15" min="15" style="0" width="28"/>
    <col collapsed="false" customWidth="true" hidden="false" outlineLevel="0" max="16" min="16" style="0" width="24"/>
    <col collapsed="false" customWidth="true" hidden="false" outlineLevel="0" max="17" min="17" style="0" width="18"/>
    <col collapsed="false" customWidth="true" hidden="false" outlineLevel="0" max="18" min="18" style="0" width="30"/>
    <col collapsed="false" customWidth="true" hidden="false" outlineLevel="0" max="19" min="19" style="0" width="34"/>
    <col collapsed="false" customWidth="true" hidden="false" outlineLevel="0" max="20" min="20" style="0" width="13"/>
    <col collapsed="false" customWidth="true" hidden="false" outlineLevel="0" max="21" min="21" style="0" width="11"/>
    <col collapsed="false" customWidth="true" hidden="false" outlineLevel="0" max="22" min="22" style="0" width="34"/>
    <col collapsed="false" customWidth="true" hidden="false" outlineLevel="0" max="24" min="23" style="0" width="60"/>
    <col collapsed="false" customWidth="true" hidden="false" outlineLevel="0" max="26" min="25" style="0" width="70"/>
    <col collapsed="false" customWidth="true" hidden="false" outlineLevel="0" max="28" min="27" style="0" width="18"/>
    <col collapsed="false" customWidth="true" hidden="false" outlineLevel="0" max="29" min="29" style="0" width="16"/>
    <col collapsed="false" customWidth="true" hidden="false" outlineLevel="0" max="33" min="30" style="0" width="18"/>
    <col collapsed="false" customWidth="true" hidden="false" outlineLevel="0" max="34" min="34" style="0" width="22"/>
    <col collapsed="false" customWidth="true" hidden="false" outlineLevel="0" max="35" min="35" style="0" width="12"/>
    <col collapsed="false" customWidth="true" hidden="false" outlineLevel="0" max="37" min="36" style="0" width="22"/>
    <col collapsed="false" customWidth="true" hidden="false" outlineLevel="0" max="38" min="38" style="0" width="20"/>
    <col collapsed="false" customWidth="true" hidden="false" outlineLevel="0" max="42" min="39" style="0" width="16"/>
    <col collapsed="false" customWidth="true" hidden="false" outlineLevel="0" max="43" min="43" style="0" width="14"/>
    <col collapsed="false" customWidth="true" hidden="false" outlineLevel="0" max="44" min="44" style="0" width="30"/>
    <col collapsed="false" customWidth="true" hidden="false" outlineLevel="0" max="47" min="45" style="0" width="14"/>
    <col collapsed="false" customWidth="true" hidden="false" outlineLevel="0" max="48" min="48" style="0" width="12"/>
    <col collapsed="false" customWidth="true" hidden="false" outlineLevel="0" max="49" min="49" style="0" width="40"/>
  </cols>
  <sheetData>
    <row r="1" customFormat="false" ht="31.5" hidden="false" customHeight="true" outlineLevel="0" collapsed="false">
      <c r="A1" s="4" t="s">
        <v>98</v>
      </c>
      <c r="B1" s="4" t="s">
        <v>99</v>
      </c>
      <c r="C1" s="4" t="s">
        <v>100</v>
      </c>
      <c r="D1" s="4" t="s">
        <v>101</v>
      </c>
      <c r="E1" s="4" t="s">
        <v>102</v>
      </c>
      <c r="F1" s="4" t="s">
        <v>103</v>
      </c>
      <c r="G1" s="4" t="s">
        <v>104</v>
      </c>
      <c r="H1" s="4" t="s">
        <v>105</v>
      </c>
      <c r="I1" s="4" t="s">
        <v>106</v>
      </c>
      <c r="J1" s="4" t="s">
        <v>107</v>
      </c>
      <c r="K1" s="4" t="s">
        <v>108</v>
      </c>
      <c r="L1" s="4" t="s">
        <v>109</v>
      </c>
      <c r="M1" s="4" t="s">
        <v>110</v>
      </c>
      <c r="N1" s="4" t="s">
        <v>111</v>
      </c>
      <c r="O1" s="4" t="s">
        <v>112</v>
      </c>
      <c r="P1" s="4" t="s">
        <v>113</v>
      </c>
      <c r="Q1" s="4" t="s">
        <v>114</v>
      </c>
      <c r="R1" s="4" t="s">
        <v>115</v>
      </c>
      <c r="S1" s="4" t="s">
        <v>116</v>
      </c>
      <c r="T1" s="4" t="s">
        <v>117</v>
      </c>
      <c r="U1" s="4" t="s">
        <v>118</v>
      </c>
      <c r="V1" s="4" t="s">
        <v>119</v>
      </c>
      <c r="W1" s="4" t="s">
        <v>120</v>
      </c>
      <c r="X1" s="4" t="s">
        <v>121</v>
      </c>
      <c r="Y1" s="4" t="s">
        <v>122</v>
      </c>
      <c r="Z1" s="4" t="s">
        <v>123</v>
      </c>
      <c r="AA1" s="4" t="s">
        <v>124</v>
      </c>
      <c r="AB1" s="4" t="s">
        <v>125</v>
      </c>
      <c r="AC1" s="4" t="s">
        <v>126</v>
      </c>
      <c r="AD1" s="4" t="s">
        <v>127</v>
      </c>
      <c r="AE1" s="4" t="s">
        <v>128</v>
      </c>
      <c r="AF1" s="4" t="s">
        <v>129</v>
      </c>
      <c r="AG1" s="4" t="s">
        <v>130</v>
      </c>
      <c r="AH1" s="4" t="s">
        <v>131</v>
      </c>
      <c r="AI1" s="4" t="s">
        <v>132</v>
      </c>
      <c r="AJ1" s="4" t="s">
        <v>133</v>
      </c>
      <c r="AK1" s="4" t="s">
        <v>56</v>
      </c>
      <c r="AL1" s="4" t="s">
        <v>134</v>
      </c>
      <c r="AM1" s="4" t="s">
        <v>135</v>
      </c>
      <c r="AN1" s="4" t="s">
        <v>136</v>
      </c>
      <c r="AO1" s="4" t="s">
        <v>137</v>
      </c>
      <c r="AP1" s="4" t="s">
        <v>84</v>
      </c>
      <c r="AQ1" s="4" t="s">
        <v>138</v>
      </c>
      <c r="AR1" s="4" t="s">
        <v>139</v>
      </c>
      <c r="AS1" s="4" t="s">
        <v>140</v>
      </c>
      <c r="AT1" s="4" t="s">
        <v>141</v>
      </c>
      <c r="AU1" s="4" t="s">
        <v>142</v>
      </c>
      <c r="AV1" s="4" t="s">
        <v>143</v>
      </c>
      <c r="AW1" s="4" t="s">
        <v>144</v>
      </c>
    </row>
    <row r="2" customFormat="false" ht="225.35" hidden="false" customHeight="false" outlineLevel="0" collapsed="false">
      <c r="A2" s="5" t="s">
        <v>145</v>
      </c>
      <c r="B2" s="5" t="s">
        <v>146</v>
      </c>
      <c r="C2" s="5" t="s">
        <v>147</v>
      </c>
      <c r="D2" s="5" t="s">
        <v>148</v>
      </c>
      <c r="E2" s="5" t="s">
        <v>149</v>
      </c>
      <c r="F2" s="5" t="s">
        <v>150</v>
      </c>
      <c r="G2" s="5" t="s">
        <v>151</v>
      </c>
      <c r="H2" s="5" t="n">
        <v>10</v>
      </c>
      <c r="I2" s="5" t="s">
        <v>152</v>
      </c>
      <c r="J2" s="5" t="s">
        <v>153</v>
      </c>
      <c r="K2" s="5" t="s">
        <v>154</v>
      </c>
      <c r="L2" s="5" t="s">
        <v>30</v>
      </c>
      <c r="M2" s="5" t="s">
        <v>155</v>
      </c>
      <c r="N2" s="5" t="s">
        <v>156</v>
      </c>
      <c r="O2" s="5" t="s">
        <v>157</v>
      </c>
      <c r="P2" s="5" t="s">
        <v>158</v>
      </c>
      <c r="Q2" s="5" t="s">
        <v>159</v>
      </c>
      <c r="R2" s="5" t="s">
        <v>160</v>
      </c>
      <c r="S2" s="5" t="s">
        <v>161</v>
      </c>
      <c r="T2" s="5" t="s">
        <v>162</v>
      </c>
      <c r="U2" s="5" t="n">
        <v>365</v>
      </c>
      <c r="V2" s="5" t="s">
        <v>163</v>
      </c>
      <c r="W2" s="5" t="s">
        <v>164</v>
      </c>
      <c r="X2" s="5" t="s">
        <v>165</v>
      </c>
      <c r="Y2" s="5" t="s">
        <v>166</v>
      </c>
      <c r="Z2" s="5" t="s">
        <v>167</v>
      </c>
      <c r="AA2" s="5" t="s">
        <v>168</v>
      </c>
      <c r="AB2" s="5"/>
      <c r="AC2" s="5"/>
      <c r="AD2" s="5"/>
      <c r="AE2" s="5"/>
      <c r="AF2" s="5" t="s">
        <v>169</v>
      </c>
      <c r="AG2" s="5" t="s">
        <v>169</v>
      </c>
      <c r="AH2" s="5" t="s">
        <v>170</v>
      </c>
      <c r="AI2" s="5"/>
      <c r="AJ2" s="5" t="s">
        <v>171</v>
      </c>
      <c r="AK2" s="5" t="s">
        <v>172</v>
      </c>
      <c r="AL2" s="5" t="s">
        <v>169</v>
      </c>
      <c r="AM2" s="5"/>
      <c r="AN2" s="5"/>
      <c r="AO2" s="5" t="s">
        <v>173</v>
      </c>
      <c r="AP2" s="5" t="s">
        <v>174</v>
      </c>
      <c r="AQ2" s="5" t="s">
        <v>169</v>
      </c>
      <c r="AR2" s="5" t="s">
        <v>175</v>
      </c>
      <c r="AS2" s="5" t="s">
        <v>176</v>
      </c>
      <c r="AT2" s="5" t="s">
        <v>177</v>
      </c>
      <c r="AU2" s="5"/>
      <c r="AV2" s="5" t="s">
        <v>178</v>
      </c>
      <c r="AW2" s="5" t="s">
        <v>179</v>
      </c>
    </row>
    <row r="3" customFormat="false" ht="169.4" hidden="false" customHeight="false" outlineLevel="0" collapsed="false">
      <c r="A3" s="5" t="s">
        <v>180</v>
      </c>
      <c r="B3" s="5" t="s">
        <v>181</v>
      </c>
      <c r="C3" s="5" t="s">
        <v>147</v>
      </c>
      <c r="D3" s="5" t="s">
        <v>148</v>
      </c>
      <c r="E3" s="5" t="s">
        <v>149</v>
      </c>
      <c r="F3" s="5" t="s">
        <v>182</v>
      </c>
      <c r="G3" s="5" t="s">
        <v>183</v>
      </c>
      <c r="H3" s="5" t="n">
        <v>7</v>
      </c>
      <c r="I3" s="5" t="s">
        <v>152</v>
      </c>
      <c r="J3" s="5" t="s">
        <v>153</v>
      </c>
      <c r="K3" s="5" t="s">
        <v>184</v>
      </c>
      <c r="L3" s="5" t="s">
        <v>55</v>
      </c>
      <c r="M3" s="5" t="s">
        <v>185</v>
      </c>
      <c r="N3" s="5" t="s">
        <v>186</v>
      </c>
      <c r="O3" s="5" t="s">
        <v>187</v>
      </c>
      <c r="P3" s="5" t="s">
        <v>158</v>
      </c>
      <c r="Q3" s="5" t="s">
        <v>188</v>
      </c>
      <c r="R3" s="5" t="s">
        <v>160</v>
      </c>
      <c r="S3" s="5" t="s">
        <v>161</v>
      </c>
      <c r="T3" s="5" t="s">
        <v>162</v>
      </c>
      <c r="U3" s="5" t="n">
        <v>365</v>
      </c>
      <c r="V3" s="5" t="s">
        <v>163</v>
      </c>
      <c r="W3" s="5" t="s">
        <v>164</v>
      </c>
      <c r="X3" s="5" t="s">
        <v>189</v>
      </c>
      <c r="Y3" s="5" t="s">
        <v>190</v>
      </c>
      <c r="Z3" s="5" t="s">
        <v>191</v>
      </c>
      <c r="AA3" s="5"/>
      <c r="AB3" s="5"/>
      <c r="AC3" s="5"/>
      <c r="AD3" s="5"/>
      <c r="AE3" s="5"/>
      <c r="AF3" s="5"/>
      <c r="AG3" s="5"/>
      <c r="AH3" s="5"/>
      <c r="AI3" s="5"/>
      <c r="AJ3" s="5" t="s">
        <v>192</v>
      </c>
      <c r="AK3" s="5" t="s">
        <v>193</v>
      </c>
      <c r="AL3" s="5"/>
      <c r="AM3" s="5"/>
      <c r="AN3" s="5"/>
      <c r="AO3" s="5"/>
      <c r="AP3" s="5"/>
      <c r="AQ3" s="5"/>
      <c r="AR3" s="5"/>
      <c r="AS3" s="5" t="s">
        <v>194</v>
      </c>
      <c r="AT3" s="5"/>
      <c r="AU3" s="5"/>
      <c r="AV3" s="5" t="s">
        <v>178</v>
      </c>
      <c r="AW3" s="5" t="s">
        <v>195</v>
      </c>
    </row>
    <row r="4" customFormat="false" ht="158.2" hidden="false" customHeight="false" outlineLevel="0" collapsed="false">
      <c r="A4" s="5" t="s">
        <v>196</v>
      </c>
      <c r="B4" s="5" t="s">
        <v>197</v>
      </c>
      <c r="C4" s="5" t="s">
        <v>147</v>
      </c>
      <c r="D4" s="5" t="s">
        <v>148</v>
      </c>
      <c r="E4" s="5" t="s">
        <v>149</v>
      </c>
      <c r="F4" s="5" t="s">
        <v>198</v>
      </c>
      <c r="G4" s="5" t="s">
        <v>199</v>
      </c>
      <c r="H4" s="5" t="n">
        <v>5</v>
      </c>
      <c r="I4" s="5" t="s">
        <v>152</v>
      </c>
      <c r="J4" s="5" t="s">
        <v>153</v>
      </c>
      <c r="K4" s="5" t="s">
        <v>200</v>
      </c>
      <c r="L4" s="5" t="s">
        <v>55</v>
      </c>
      <c r="M4" s="5" t="s">
        <v>185</v>
      </c>
      <c r="N4" s="5" t="s">
        <v>201</v>
      </c>
      <c r="O4" s="5" t="s">
        <v>187</v>
      </c>
      <c r="P4" s="5" t="s">
        <v>158</v>
      </c>
      <c r="Q4" s="5" t="s">
        <v>188</v>
      </c>
      <c r="R4" s="5" t="s">
        <v>160</v>
      </c>
      <c r="S4" s="5" t="s">
        <v>161</v>
      </c>
      <c r="T4" s="5" t="s">
        <v>162</v>
      </c>
      <c r="U4" s="5" t="n">
        <v>365</v>
      </c>
      <c r="V4" s="5" t="s">
        <v>163</v>
      </c>
      <c r="W4" s="5" t="s">
        <v>164</v>
      </c>
      <c r="X4" s="5" t="s">
        <v>202</v>
      </c>
      <c r="Y4" s="5" t="s">
        <v>203</v>
      </c>
      <c r="Z4" s="5" t="s">
        <v>204</v>
      </c>
      <c r="AA4" s="5"/>
      <c r="AB4" s="5"/>
      <c r="AC4" s="5"/>
      <c r="AD4" s="5"/>
      <c r="AE4" s="5"/>
      <c r="AF4" s="5"/>
      <c r="AG4" s="5"/>
      <c r="AH4" s="5"/>
      <c r="AI4" s="5"/>
      <c r="AJ4" s="5" t="s">
        <v>205</v>
      </c>
      <c r="AK4" s="5" t="s">
        <v>206</v>
      </c>
      <c r="AL4" s="5"/>
      <c r="AM4" s="5"/>
      <c r="AN4" s="5"/>
      <c r="AO4" s="5"/>
      <c r="AP4" s="5" t="s">
        <v>207</v>
      </c>
      <c r="AQ4" s="5"/>
      <c r="AR4" s="5"/>
      <c r="AS4" s="5" t="s">
        <v>208</v>
      </c>
      <c r="AT4" s="5"/>
      <c r="AU4" s="5"/>
      <c r="AV4" s="5" t="s">
        <v>178</v>
      </c>
      <c r="AW4" s="5" t="s">
        <v>209</v>
      </c>
    </row>
    <row r="5" customFormat="false" ht="135.8" hidden="false" customHeight="false" outlineLevel="0" collapsed="false">
      <c r="A5" s="5" t="s">
        <v>210</v>
      </c>
      <c r="B5" s="5" t="s">
        <v>211</v>
      </c>
      <c r="C5" s="5" t="s">
        <v>147</v>
      </c>
      <c r="D5" s="5" t="s">
        <v>148</v>
      </c>
      <c r="E5" s="5" t="s">
        <v>149</v>
      </c>
      <c r="F5" s="5" t="s">
        <v>212</v>
      </c>
      <c r="G5" s="5" t="s">
        <v>213</v>
      </c>
      <c r="H5" s="5" t="n">
        <v>7</v>
      </c>
      <c r="I5" s="5" t="s">
        <v>152</v>
      </c>
      <c r="J5" s="5" t="s">
        <v>153</v>
      </c>
      <c r="K5" s="5"/>
      <c r="L5" s="5" t="s">
        <v>85</v>
      </c>
      <c r="M5" s="5" t="s">
        <v>185</v>
      </c>
      <c r="N5" s="5" t="s">
        <v>84</v>
      </c>
      <c r="O5" s="5" t="s">
        <v>214</v>
      </c>
      <c r="P5" s="5" t="s">
        <v>215</v>
      </c>
      <c r="Q5" s="5" t="s">
        <v>159</v>
      </c>
      <c r="R5" s="5" t="s">
        <v>160</v>
      </c>
      <c r="S5" s="5" t="s">
        <v>161</v>
      </c>
      <c r="T5" s="5" t="s">
        <v>162</v>
      </c>
      <c r="U5" s="5" t="n">
        <v>365</v>
      </c>
      <c r="V5" s="5" t="s">
        <v>163</v>
      </c>
      <c r="W5" s="5" t="s">
        <v>164</v>
      </c>
      <c r="X5" s="5" t="s">
        <v>216</v>
      </c>
      <c r="Y5" s="5" t="s">
        <v>217</v>
      </c>
      <c r="Z5" s="5" t="s">
        <v>218</v>
      </c>
      <c r="AA5" s="5"/>
      <c r="AB5" s="5"/>
      <c r="AC5" s="5"/>
      <c r="AD5" s="5"/>
      <c r="AE5" s="5"/>
      <c r="AF5" s="5"/>
      <c r="AG5" s="5"/>
      <c r="AH5" s="5"/>
      <c r="AI5" s="5"/>
      <c r="AJ5" s="5"/>
      <c r="AK5" s="5"/>
      <c r="AL5" s="5"/>
      <c r="AM5" s="5"/>
      <c r="AN5" s="5"/>
      <c r="AO5" s="5"/>
      <c r="AP5" s="5" t="s">
        <v>219</v>
      </c>
      <c r="AQ5" s="5"/>
      <c r="AR5" s="5"/>
      <c r="AS5" s="5"/>
      <c r="AT5" s="5"/>
      <c r="AU5" s="5"/>
      <c r="AV5" s="5"/>
      <c r="AW5" s="5" t="s">
        <v>220</v>
      </c>
    </row>
    <row r="6" customFormat="false" ht="247.75" hidden="false" customHeight="false" outlineLevel="0" collapsed="false">
      <c r="A6" s="5" t="s">
        <v>221</v>
      </c>
      <c r="B6" s="5" t="s">
        <v>222</v>
      </c>
      <c r="C6" s="5" t="s">
        <v>147</v>
      </c>
      <c r="D6" s="5" t="s">
        <v>148</v>
      </c>
      <c r="E6" s="5" t="s">
        <v>149</v>
      </c>
      <c r="F6" s="5" t="s">
        <v>223</v>
      </c>
      <c r="G6" s="5" t="s">
        <v>224</v>
      </c>
      <c r="H6" s="5" t="n">
        <v>10</v>
      </c>
      <c r="I6" s="5" t="s">
        <v>152</v>
      </c>
      <c r="J6" s="5" t="s">
        <v>153</v>
      </c>
      <c r="K6" s="5" t="s">
        <v>225</v>
      </c>
      <c r="L6" s="5" t="s">
        <v>30</v>
      </c>
      <c r="M6" s="5" t="s">
        <v>155</v>
      </c>
      <c r="N6" s="5" t="s">
        <v>226</v>
      </c>
      <c r="O6" s="5" t="s">
        <v>157</v>
      </c>
      <c r="P6" s="5" t="s">
        <v>158</v>
      </c>
      <c r="Q6" s="5" t="s">
        <v>227</v>
      </c>
      <c r="R6" s="5" t="s">
        <v>160</v>
      </c>
      <c r="S6" s="5" t="s">
        <v>161</v>
      </c>
      <c r="T6" s="5" t="s">
        <v>162</v>
      </c>
      <c r="U6" s="5" t="n">
        <v>365</v>
      </c>
      <c r="V6" s="5" t="s">
        <v>163</v>
      </c>
      <c r="W6" s="5" t="s">
        <v>164</v>
      </c>
      <c r="X6" s="5" t="s">
        <v>228</v>
      </c>
      <c r="Y6" s="5" t="s">
        <v>229</v>
      </c>
      <c r="Z6" s="5" t="s">
        <v>230</v>
      </c>
      <c r="AA6" s="5"/>
      <c r="AB6" s="5"/>
      <c r="AC6" s="5"/>
      <c r="AD6" s="5"/>
      <c r="AE6" s="5" t="s">
        <v>231</v>
      </c>
      <c r="AF6" s="5" t="s">
        <v>232</v>
      </c>
      <c r="AG6" s="5" t="s">
        <v>233</v>
      </c>
      <c r="AH6" s="5"/>
      <c r="AI6" s="5"/>
      <c r="AJ6" s="5" t="s">
        <v>234</v>
      </c>
      <c r="AK6" s="5" t="s">
        <v>235</v>
      </c>
      <c r="AL6" s="5" t="s">
        <v>232</v>
      </c>
      <c r="AM6" s="5"/>
      <c r="AN6" s="5" t="s">
        <v>236</v>
      </c>
      <c r="AO6" s="5" t="s">
        <v>237</v>
      </c>
      <c r="AP6" s="5" t="s">
        <v>238</v>
      </c>
      <c r="AQ6" s="5" t="s">
        <v>232</v>
      </c>
      <c r="AR6" s="5" t="s">
        <v>239</v>
      </c>
      <c r="AS6" s="5" t="s">
        <v>240</v>
      </c>
      <c r="AT6" s="5" t="s">
        <v>241</v>
      </c>
      <c r="AU6" s="5"/>
      <c r="AV6" s="5" t="s">
        <v>178</v>
      </c>
      <c r="AW6" s="5" t="s">
        <v>242</v>
      </c>
    </row>
    <row r="7" customFormat="false" ht="158.2" hidden="false" customHeight="false" outlineLevel="0" collapsed="false">
      <c r="A7" s="5" t="s">
        <v>243</v>
      </c>
      <c r="B7" s="5" t="s">
        <v>244</v>
      </c>
      <c r="C7" s="5" t="s">
        <v>147</v>
      </c>
      <c r="D7" s="5" t="s">
        <v>148</v>
      </c>
      <c r="E7" s="5" t="s">
        <v>149</v>
      </c>
      <c r="F7" s="5" t="s">
        <v>245</v>
      </c>
      <c r="G7" s="5" t="s">
        <v>246</v>
      </c>
      <c r="H7" s="5" t="n">
        <v>8</v>
      </c>
      <c r="I7" s="5" t="s">
        <v>152</v>
      </c>
      <c r="J7" s="5" t="s">
        <v>153</v>
      </c>
      <c r="K7" s="5" t="s">
        <v>247</v>
      </c>
      <c r="L7" s="5" t="s">
        <v>55</v>
      </c>
      <c r="M7" s="5" t="s">
        <v>185</v>
      </c>
      <c r="N7" s="5" t="s">
        <v>54</v>
      </c>
      <c r="O7" s="5" t="s">
        <v>187</v>
      </c>
      <c r="P7" s="5" t="s">
        <v>158</v>
      </c>
      <c r="Q7" s="5" t="s">
        <v>227</v>
      </c>
      <c r="R7" s="5" t="s">
        <v>160</v>
      </c>
      <c r="S7" s="5" t="s">
        <v>161</v>
      </c>
      <c r="T7" s="5" t="s">
        <v>162</v>
      </c>
      <c r="U7" s="5" t="n">
        <v>365</v>
      </c>
      <c r="V7" s="5" t="s">
        <v>163</v>
      </c>
      <c r="W7" s="5" t="s">
        <v>164</v>
      </c>
      <c r="X7" s="5" t="s">
        <v>248</v>
      </c>
      <c r="Y7" s="5" t="s">
        <v>249</v>
      </c>
      <c r="Z7" s="5" t="s">
        <v>250</v>
      </c>
      <c r="AA7" s="5"/>
      <c r="AB7" s="5"/>
      <c r="AC7" s="5"/>
      <c r="AD7" s="5"/>
      <c r="AE7" s="5"/>
      <c r="AF7" s="5"/>
      <c r="AG7" s="5"/>
      <c r="AH7" s="5"/>
      <c r="AI7" s="5"/>
      <c r="AJ7" s="5"/>
      <c r="AK7" s="5" t="s">
        <v>251</v>
      </c>
      <c r="AL7" s="5"/>
      <c r="AM7" s="5"/>
      <c r="AN7" s="5"/>
      <c r="AO7" s="5"/>
      <c r="AP7" s="5"/>
      <c r="AQ7" s="5"/>
      <c r="AR7" s="5"/>
      <c r="AS7" s="5"/>
      <c r="AT7" s="5"/>
      <c r="AU7" s="5"/>
      <c r="AV7" s="5" t="s">
        <v>178</v>
      </c>
      <c r="AW7" s="5" t="s">
        <v>252</v>
      </c>
    </row>
    <row r="8" customFormat="false" ht="247.75" hidden="false" customHeight="false" outlineLevel="0" collapsed="false">
      <c r="A8" s="5" t="s">
        <v>253</v>
      </c>
      <c r="B8" s="5" t="s">
        <v>254</v>
      </c>
      <c r="C8" s="5" t="s">
        <v>147</v>
      </c>
      <c r="D8" s="5" t="s">
        <v>148</v>
      </c>
      <c r="E8" s="5" t="s">
        <v>149</v>
      </c>
      <c r="F8" s="5" t="s">
        <v>255</v>
      </c>
      <c r="G8" s="5" t="s">
        <v>256</v>
      </c>
      <c r="H8" s="5" t="n">
        <v>7</v>
      </c>
      <c r="I8" s="5" t="s">
        <v>152</v>
      </c>
      <c r="J8" s="5" t="s">
        <v>153</v>
      </c>
      <c r="K8" s="5" t="s">
        <v>257</v>
      </c>
      <c r="L8" s="5" t="s">
        <v>30</v>
      </c>
      <c r="M8" s="5" t="s">
        <v>155</v>
      </c>
      <c r="N8" s="5" t="s">
        <v>258</v>
      </c>
      <c r="O8" s="5" t="s">
        <v>157</v>
      </c>
      <c r="P8" s="5" t="s">
        <v>158</v>
      </c>
      <c r="Q8" s="5" t="s">
        <v>159</v>
      </c>
      <c r="R8" s="5" t="s">
        <v>160</v>
      </c>
      <c r="S8" s="5" t="s">
        <v>161</v>
      </c>
      <c r="T8" s="5" t="s">
        <v>162</v>
      </c>
      <c r="U8" s="5" t="n">
        <v>365</v>
      </c>
      <c r="V8" s="5" t="s">
        <v>163</v>
      </c>
      <c r="W8" s="5" t="s">
        <v>164</v>
      </c>
      <c r="X8" s="5" t="s">
        <v>259</v>
      </c>
      <c r="Y8" s="5" t="s">
        <v>260</v>
      </c>
      <c r="Z8" s="5" t="s">
        <v>261</v>
      </c>
      <c r="AA8" s="5"/>
      <c r="AB8" s="5"/>
      <c r="AC8" s="5"/>
      <c r="AD8" s="5"/>
      <c r="AE8" s="5"/>
      <c r="AF8" s="5" t="s">
        <v>232</v>
      </c>
      <c r="AG8" s="5" t="s">
        <v>262</v>
      </c>
      <c r="AH8" s="5" t="s">
        <v>263</v>
      </c>
      <c r="AI8" s="5"/>
      <c r="AJ8" s="5" t="s">
        <v>264</v>
      </c>
      <c r="AK8" s="5" t="s">
        <v>265</v>
      </c>
      <c r="AL8" s="5" t="s">
        <v>232</v>
      </c>
      <c r="AM8" s="5"/>
      <c r="AN8" s="5" t="s">
        <v>266</v>
      </c>
      <c r="AO8" s="5"/>
      <c r="AP8" s="5" t="s">
        <v>267</v>
      </c>
      <c r="AQ8" s="5" t="s">
        <v>232</v>
      </c>
      <c r="AR8" s="5" t="s">
        <v>239</v>
      </c>
      <c r="AS8" s="5" t="s">
        <v>268</v>
      </c>
      <c r="AT8" s="5" t="s">
        <v>241</v>
      </c>
      <c r="AU8" s="5"/>
      <c r="AV8" s="5" t="s">
        <v>178</v>
      </c>
      <c r="AW8" s="5" t="s">
        <v>269</v>
      </c>
    </row>
    <row r="9" customFormat="false" ht="191.75" hidden="false" customHeight="false" outlineLevel="0" collapsed="false">
      <c r="A9" s="5" t="s">
        <v>270</v>
      </c>
      <c r="B9" s="5" t="s">
        <v>271</v>
      </c>
      <c r="C9" s="5" t="s">
        <v>147</v>
      </c>
      <c r="D9" s="5" t="s">
        <v>148</v>
      </c>
      <c r="E9" s="5" t="s">
        <v>149</v>
      </c>
      <c r="F9" s="5" t="s">
        <v>272</v>
      </c>
      <c r="G9" s="5" t="s">
        <v>273</v>
      </c>
      <c r="H9" s="5" t="n">
        <v>10</v>
      </c>
      <c r="I9" s="5" t="s">
        <v>274</v>
      </c>
      <c r="J9" s="5" t="s">
        <v>153</v>
      </c>
      <c r="K9" s="5" t="s">
        <v>275</v>
      </c>
      <c r="L9" s="5" t="s">
        <v>30</v>
      </c>
      <c r="M9" s="5" t="s">
        <v>155</v>
      </c>
      <c r="N9" s="5" t="s">
        <v>276</v>
      </c>
      <c r="O9" s="5" t="s">
        <v>157</v>
      </c>
      <c r="P9" s="5" t="s">
        <v>158</v>
      </c>
      <c r="Q9" s="5" t="s">
        <v>159</v>
      </c>
      <c r="R9" s="5" t="s">
        <v>160</v>
      </c>
      <c r="S9" s="5" t="s">
        <v>161</v>
      </c>
      <c r="T9" s="5" t="s">
        <v>277</v>
      </c>
      <c r="U9" s="5" t="n">
        <v>365</v>
      </c>
      <c r="V9" s="5" t="s">
        <v>163</v>
      </c>
      <c r="W9" s="5" t="s">
        <v>164</v>
      </c>
      <c r="X9" s="5" t="s">
        <v>278</v>
      </c>
      <c r="Y9" s="5" t="s">
        <v>279</v>
      </c>
      <c r="Z9" s="5" t="s">
        <v>280</v>
      </c>
      <c r="AA9" s="5"/>
      <c r="AB9" s="5"/>
      <c r="AC9" s="5"/>
      <c r="AD9" s="5"/>
      <c r="AE9" s="5"/>
      <c r="AF9" s="5" t="s">
        <v>281</v>
      </c>
      <c r="AG9" s="5" t="s">
        <v>282</v>
      </c>
      <c r="AH9" s="5" t="s">
        <v>283</v>
      </c>
      <c r="AI9" s="5" t="s">
        <v>284</v>
      </c>
      <c r="AJ9" s="5" t="s">
        <v>285</v>
      </c>
      <c r="AK9" s="5" t="s">
        <v>286</v>
      </c>
      <c r="AL9" s="5" t="s">
        <v>281</v>
      </c>
      <c r="AM9" s="5"/>
      <c r="AN9" s="5"/>
      <c r="AO9" s="5" t="s">
        <v>287</v>
      </c>
      <c r="AP9" s="5" t="s">
        <v>288</v>
      </c>
      <c r="AQ9" s="5" t="s">
        <v>289</v>
      </c>
      <c r="AR9" s="5" t="s">
        <v>290</v>
      </c>
      <c r="AS9" s="5" t="s">
        <v>291</v>
      </c>
      <c r="AT9" s="5" t="s">
        <v>292</v>
      </c>
      <c r="AU9" s="5"/>
      <c r="AV9" s="5" t="s">
        <v>178</v>
      </c>
      <c r="AW9" s="5" t="s">
        <v>293</v>
      </c>
    </row>
    <row r="10" customFormat="false" ht="158.2" hidden="false" customHeight="false" outlineLevel="0" collapsed="false">
      <c r="A10" s="5" t="s">
        <v>294</v>
      </c>
      <c r="B10" s="5" t="s">
        <v>295</v>
      </c>
      <c r="C10" s="5" t="s">
        <v>147</v>
      </c>
      <c r="D10" s="5" t="s">
        <v>148</v>
      </c>
      <c r="E10" s="5" t="s">
        <v>149</v>
      </c>
      <c r="F10" s="5" t="s">
        <v>296</v>
      </c>
      <c r="G10" s="5" t="s">
        <v>297</v>
      </c>
      <c r="H10" s="5" t="n">
        <v>8</v>
      </c>
      <c r="I10" s="5" t="s">
        <v>152</v>
      </c>
      <c r="J10" s="5" t="s">
        <v>153</v>
      </c>
      <c r="K10" s="5" t="s">
        <v>298</v>
      </c>
      <c r="L10" s="5" t="s">
        <v>30</v>
      </c>
      <c r="M10" s="5" t="s">
        <v>155</v>
      </c>
      <c r="N10" s="5" t="s">
        <v>299</v>
      </c>
      <c r="O10" s="5" t="s">
        <v>157</v>
      </c>
      <c r="P10" s="5" t="s">
        <v>158</v>
      </c>
      <c r="Q10" s="5" t="s">
        <v>188</v>
      </c>
      <c r="R10" s="5" t="s">
        <v>160</v>
      </c>
      <c r="S10" s="5" t="s">
        <v>161</v>
      </c>
      <c r="T10" s="5" t="s">
        <v>162</v>
      </c>
      <c r="U10" s="5" t="n">
        <v>365</v>
      </c>
      <c r="V10" s="5" t="s">
        <v>163</v>
      </c>
      <c r="W10" s="5" t="s">
        <v>164</v>
      </c>
      <c r="X10" s="5" t="s">
        <v>300</v>
      </c>
      <c r="Y10" s="5" t="s">
        <v>301</v>
      </c>
      <c r="Z10" s="5" t="s">
        <v>302</v>
      </c>
      <c r="AA10" s="5"/>
      <c r="AB10" s="5"/>
      <c r="AC10" s="5"/>
      <c r="AD10" s="5"/>
      <c r="AE10" s="5"/>
      <c r="AF10" s="5"/>
      <c r="AG10" s="5"/>
      <c r="AH10" s="5"/>
      <c r="AI10" s="5" t="s">
        <v>284</v>
      </c>
      <c r="AJ10" s="5" t="s">
        <v>303</v>
      </c>
      <c r="AK10" s="5" t="s">
        <v>304</v>
      </c>
      <c r="AL10" s="5"/>
      <c r="AM10" s="5"/>
      <c r="AN10" s="5"/>
      <c r="AO10" s="5" t="s">
        <v>287</v>
      </c>
      <c r="AP10" s="5"/>
      <c r="AQ10" s="5"/>
      <c r="AR10" s="5"/>
      <c r="AS10" s="5"/>
      <c r="AT10" s="5"/>
      <c r="AU10" s="5"/>
      <c r="AV10" s="5" t="s">
        <v>178</v>
      </c>
      <c r="AW10" s="5" t="s">
        <v>305</v>
      </c>
    </row>
    <row r="11" customFormat="false" ht="147" hidden="false" customHeight="false" outlineLevel="0" collapsed="false">
      <c r="A11" s="5" t="s">
        <v>306</v>
      </c>
      <c r="B11" s="5" t="s">
        <v>307</v>
      </c>
      <c r="C11" s="5" t="s">
        <v>147</v>
      </c>
      <c r="D11" s="5" t="s">
        <v>148</v>
      </c>
      <c r="E11" s="5" t="s">
        <v>149</v>
      </c>
      <c r="F11" s="5" t="s">
        <v>308</v>
      </c>
      <c r="G11" s="5" t="s">
        <v>309</v>
      </c>
      <c r="H11" s="5" t="n">
        <v>7</v>
      </c>
      <c r="I11" s="5" t="s">
        <v>152</v>
      </c>
      <c r="J11" s="5" t="s">
        <v>153</v>
      </c>
      <c r="K11" s="5" t="s">
        <v>298</v>
      </c>
      <c r="L11" s="5" t="s">
        <v>30</v>
      </c>
      <c r="M11" s="5" t="s">
        <v>155</v>
      </c>
      <c r="N11" s="5" t="s">
        <v>310</v>
      </c>
      <c r="O11" s="5" t="s">
        <v>157</v>
      </c>
      <c r="P11" s="5" t="s">
        <v>158</v>
      </c>
      <c r="Q11" s="5" t="s">
        <v>188</v>
      </c>
      <c r="R11" s="5" t="s">
        <v>160</v>
      </c>
      <c r="S11" s="5" t="s">
        <v>161</v>
      </c>
      <c r="T11" s="5" t="s">
        <v>162</v>
      </c>
      <c r="U11" s="5" t="n">
        <v>365</v>
      </c>
      <c r="V11" s="5" t="s">
        <v>163</v>
      </c>
      <c r="W11" s="5" t="s">
        <v>164</v>
      </c>
      <c r="X11" s="5" t="s">
        <v>311</v>
      </c>
      <c r="Y11" s="5" t="s">
        <v>312</v>
      </c>
      <c r="Z11" s="5" t="s">
        <v>313</v>
      </c>
      <c r="AA11" s="5"/>
      <c r="AB11" s="5"/>
      <c r="AC11" s="5"/>
      <c r="AD11" s="5"/>
      <c r="AE11" s="5"/>
      <c r="AF11" s="5"/>
      <c r="AG11" s="5"/>
      <c r="AH11" s="5"/>
      <c r="AI11" s="5" t="s">
        <v>284</v>
      </c>
      <c r="AJ11" s="5" t="s">
        <v>303</v>
      </c>
      <c r="AK11" s="5"/>
      <c r="AL11" s="5"/>
      <c r="AM11" s="5"/>
      <c r="AN11" s="5"/>
      <c r="AO11" s="5"/>
      <c r="AP11" s="5"/>
      <c r="AQ11" s="5"/>
      <c r="AR11" s="5"/>
      <c r="AS11" s="5"/>
      <c r="AT11" s="5"/>
      <c r="AU11" s="5"/>
      <c r="AV11" s="5"/>
      <c r="AW11" s="5" t="s">
        <v>314</v>
      </c>
    </row>
    <row r="12" customFormat="false" ht="191.75" hidden="false" customHeight="false" outlineLevel="0" collapsed="false">
      <c r="A12" s="5" t="s">
        <v>315</v>
      </c>
      <c r="B12" s="5" t="s">
        <v>316</v>
      </c>
      <c r="C12" s="5" t="s">
        <v>147</v>
      </c>
      <c r="D12" s="5" t="s">
        <v>148</v>
      </c>
      <c r="E12" s="5" t="s">
        <v>149</v>
      </c>
      <c r="F12" s="5" t="s">
        <v>317</v>
      </c>
      <c r="G12" s="5" t="s">
        <v>318</v>
      </c>
      <c r="H12" s="5" t="n">
        <v>6</v>
      </c>
      <c r="I12" s="5" t="s">
        <v>152</v>
      </c>
      <c r="J12" s="5" t="s">
        <v>153</v>
      </c>
      <c r="K12" s="5" t="s">
        <v>319</v>
      </c>
      <c r="L12" s="5" t="s">
        <v>30</v>
      </c>
      <c r="M12" s="5" t="s">
        <v>155</v>
      </c>
      <c r="N12" s="5" t="s">
        <v>320</v>
      </c>
      <c r="O12" s="5" t="s">
        <v>157</v>
      </c>
      <c r="P12" s="5" t="s">
        <v>158</v>
      </c>
      <c r="Q12" s="5" t="s">
        <v>159</v>
      </c>
      <c r="R12" s="5" t="s">
        <v>160</v>
      </c>
      <c r="S12" s="5" t="s">
        <v>161</v>
      </c>
      <c r="T12" s="5" t="s">
        <v>162</v>
      </c>
      <c r="U12" s="5" t="n">
        <v>365</v>
      </c>
      <c r="V12" s="5" t="s">
        <v>163</v>
      </c>
      <c r="W12" s="5" t="s">
        <v>164</v>
      </c>
      <c r="X12" s="5" t="s">
        <v>321</v>
      </c>
      <c r="Y12" s="5" t="s">
        <v>322</v>
      </c>
      <c r="Z12" s="5" t="s">
        <v>323</v>
      </c>
      <c r="AA12" s="5"/>
      <c r="AB12" s="5"/>
      <c r="AC12" s="5"/>
      <c r="AD12" s="5"/>
      <c r="AE12" s="5"/>
      <c r="AF12" s="5" t="s">
        <v>324</v>
      </c>
      <c r="AG12" s="5" t="s">
        <v>324</v>
      </c>
      <c r="AH12" s="5"/>
      <c r="AI12" s="5"/>
      <c r="AJ12" s="5" t="s">
        <v>325</v>
      </c>
      <c r="AK12" s="5" t="s">
        <v>326</v>
      </c>
      <c r="AL12" s="5" t="s">
        <v>324</v>
      </c>
      <c r="AM12" s="5"/>
      <c r="AN12" s="5"/>
      <c r="AO12" s="5"/>
      <c r="AP12" s="5" t="s">
        <v>327</v>
      </c>
      <c r="AQ12" s="5" t="s">
        <v>324</v>
      </c>
      <c r="AR12" s="5" t="s">
        <v>175</v>
      </c>
      <c r="AS12" s="5" t="s">
        <v>328</v>
      </c>
      <c r="AT12" s="5"/>
      <c r="AU12" s="5" t="s">
        <v>329</v>
      </c>
      <c r="AV12" s="5" t="s">
        <v>178</v>
      </c>
      <c r="AW12" s="5" t="s">
        <v>330</v>
      </c>
    </row>
    <row r="13" customFormat="false" ht="147" hidden="false" customHeight="false" outlineLevel="0" collapsed="false">
      <c r="A13" s="5" t="s">
        <v>331</v>
      </c>
      <c r="B13" s="5" t="s">
        <v>332</v>
      </c>
      <c r="C13" s="5" t="s">
        <v>147</v>
      </c>
      <c r="D13" s="5" t="s">
        <v>148</v>
      </c>
      <c r="E13" s="5" t="s">
        <v>149</v>
      </c>
      <c r="F13" s="5" t="s">
        <v>333</v>
      </c>
      <c r="G13" s="5" t="s">
        <v>334</v>
      </c>
      <c r="H13" s="5" t="n">
        <v>6</v>
      </c>
      <c r="I13" s="5" t="s">
        <v>152</v>
      </c>
      <c r="J13" s="5" t="s">
        <v>153</v>
      </c>
      <c r="K13" s="5" t="s">
        <v>319</v>
      </c>
      <c r="L13" s="5" t="s">
        <v>55</v>
      </c>
      <c r="M13" s="5" t="s">
        <v>185</v>
      </c>
      <c r="N13" s="5" t="s">
        <v>54</v>
      </c>
      <c r="O13" s="5" t="s">
        <v>187</v>
      </c>
      <c r="P13" s="5" t="s">
        <v>158</v>
      </c>
      <c r="Q13" s="5" t="s">
        <v>335</v>
      </c>
      <c r="R13" s="5" t="s">
        <v>160</v>
      </c>
      <c r="S13" s="5" t="s">
        <v>161</v>
      </c>
      <c r="T13" s="5" t="s">
        <v>162</v>
      </c>
      <c r="U13" s="5" t="n">
        <v>365</v>
      </c>
      <c r="V13" s="5" t="s">
        <v>163</v>
      </c>
      <c r="W13" s="5" t="s">
        <v>164</v>
      </c>
      <c r="X13" s="5" t="s">
        <v>336</v>
      </c>
      <c r="Y13" s="5" t="s">
        <v>337</v>
      </c>
      <c r="Z13" s="5" t="s">
        <v>338</v>
      </c>
      <c r="AA13" s="5"/>
      <c r="AB13" s="5"/>
      <c r="AC13" s="5"/>
      <c r="AD13" s="5"/>
      <c r="AE13" s="5"/>
      <c r="AF13" s="5"/>
      <c r="AG13" s="5"/>
      <c r="AH13" s="5"/>
      <c r="AI13" s="5"/>
      <c r="AJ13" s="5"/>
      <c r="AK13" s="5" t="s">
        <v>339</v>
      </c>
      <c r="AL13" s="5"/>
      <c r="AM13" s="5"/>
      <c r="AN13" s="5"/>
      <c r="AO13" s="5"/>
      <c r="AP13" s="5"/>
      <c r="AQ13" s="5"/>
      <c r="AR13" s="5"/>
      <c r="AS13" s="5"/>
      <c r="AT13" s="5"/>
      <c r="AU13" s="5"/>
      <c r="AV13" s="5" t="s">
        <v>178</v>
      </c>
      <c r="AW13" s="5" t="s">
        <v>340</v>
      </c>
    </row>
    <row r="14" customFormat="false" ht="158.2" hidden="false" customHeight="false" outlineLevel="0" collapsed="false">
      <c r="A14" s="5" t="s">
        <v>341</v>
      </c>
      <c r="B14" s="5" t="s">
        <v>342</v>
      </c>
      <c r="C14" s="5" t="s">
        <v>147</v>
      </c>
      <c r="D14" s="5" t="s">
        <v>148</v>
      </c>
      <c r="E14" s="5" t="s">
        <v>149</v>
      </c>
      <c r="F14" s="5" t="s">
        <v>343</v>
      </c>
      <c r="G14" s="5" t="s">
        <v>344</v>
      </c>
      <c r="H14" s="5" t="n">
        <v>5</v>
      </c>
      <c r="I14" s="5" t="s">
        <v>152</v>
      </c>
      <c r="J14" s="5" t="s">
        <v>153</v>
      </c>
      <c r="K14" s="5"/>
      <c r="L14" s="5" t="s">
        <v>30</v>
      </c>
      <c r="M14" s="5" t="s">
        <v>155</v>
      </c>
      <c r="N14" s="5" t="s">
        <v>345</v>
      </c>
      <c r="O14" s="5" t="s">
        <v>157</v>
      </c>
      <c r="P14" s="5" t="s">
        <v>158</v>
      </c>
      <c r="Q14" s="5" t="s">
        <v>159</v>
      </c>
      <c r="R14" s="5" t="s">
        <v>160</v>
      </c>
      <c r="S14" s="5" t="s">
        <v>161</v>
      </c>
      <c r="T14" s="5" t="s">
        <v>162</v>
      </c>
      <c r="U14" s="5" t="n">
        <v>365</v>
      </c>
      <c r="V14" s="5" t="s">
        <v>163</v>
      </c>
      <c r="W14" s="5" t="s">
        <v>164</v>
      </c>
      <c r="X14" s="5" t="s">
        <v>346</v>
      </c>
      <c r="Y14" s="5" t="s">
        <v>347</v>
      </c>
      <c r="Z14" s="5" t="s">
        <v>348</v>
      </c>
      <c r="AA14" s="5"/>
      <c r="AB14" s="5"/>
      <c r="AC14" s="5"/>
      <c r="AD14" s="5"/>
      <c r="AE14" s="5"/>
      <c r="AF14" s="5" t="s">
        <v>349</v>
      </c>
      <c r="AG14" s="5" t="s">
        <v>349</v>
      </c>
      <c r="AH14" s="5"/>
      <c r="AI14" s="5" t="s">
        <v>350</v>
      </c>
      <c r="AJ14" s="5"/>
      <c r="AK14" s="5"/>
      <c r="AL14" s="5" t="s">
        <v>349</v>
      </c>
      <c r="AM14" s="5"/>
      <c r="AN14" s="5"/>
      <c r="AO14" s="5"/>
      <c r="AP14" s="5"/>
      <c r="AQ14" s="5" t="s">
        <v>349</v>
      </c>
      <c r="AR14" s="5" t="s">
        <v>351</v>
      </c>
      <c r="AS14" s="5"/>
      <c r="AT14" s="5" t="s">
        <v>352</v>
      </c>
      <c r="AU14" s="5"/>
      <c r="AV14" s="5"/>
      <c r="AW14" s="5" t="s">
        <v>353</v>
      </c>
    </row>
    <row r="15" customFormat="false" ht="180.55" hidden="false" customHeight="false" outlineLevel="0" collapsed="false">
      <c r="A15" s="5" t="s">
        <v>354</v>
      </c>
      <c r="B15" s="5" t="s">
        <v>355</v>
      </c>
      <c r="C15" s="5" t="s">
        <v>147</v>
      </c>
      <c r="D15" s="5" t="s">
        <v>148</v>
      </c>
      <c r="E15" s="5" t="s">
        <v>149</v>
      </c>
      <c r="F15" s="5" t="s">
        <v>356</v>
      </c>
      <c r="G15" s="5" t="s">
        <v>357</v>
      </c>
      <c r="H15" s="5" t="n">
        <v>7</v>
      </c>
      <c r="I15" s="5" t="s">
        <v>152</v>
      </c>
      <c r="J15" s="5" t="s">
        <v>153</v>
      </c>
      <c r="K15" s="5" t="s">
        <v>358</v>
      </c>
      <c r="L15" s="5" t="s">
        <v>30</v>
      </c>
      <c r="M15" s="5" t="s">
        <v>155</v>
      </c>
      <c r="N15" s="5" t="s">
        <v>359</v>
      </c>
      <c r="O15" s="5" t="s">
        <v>157</v>
      </c>
      <c r="P15" s="5" t="s">
        <v>158</v>
      </c>
      <c r="Q15" s="5" t="s">
        <v>159</v>
      </c>
      <c r="R15" s="5" t="s">
        <v>160</v>
      </c>
      <c r="S15" s="5" t="s">
        <v>161</v>
      </c>
      <c r="T15" s="5" t="s">
        <v>162</v>
      </c>
      <c r="U15" s="5" t="n">
        <v>365</v>
      </c>
      <c r="V15" s="5" t="s">
        <v>163</v>
      </c>
      <c r="W15" s="5" t="s">
        <v>164</v>
      </c>
      <c r="X15" s="5" t="s">
        <v>360</v>
      </c>
      <c r="Y15" s="5" t="s">
        <v>361</v>
      </c>
      <c r="Z15" s="5" t="s">
        <v>362</v>
      </c>
      <c r="AA15" s="5" t="s">
        <v>363</v>
      </c>
      <c r="AB15" s="5"/>
      <c r="AC15" s="5"/>
      <c r="AD15" s="5"/>
      <c r="AE15" s="5"/>
      <c r="AF15" s="5" t="s">
        <v>364</v>
      </c>
      <c r="AG15" s="5" t="s">
        <v>364</v>
      </c>
      <c r="AH15" s="5"/>
      <c r="AI15" s="5"/>
      <c r="AJ15" s="5" t="s">
        <v>365</v>
      </c>
      <c r="AK15" s="5" t="s">
        <v>366</v>
      </c>
      <c r="AL15" s="5" t="s">
        <v>364</v>
      </c>
      <c r="AM15" s="5"/>
      <c r="AN15" s="5"/>
      <c r="AO15" s="5"/>
      <c r="AP15" s="5"/>
      <c r="AQ15" s="5" t="s">
        <v>364</v>
      </c>
      <c r="AR15" s="5" t="s">
        <v>175</v>
      </c>
      <c r="AS15" s="5"/>
      <c r="AT15" s="5" t="s">
        <v>367</v>
      </c>
      <c r="AU15" s="5"/>
      <c r="AV15" s="5" t="s">
        <v>178</v>
      </c>
      <c r="AW15" s="5" t="s">
        <v>368</v>
      </c>
    </row>
    <row r="16" customFormat="false" ht="135.8" hidden="false" customHeight="false" outlineLevel="0" collapsed="false">
      <c r="A16" s="5" t="s">
        <v>369</v>
      </c>
      <c r="B16" s="5" t="s">
        <v>370</v>
      </c>
      <c r="C16" s="5" t="s">
        <v>147</v>
      </c>
      <c r="D16" s="5" t="s">
        <v>148</v>
      </c>
      <c r="E16" s="5" t="s">
        <v>149</v>
      </c>
      <c r="F16" s="5" t="s">
        <v>371</v>
      </c>
      <c r="G16" s="5" t="s">
        <v>372</v>
      </c>
      <c r="H16" s="5" t="n">
        <v>5</v>
      </c>
      <c r="I16" s="5" t="s">
        <v>152</v>
      </c>
      <c r="J16" s="5" t="s">
        <v>153</v>
      </c>
      <c r="K16" s="5" t="s">
        <v>373</v>
      </c>
      <c r="L16" s="5" t="s">
        <v>55</v>
      </c>
      <c r="M16" s="5" t="s">
        <v>185</v>
      </c>
      <c r="N16" s="5" t="s">
        <v>374</v>
      </c>
      <c r="O16" s="5" t="s">
        <v>187</v>
      </c>
      <c r="P16" s="5" t="s">
        <v>158</v>
      </c>
      <c r="Q16" s="5" t="s">
        <v>188</v>
      </c>
      <c r="R16" s="5" t="s">
        <v>160</v>
      </c>
      <c r="S16" s="5" t="s">
        <v>161</v>
      </c>
      <c r="T16" s="5" t="s">
        <v>162</v>
      </c>
      <c r="U16" s="5" t="n">
        <v>365</v>
      </c>
      <c r="V16" s="5" t="s">
        <v>163</v>
      </c>
      <c r="W16" s="5" t="s">
        <v>164</v>
      </c>
      <c r="X16" s="5" t="s">
        <v>375</v>
      </c>
      <c r="Y16" s="5" t="s">
        <v>376</v>
      </c>
      <c r="Z16" s="5" t="s">
        <v>377</v>
      </c>
      <c r="AA16" s="5"/>
      <c r="AB16" s="5"/>
      <c r="AC16" s="5"/>
      <c r="AD16" s="5"/>
      <c r="AE16" s="5"/>
      <c r="AF16" s="5"/>
      <c r="AG16" s="5"/>
      <c r="AH16" s="5"/>
      <c r="AI16" s="5"/>
      <c r="AJ16" s="5"/>
      <c r="AK16" s="5" t="s">
        <v>378</v>
      </c>
      <c r="AL16" s="5"/>
      <c r="AM16" s="5"/>
      <c r="AN16" s="5"/>
      <c r="AO16" s="5"/>
      <c r="AP16" s="5" t="s">
        <v>379</v>
      </c>
      <c r="AQ16" s="5"/>
      <c r="AR16" s="5"/>
      <c r="AS16" s="5" t="s">
        <v>380</v>
      </c>
      <c r="AT16" s="5"/>
      <c r="AU16" s="5"/>
      <c r="AV16" s="5" t="s">
        <v>178</v>
      </c>
      <c r="AW16" s="5" t="s">
        <v>381</v>
      </c>
    </row>
    <row r="17" customFormat="false" ht="135.8" hidden="false" customHeight="false" outlineLevel="0" collapsed="false">
      <c r="A17" s="5" t="s">
        <v>382</v>
      </c>
      <c r="B17" s="5" t="s">
        <v>383</v>
      </c>
      <c r="C17" s="5" t="s">
        <v>147</v>
      </c>
      <c r="D17" s="5" t="s">
        <v>148</v>
      </c>
      <c r="E17" s="5" t="s">
        <v>149</v>
      </c>
      <c r="F17" s="5" t="s">
        <v>384</v>
      </c>
      <c r="G17" s="5" t="s">
        <v>385</v>
      </c>
      <c r="H17" s="5" t="n">
        <v>5</v>
      </c>
      <c r="I17" s="5" t="s">
        <v>152</v>
      </c>
      <c r="J17" s="5" t="s">
        <v>153</v>
      </c>
      <c r="K17" s="5" t="s">
        <v>386</v>
      </c>
      <c r="L17" s="5" t="s">
        <v>30</v>
      </c>
      <c r="M17" s="5" t="s">
        <v>155</v>
      </c>
      <c r="N17" s="5" t="s">
        <v>387</v>
      </c>
      <c r="O17" s="5" t="s">
        <v>157</v>
      </c>
      <c r="P17" s="5" t="s">
        <v>158</v>
      </c>
      <c r="Q17" s="5" t="s">
        <v>159</v>
      </c>
      <c r="R17" s="5" t="s">
        <v>160</v>
      </c>
      <c r="S17" s="5" t="s">
        <v>161</v>
      </c>
      <c r="T17" s="5" t="s">
        <v>162</v>
      </c>
      <c r="U17" s="5" t="n">
        <v>365</v>
      </c>
      <c r="V17" s="5" t="s">
        <v>163</v>
      </c>
      <c r="W17" s="5" t="s">
        <v>164</v>
      </c>
      <c r="X17" s="5" t="s">
        <v>388</v>
      </c>
      <c r="Y17" s="5" t="s">
        <v>389</v>
      </c>
      <c r="Z17" s="5" t="s">
        <v>390</v>
      </c>
      <c r="AA17" s="5"/>
      <c r="AB17" s="5"/>
      <c r="AC17" s="5"/>
      <c r="AD17" s="5"/>
      <c r="AE17" s="5" t="s">
        <v>231</v>
      </c>
      <c r="AF17" s="5"/>
      <c r="AG17" s="5"/>
      <c r="AH17" s="5"/>
      <c r="AI17" s="5"/>
      <c r="AJ17" s="5"/>
      <c r="AK17" s="5" t="s">
        <v>391</v>
      </c>
      <c r="AL17" s="5"/>
      <c r="AM17" s="5"/>
      <c r="AN17" s="5"/>
      <c r="AO17" s="5"/>
      <c r="AP17" s="5"/>
      <c r="AQ17" s="5"/>
      <c r="AR17" s="5"/>
      <c r="AS17" s="5" t="s">
        <v>392</v>
      </c>
      <c r="AT17" s="5"/>
      <c r="AU17" s="5"/>
      <c r="AV17" s="5" t="s">
        <v>178</v>
      </c>
      <c r="AW17" s="5" t="s">
        <v>393</v>
      </c>
    </row>
    <row r="18" customFormat="false" ht="169.4" hidden="false" customHeight="false" outlineLevel="0" collapsed="false">
      <c r="A18" s="5" t="s">
        <v>394</v>
      </c>
      <c r="B18" s="5" t="s">
        <v>395</v>
      </c>
      <c r="C18" s="5" t="s">
        <v>147</v>
      </c>
      <c r="D18" s="5" t="s">
        <v>148</v>
      </c>
      <c r="E18" s="5" t="s">
        <v>149</v>
      </c>
      <c r="F18" s="5" t="s">
        <v>396</v>
      </c>
      <c r="G18" s="5" t="s">
        <v>397</v>
      </c>
      <c r="H18" s="5" t="n">
        <v>9</v>
      </c>
      <c r="I18" s="5" t="s">
        <v>152</v>
      </c>
      <c r="J18" s="5" t="s">
        <v>153</v>
      </c>
      <c r="K18" s="5"/>
      <c r="L18" s="5" t="s">
        <v>30</v>
      </c>
      <c r="M18" s="5" t="s">
        <v>155</v>
      </c>
      <c r="N18" s="5" t="s">
        <v>398</v>
      </c>
      <c r="O18" s="5" t="s">
        <v>157</v>
      </c>
      <c r="P18" s="5" t="s">
        <v>158</v>
      </c>
      <c r="Q18" s="5" t="s">
        <v>399</v>
      </c>
      <c r="R18" s="5" t="s">
        <v>160</v>
      </c>
      <c r="S18" s="5" t="s">
        <v>161</v>
      </c>
      <c r="T18" s="5" t="s">
        <v>162</v>
      </c>
      <c r="U18" s="5" t="n">
        <v>365</v>
      </c>
      <c r="V18" s="5" t="s">
        <v>163</v>
      </c>
      <c r="W18" s="5" t="s">
        <v>164</v>
      </c>
      <c r="X18" s="5" t="s">
        <v>400</v>
      </c>
      <c r="Y18" s="5" t="s">
        <v>401</v>
      </c>
      <c r="Z18" s="5" t="s">
        <v>402</v>
      </c>
      <c r="AA18" s="5"/>
      <c r="AB18" s="5"/>
      <c r="AC18" s="5"/>
      <c r="AD18" s="5"/>
      <c r="AE18" s="5"/>
      <c r="AF18" s="5" t="s">
        <v>403</v>
      </c>
      <c r="AG18" s="5" t="s">
        <v>403</v>
      </c>
      <c r="AH18" s="5"/>
      <c r="AI18" s="5"/>
      <c r="AJ18" s="5"/>
      <c r="AK18" s="5"/>
      <c r="AL18" s="5" t="s">
        <v>403</v>
      </c>
      <c r="AM18" s="5"/>
      <c r="AN18" s="5"/>
      <c r="AO18" s="5"/>
      <c r="AP18" s="5"/>
      <c r="AQ18" s="5" t="s">
        <v>403</v>
      </c>
      <c r="AR18" s="5" t="s">
        <v>175</v>
      </c>
      <c r="AS18" s="5"/>
      <c r="AT18" s="5" t="s">
        <v>404</v>
      </c>
      <c r="AU18" s="5"/>
      <c r="AV18" s="5"/>
      <c r="AW18" s="5" t="s">
        <v>405</v>
      </c>
    </row>
    <row r="19" customFormat="false" ht="135.8" hidden="false" customHeight="false" outlineLevel="0" collapsed="false">
      <c r="A19" s="5" t="s">
        <v>406</v>
      </c>
      <c r="B19" s="5" t="s">
        <v>407</v>
      </c>
      <c r="C19" s="5" t="s">
        <v>147</v>
      </c>
      <c r="D19" s="5" t="s">
        <v>148</v>
      </c>
      <c r="E19" s="5" t="s">
        <v>149</v>
      </c>
      <c r="F19" s="5" t="s">
        <v>408</v>
      </c>
      <c r="G19" s="5" t="s">
        <v>409</v>
      </c>
      <c r="H19" s="5" t="n">
        <v>5</v>
      </c>
      <c r="I19" s="5" t="s">
        <v>152</v>
      </c>
      <c r="J19" s="5" t="s">
        <v>153</v>
      </c>
      <c r="K19" s="5"/>
      <c r="L19" s="5" t="s">
        <v>30</v>
      </c>
      <c r="M19" s="5" t="s">
        <v>155</v>
      </c>
      <c r="N19" s="5" t="s">
        <v>42</v>
      </c>
      <c r="O19" s="5" t="s">
        <v>157</v>
      </c>
      <c r="P19" s="5" t="s">
        <v>215</v>
      </c>
      <c r="Q19" s="5" t="s">
        <v>159</v>
      </c>
      <c r="R19" s="5" t="s">
        <v>160</v>
      </c>
      <c r="S19" s="5" t="s">
        <v>161</v>
      </c>
      <c r="T19" s="5" t="s">
        <v>162</v>
      </c>
      <c r="U19" s="5" t="n">
        <v>365</v>
      </c>
      <c r="V19" s="5" t="s">
        <v>163</v>
      </c>
      <c r="W19" s="5" t="s">
        <v>164</v>
      </c>
      <c r="X19" s="5" t="s">
        <v>410</v>
      </c>
      <c r="Y19" s="5" t="s">
        <v>411</v>
      </c>
      <c r="Z19" s="5" t="s">
        <v>412</v>
      </c>
      <c r="AA19" s="5"/>
      <c r="AB19" s="5"/>
      <c r="AC19" s="5"/>
      <c r="AD19" s="5"/>
      <c r="AE19" s="5"/>
      <c r="AF19" s="5" t="s">
        <v>413</v>
      </c>
      <c r="AG19" s="5" t="s">
        <v>413</v>
      </c>
      <c r="AH19" s="5"/>
      <c r="AI19" s="5"/>
      <c r="AJ19" s="5"/>
      <c r="AK19" s="5"/>
      <c r="AL19" s="5" t="s">
        <v>413</v>
      </c>
      <c r="AM19" s="5"/>
      <c r="AN19" s="5"/>
      <c r="AO19" s="5"/>
      <c r="AP19" s="5"/>
      <c r="AQ19" s="5"/>
      <c r="AR19" s="5" t="s">
        <v>175</v>
      </c>
      <c r="AS19" s="5"/>
      <c r="AT19" s="5"/>
      <c r="AU19" s="5"/>
      <c r="AV19" s="5"/>
      <c r="AW19" s="5" t="s">
        <v>414</v>
      </c>
    </row>
    <row r="20" customFormat="false" ht="158.2" hidden="false" customHeight="false" outlineLevel="0" collapsed="false">
      <c r="A20" s="5" t="s">
        <v>415</v>
      </c>
      <c r="B20" s="5" t="s">
        <v>416</v>
      </c>
      <c r="C20" s="5" t="s">
        <v>147</v>
      </c>
      <c r="D20" s="5" t="s">
        <v>148</v>
      </c>
      <c r="E20" s="5" t="s">
        <v>149</v>
      </c>
      <c r="F20" s="5" t="s">
        <v>417</v>
      </c>
      <c r="G20" s="5" t="s">
        <v>418</v>
      </c>
      <c r="H20" s="5" t="n">
        <v>6</v>
      </c>
      <c r="I20" s="5" t="s">
        <v>152</v>
      </c>
      <c r="J20" s="5" t="s">
        <v>153</v>
      </c>
      <c r="K20" s="5"/>
      <c r="L20" s="5" t="s">
        <v>85</v>
      </c>
      <c r="M20" s="5" t="s">
        <v>185</v>
      </c>
      <c r="N20" s="5" t="s">
        <v>84</v>
      </c>
      <c r="O20" s="5" t="s">
        <v>214</v>
      </c>
      <c r="P20" s="5" t="s">
        <v>158</v>
      </c>
      <c r="Q20" s="5" t="s">
        <v>419</v>
      </c>
      <c r="R20" s="5" t="s">
        <v>160</v>
      </c>
      <c r="S20" s="5" t="s">
        <v>161</v>
      </c>
      <c r="T20" s="5" t="s">
        <v>162</v>
      </c>
      <c r="U20" s="5" t="n">
        <v>365</v>
      </c>
      <c r="V20" s="5" t="s">
        <v>163</v>
      </c>
      <c r="W20" s="5" t="s">
        <v>164</v>
      </c>
      <c r="X20" s="5" t="s">
        <v>420</v>
      </c>
      <c r="Y20" s="5" t="s">
        <v>421</v>
      </c>
      <c r="Z20" s="5" t="s">
        <v>422</v>
      </c>
      <c r="AA20" s="5"/>
      <c r="AB20" s="5"/>
      <c r="AC20" s="5"/>
      <c r="AD20" s="5"/>
      <c r="AE20" s="5"/>
      <c r="AF20" s="5"/>
      <c r="AG20" s="5"/>
      <c r="AH20" s="5"/>
      <c r="AI20" s="5"/>
      <c r="AJ20" s="5"/>
      <c r="AK20" s="5"/>
      <c r="AL20" s="5"/>
      <c r="AM20" s="5"/>
      <c r="AN20" s="5"/>
      <c r="AO20" s="5"/>
      <c r="AP20" s="5" t="s">
        <v>423</v>
      </c>
      <c r="AQ20" s="5"/>
      <c r="AR20" s="5"/>
      <c r="AS20" s="5"/>
      <c r="AT20" s="5"/>
      <c r="AU20" s="5"/>
      <c r="AV20" s="5"/>
      <c r="AW20" s="5" t="s">
        <v>424</v>
      </c>
    </row>
    <row r="21" customFormat="false" ht="158.2" hidden="false" customHeight="false" outlineLevel="0" collapsed="false">
      <c r="A21" s="5" t="s">
        <v>425</v>
      </c>
      <c r="B21" s="5" t="s">
        <v>426</v>
      </c>
      <c r="C21" s="5" t="s">
        <v>147</v>
      </c>
      <c r="D21" s="5" t="s">
        <v>148</v>
      </c>
      <c r="E21" s="5" t="s">
        <v>149</v>
      </c>
      <c r="F21" s="5" t="s">
        <v>427</v>
      </c>
      <c r="G21" s="5" t="s">
        <v>428</v>
      </c>
      <c r="H21" s="5" t="n">
        <v>9</v>
      </c>
      <c r="I21" s="5" t="s">
        <v>152</v>
      </c>
      <c r="J21" s="5" t="s">
        <v>153</v>
      </c>
      <c r="K21" s="5" t="s">
        <v>429</v>
      </c>
      <c r="L21" s="5" t="s">
        <v>55</v>
      </c>
      <c r="M21" s="5" t="s">
        <v>185</v>
      </c>
      <c r="N21" s="5" t="s">
        <v>430</v>
      </c>
      <c r="O21" s="5" t="s">
        <v>187</v>
      </c>
      <c r="P21" s="5" t="s">
        <v>158</v>
      </c>
      <c r="Q21" s="5" t="s">
        <v>419</v>
      </c>
      <c r="R21" s="5" t="s">
        <v>160</v>
      </c>
      <c r="S21" s="5" t="s">
        <v>161</v>
      </c>
      <c r="T21" s="5" t="s">
        <v>162</v>
      </c>
      <c r="U21" s="5" t="n">
        <v>365</v>
      </c>
      <c r="V21" s="5" t="s">
        <v>163</v>
      </c>
      <c r="W21" s="5" t="s">
        <v>164</v>
      </c>
      <c r="X21" s="5" t="s">
        <v>431</v>
      </c>
      <c r="Y21" s="5" t="s">
        <v>432</v>
      </c>
      <c r="Z21" s="5" t="s">
        <v>433</v>
      </c>
      <c r="AA21" s="5"/>
      <c r="AB21" s="5"/>
      <c r="AC21" s="5"/>
      <c r="AD21" s="5"/>
      <c r="AE21" s="5"/>
      <c r="AF21" s="5"/>
      <c r="AG21" s="5"/>
      <c r="AH21" s="5"/>
      <c r="AI21" s="5"/>
      <c r="AJ21" s="5" t="s">
        <v>434</v>
      </c>
      <c r="AK21" s="5"/>
      <c r="AL21" s="5"/>
      <c r="AM21" s="5"/>
      <c r="AN21" s="5"/>
      <c r="AO21" s="5"/>
      <c r="AP21" s="5" t="s">
        <v>423</v>
      </c>
      <c r="AQ21" s="5"/>
      <c r="AR21" s="5"/>
      <c r="AS21" s="5"/>
      <c r="AT21" s="5"/>
      <c r="AU21" s="5"/>
      <c r="AV21" s="5" t="s">
        <v>178</v>
      </c>
      <c r="AW21" s="5" t="s">
        <v>424</v>
      </c>
    </row>
    <row r="22" customFormat="false" ht="124.6" hidden="false" customHeight="false" outlineLevel="0" collapsed="false">
      <c r="A22" s="5" t="s">
        <v>435</v>
      </c>
      <c r="B22" s="5" t="s">
        <v>436</v>
      </c>
      <c r="C22" s="5" t="s">
        <v>147</v>
      </c>
      <c r="D22" s="5" t="s">
        <v>148</v>
      </c>
      <c r="E22" s="5" t="s">
        <v>149</v>
      </c>
      <c r="F22" s="5" t="s">
        <v>437</v>
      </c>
      <c r="G22" s="5" t="s">
        <v>438</v>
      </c>
      <c r="H22" s="5" t="n">
        <v>8</v>
      </c>
      <c r="I22" s="5" t="s">
        <v>152</v>
      </c>
      <c r="J22" s="5" t="s">
        <v>153</v>
      </c>
      <c r="K22" s="5"/>
      <c r="L22" s="5" t="s">
        <v>55</v>
      </c>
      <c r="M22" s="5" t="s">
        <v>185</v>
      </c>
      <c r="N22" s="5" t="s">
        <v>439</v>
      </c>
      <c r="O22" s="5" t="s">
        <v>187</v>
      </c>
      <c r="P22" s="5" t="s">
        <v>158</v>
      </c>
      <c r="Q22" s="5" t="s">
        <v>440</v>
      </c>
      <c r="R22" s="5" t="s">
        <v>160</v>
      </c>
      <c r="S22" s="5" t="s">
        <v>161</v>
      </c>
      <c r="T22" s="5" t="s">
        <v>162</v>
      </c>
      <c r="U22" s="5" t="n">
        <v>365</v>
      </c>
      <c r="V22" s="5" t="s">
        <v>163</v>
      </c>
      <c r="W22" s="5" t="s">
        <v>164</v>
      </c>
      <c r="X22" s="5" t="s">
        <v>441</v>
      </c>
      <c r="Y22" s="5" t="s">
        <v>442</v>
      </c>
      <c r="Z22" s="5" t="s">
        <v>443</v>
      </c>
      <c r="AA22" s="5"/>
      <c r="AB22" s="5"/>
      <c r="AC22" s="5"/>
      <c r="AD22" s="5"/>
      <c r="AE22" s="5"/>
      <c r="AF22" s="5"/>
      <c r="AG22" s="5"/>
      <c r="AH22" s="5"/>
      <c r="AI22" s="5"/>
      <c r="AJ22" s="5" t="s">
        <v>444</v>
      </c>
      <c r="AK22" s="5"/>
      <c r="AL22" s="5"/>
      <c r="AM22" s="5"/>
      <c r="AN22" s="5"/>
      <c r="AO22" s="5"/>
      <c r="AP22" s="5"/>
      <c r="AQ22" s="5"/>
      <c r="AR22" s="5"/>
      <c r="AS22" s="5"/>
      <c r="AT22" s="5"/>
      <c r="AU22" s="5"/>
      <c r="AV22" s="5" t="s">
        <v>178</v>
      </c>
      <c r="AW22" s="5" t="s">
        <v>445</v>
      </c>
    </row>
    <row r="23" customFormat="false" ht="124.6" hidden="false" customHeight="false" outlineLevel="0" collapsed="false">
      <c r="A23" s="5" t="s">
        <v>446</v>
      </c>
      <c r="B23" s="5" t="s">
        <v>447</v>
      </c>
      <c r="C23" s="5" t="s">
        <v>147</v>
      </c>
      <c r="D23" s="5" t="s">
        <v>148</v>
      </c>
      <c r="E23" s="5" t="s">
        <v>149</v>
      </c>
      <c r="F23" s="5" t="s">
        <v>448</v>
      </c>
      <c r="G23" s="5" t="s">
        <v>449</v>
      </c>
      <c r="H23" s="5" t="n">
        <v>8</v>
      </c>
      <c r="I23" s="5" t="s">
        <v>152</v>
      </c>
      <c r="J23" s="5" t="s">
        <v>153</v>
      </c>
      <c r="K23" s="5"/>
      <c r="L23" s="5" t="s">
        <v>30</v>
      </c>
      <c r="M23" s="5" t="s">
        <v>155</v>
      </c>
      <c r="N23" s="5" t="s">
        <v>450</v>
      </c>
      <c r="O23" s="5" t="s">
        <v>157</v>
      </c>
      <c r="P23" s="5" t="s">
        <v>158</v>
      </c>
      <c r="Q23" s="5" t="s">
        <v>451</v>
      </c>
      <c r="R23" s="5" t="s">
        <v>160</v>
      </c>
      <c r="S23" s="5" t="s">
        <v>161</v>
      </c>
      <c r="T23" s="5" t="s">
        <v>162</v>
      </c>
      <c r="U23" s="5" t="n">
        <v>365</v>
      </c>
      <c r="V23" s="5" t="s">
        <v>163</v>
      </c>
      <c r="W23" s="5" t="s">
        <v>164</v>
      </c>
      <c r="X23" s="5" t="s">
        <v>452</v>
      </c>
      <c r="Y23" s="5" t="s">
        <v>453</v>
      </c>
      <c r="Z23" s="5" t="s">
        <v>454</v>
      </c>
      <c r="AA23" s="5"/>
      <c r="AB23" s="5"/>
      <c r="AC23" s="5"/>
      <c r="AD23" s="5"/>
      <c r="AE23" s="5" t="s">
        <v>455</v>
      </c>
      <c r="AF23" s="5"/>
      <c r="AG23" s="5"/>
      <c r="AH23" s="5"/>
      <c r="AI23" s="5"/>
      <c r="AJ23" s="5"/>
      <c r="AK23" s="5"/>
      <c r="AL23" s="5"/>
      <c r="AM23" s="5"/>
      <c r="AN23" s="5"/>
      <c r="AO23" s="5"/>
      <c r="AP23" s="5"/>
      <c r="AQ23" s="5"/>
      <c r="AR23" s="5"/>
      <c r="AS23" s="5"/>
      <c r="AT23" s="5"/>
      <c r="AU23" s="5"/>
      <c r="AV23" s="5" t="s">
        <v>178</v>
      </c>
      <c r="AW23" s="5" t="s">
        <v>445</v>
      </c>
    </row>
    <row r="24" customFormat="false" ht="147" hidden="false" customHeight="false" outlineLevel="0" collapsed="false">
      <c r="A24" s="5" t="s">
        <v>456</v>
      </c>
      <c r="B24" s="5" t="s">
        <v>457</v>
      </c>
      <c r="C24" s="5" t="s">
        <v>147</v>
      </c>
      <c r="D24" s="5" t="s">
        <v>148</v>
      </c>
      <c r="E24" s="5" t="s">
        <v>149</v>
      </c>
      <c r="F24" s="5" t="s">
        <v>458</v>
      </c>
      <c r="G24" s="5" t="s">
        <v>459</v>
      </c>
      <c r="H24" s="5" t="n">
        <v>7</v>
      </c>
      <c r="I24" s="5" t="s">
        <v>152</v>
      </c>
      <c r="J24" s="5" t="s">
        <v>153</v>
      </c>
      <c r="K24" s="5" t="s">
        <v>460</v>
      </c>
      <c r="L24" s="5" t="s">
        <v>55</v>
      </c>
      <c r="M24" s="5" t="s">
        <v>185</v>
      </c>
      <c r="N24" s="5" t="s">
        <v>54</v>
      </c>
      <c r="O24" s="5" t="s">
        <v>187</v>
      </c>
      <c r="P24" s="5" t="s">
        <v>158</v>
      </c>
      <c r="Q24" s="5" t="s">
        <v>461</v>
      </c>
      <c r="R24" s="5" t="s">
        <v>160</v>
      </c>
      <c r="S24" s="5" t="s">
        <v>161</v>
      </c>
      <c r="T24" s="5" t="s">
        <v>162</v>
      </c>
      <c r="U24" s="5" t="n">
        <v>365</v>
      </c>
      <c r="V24" s="5" t="s">
        <v>163</v>
      </c>
      <c r="W24" s="5" t="s">
        <v>164</v>
      </c>
      <c r="X24" s="5" t="s">
        <v>462</v>
      </c>
      <c r="Y24" s="5" t="s">
        <v>463</v>
      </c>
      <c r="Z24" s="5" t="s">
        <v>464</v>
      </c>
      <c r="AA24" s="5"/>
      <c r="AB24" s="5"/>
      <c r="AC24" s="5"/>
      <c r="AD24" s="5"/>
      <c r="AE24" s="5"/>
      <c r="AF24" s="5"/>
      <c r="AG24" s="5"/>
      <c r="AH24" s="5"/>
      <c r="AI24" s="5"/>
      <c r="AJ24" s="5"/>
      <c r="AK24" s="5" t="s">
        <v>465</v>
      </c>
      <c r="AL24" s="5"/>
      <c r="AM24" s="5"/>
      <c r="AN24" s="5"/>
      <c r="AO24" s="5"/>
      <c r="AP24" s="5"/>
      <c r="AQ24" s="5"/>
      <c r="AR24" s="5"/>
      <c r="AS24" s="5"/>
      <c r="AT24" s="5"/>
      <c r="AU24" s="5"/>
      <c r="AV24" s="5" t="s">
        <v>178</v>
      </c>
      <c r="AW24" s="5" t="s">
        <v>466</v>
      </c>
    </row>
    <row r="25" customFormat="false" ht="147" hidden="false" customHeight="false" outlineLevel="0" collapsed="false">
      <c r="A25" s="5" t="s">
        <v>467</v>
      </c>
      <c r="B25" s="5" t="s">
        <v>468</v>
      </c>
      <c r="C25" s="5" t="s">
        <v>147</v>
      </c>
      <c r="D25" s="5" t="s">
        <v>148</v>
      </c>
      <c r="E25" s="5" t="s">
        <v>149</v>
      </c>
      <c r="F25" s="5" t="s">
        <v>469</v>
      </c>
      <c r="G25" s="5" t="s">
        <v>470</v>
      </c>
      <c r="H25" s="5" t="n">
        <v>7</v>
      </c>
      <c r="I25" s="5" t="s">
        <v>152</v>
      </c>
      <c r="J25" s="5" t="s">
        <v>153</v>
      </c>
      <c r="K25" s="5" t="s">
        <v>471</v>
      </c>
      <c r="L25" s="5" t="s">
        <v>68</v>
      </c>
      <c r="M25" s="5" t="s">
        <v>185</v>
      </c>
      <c r="N25" s="5" t="s">
        <v>72</v>
      </c>
      <c r="O25" s="5" t="s">
        <v>187</v>
      </c>
      <c r="P25" s="5" t="s">
        <v>215</v>
      </c>
      <c r="Q25" s="5" t="s">
        <v>159</v>
      </c>
      <c r="R25" s="5" t="s">
        <v>160</v>
      </c>
      <c r="S25" s="5" t="s">
        <v>161</v>
      </c>
      <c r="T25" s="5" t="s">
        <v>162</v>
      </c>
      <c r="U25" s="5" t="n">
        <v>365</v>
      </c>
      <c r="V25" s="5" t="s">
        <v>163</v>
      </c>
      <c r="W25" s="5" t="s">
        <v>164</v>
      </c>
      <c r="X25" s="5" t="s">
        <v>472</v>
      </c>
      <c r="Y25" s="5" t="s">
        <v>473</v>
      </c>
      <c r="Z25" s="5" t="s">
        <v>474</v>
      </c>
      <c r="AA25" s="5"/>
      <c r="AB25" s="5"/>
      <c r="AC25" s="5"/>
      <c r="AD25" s="5"/>
      <c r="AE25" s="5"/>
      <c r="AF25" s="5"/>
      <c r="AG25" s="5"/>
      <c r="AH25" s="5"/>
      <c r="AI25" s="5"/>
      <c r="AJ25" s="5"/>
      <c r="AK25" s="5"/>
      <c r="AL25" s="5"/>
      <c r="AM25" s="5"/>
      <c r="AN25" s="5"/>
      <c r="AO25" s="5" t="s">
        <v>475</v>
      </c>
      <c r="AP25" s="5"/>
      <c r="AQ25" s="5"/>
      <c r="AR25" s="5"/>
      <c r="AS25" s="5"/>
      <c r="AT25" s="5"/>
      <c r="AU25" s="5"/>
      <c r="AV25" s="5"/>
      <c r="AW25" s="5" t="s">
        <v>476</v>
      </c>
    </row>
    <row r="26" customFormat="false" ht="147" hidden="false" customHeight="false" outlineLevel="0" collapsed="false">
      <c r="A26" s="5" t="s">
        <v>477</v>
      </c>
      <c r="B26" s="5" t="s">
        <v>478</v>
      </c>
      <c r="C26" s="5" t="s">
        <v>147</v>
      </c>
      <c r="D26" s="5" t="s">
        <v>148</v>
      </c>
      <c r="E26" s="5" t="s">
        <v>149</v>
      </c>
      <c r="F26" s="5" t="s">
        <v>479</v>
      </c>
      <c r="G26" s="5" t="s">
        <v>480</v>
      </c>
      <c r="H26" s="5" t="n">
        <v>7</v>
      </c>
      <c r="I26" s="5" t="s">
        <v>152</v>
      </c>
      <c r="J26" s="5" t="s">
        <v>153</v>
      </c>
      <c r="K26" s="5" t="s">
        <v>481</v>
      </c>
      <c r="L26" s="5" t="s">
        <v>68</v>
      </c>
      <c r="M26" s="5" t="s">
        <v>185</v>
      </c>
      <c r="N26" s="5" t="s">
        <v>72</v>
      </c>
      <c r="O26" s="5" t="s">
        <v>187</v>
      </c>
      <c r="P26" s="5" t="s">
        <v>215</v>
      </c>
      <c r="Q26" s="5" t="s">
        <v>159</v>
      </c>
      <c r="R26" s="5" t="s">
        <v>160</v>
      </c>
      <c r="S26" s="5" t="s">
        <v>161</v>
      </c>
      <c r="T26" s="5" t="s">
        <v>162</v>
      </c>
      <c r="U26" s="5" t="n">
        <v>365</v>
      </c>
      <c r="V26" s="5" t="s">
        <v>163</v>
      </c>
      <c r="W26" s="5" t="s">
        <v>164</v>
      </c>
      <c r="X26" s="5" t="s">
        <v>482</v>
      </c>
      <c r="Y26" s="5" t="s">
        <v>483</v>
      </c>
      <c r="Z26" s="5" t="s">
        <v>484</v>
      </c>
      <c r="AA26" s="5"/>
      <c r="AB26" s="5"/>
      <c r="AC26" s="5"/>
      <c r="AD26" s="5"/>
      <c r="AE26" s="5"/>
      <c r="AF26" s="5"/>
      <c r="AG26" s="5"/>
      <c r="AH26" s="5"/>
      <c r="AI26" s="5"/>
      <c r="AJ26" s="5"/>
      <c r="AK26" s="5"/>
      <c r="AL26" s="5"/>
      <c r="AM26" s="5"/>
      <c r="AN26" s="5"/>
      <c r="AO26" s="5" t="s">
        <v>475</v>
      </c>
      <c r="AP26" s="5"/>
      <c r="AQ26" s="5"/>
      <c r="AR26" s="5"/>
      <c r="AS26" s="5"/>
      <c r="AT26" s="5"/>
      <c r="AU26" s="5"/>
      <c r="AV26" s="5"/>
      <c r="AW26" s="5" t="s">
        <v>485</v>
      </c>
    </row>
    <row r="27" customFormat="false" ht="225.35" hidden="false" customHeight="false" outlineLevel="0" collapsed="false">
      <c r="A27" s="5" t="s">
        <v>486</v>
      </c>
      <c r="B27" s="5" t="s">
        <v>487</v>
      </c>
      <c r="C27" s="5" t="s">
        <v>488</v>
      </c>
      <c r="D27" s="5" t="s">
        <v>489</v>
      </c>
      <c r="E27" s="5" t="s">
        <v>149</v>
      </c>
      <c r="F27" s="5" t="s">
        <v>490</v>
      </c>
      <c r="G27" s="5" t="s">
        <v>491</v>
      </c>
      <c r="H27" s="5" t="n">
        <v>10</v>
      </c>
      <c r="I27" s="5" t="s">
        <v>152</v>
      </c>
      <c r="J27" s="5" t="s">
        <v>153</v>
      </c>
      <c r="K27" s="5" t="s">
        <v>492</v>
      </c>
      <c r="L27" s="5" t="s">
        <v>30</v>
      </c>
      <c r="M27" s="5" t="s">
        <v>155</v>
      </c>
      <c r="N27" s="5" t="s">
        <v>493</v>
      </c>
      <c r="O27" s="5" t="s">
        <v>157</v>
      </c>
      <c r="P27" s="5" t="s">
        <v>158</v>
      </c>
      <c r="Q27" s="5" t="s">
        <v>159</v>
      </c>
      <c r="R27" s="5" t="s">
        <v>494</v>
      </c>
      <c r="S27" s="5" t="s">
        <v>495</v>
      </c>
      <c r="T27" s="5" t="s">
        <v>162</v>
      </c>
      <c r="U27" s="5" t="n">
        <v>365</v>
      </c>
      <c r="V27" s="5" t="s">
        <v>496</v>
      </c>
      <c r="W27" s="5" t="s">
        <v>497</v>
      </c>
      <c r="X27" s="5" t="s">
        <v>498</v>
      </c>
      <c r="Y27" s="5" t="s">
        <v>499</v>
      </c>
      <c r="Z27" s="5" t="s">
        <v>500</v>
      </c>
      <c r="AA27" s="5"/>
      <c r="AB27" s="5"/>
      <c r="AC27" s="5"/>
      <c r="AD27" s="5"/>
      <c r="AE27" s="5" t="s">
        <v>501</v>
      </c>
      <c r="AF27" s="5" t="s">
        <v>502</v>
      </c>
      <c r="AG27" s="5" t="s">
        <v>502</v>
      </c>
      <c r="AH27" s="5" t="s">
        <v>503</v>
      </c>
      <c r="AI27" s="5" t="s">
        <v>504</v>
      </c>
      <c r="AJ27" s="5" t="s">
        <v>505</v>
      </c>
      <c r="AK27" s="5" t="s">
        <v>506</v>
      </c>
      <c r="AL27" s="5" t="s">
        <v>502</v>
      </c>
      <c r="AM27" s="5"/>
      <c r="AN27" s="5"/>
      <c r="AO27" s="5" t="s">
        <v>507</v>
      </c>
      <c r="AP27" s="5" t="s">
        <v>508</v>
      </c>
      <c r="AQ27" s="5" t="s">
        <v>502</v>
      </c>
      <c r="AR27" s="5" t="s">
        <v>175</v>
      </c>
      <c r="AS27" s="5"/>
      <c r="AT27" s="5" t="s">
        <v>509</v>
      </c>
      <c r="AU27" s="5" t="s">
        <v>510</v>
      </c>
      <c r="AV27" s="5" t="s">
        <v>178</v>
      </c>
      <c r="AW27" s="5" t="s">
        <v>511</v>
      </c>
    </row>
    <row r="28" customFormat="false" ht="135.8" hidden="false" customHeight="false" outlineLevel="0" collapsed="false">
      <c r="A28" s="5" t="s">
        <v>512</v>
      </c>
      <c r="B28" s="5" t="s">
        <v>513</v>
      </c>
      <c r="C28" s="5" t="s">
        <v>488</v>
      </c>
      <c r="D28" s="5" t="s">
        <v>489</v>
      </c>
      <c r="E28" s="5" t="s">
        <v>514</v>
      </c>
      <c r="F28" s="5" t="s">
        <v>515</v>
      </c>
      <c r="G28" s="5" t="s">
        <v>516</v>
      </c>
      <c r="H28" s="5" t="n">
        <v>5</v>
      </c>
      <c r="I28" s="5" t="s">
        <v>152</v>
      </c>
      <c r="J28" s="5" t="s">
        <v>153</v>
      </c>
      <c r="K28" s="5" t="s">
        <v>517</v>
      </c>
      <c r="L28" s="5" t="s">
        <v>30</v>
      </c>
      <c r="M28" s="5" t="s">
        <v>155</v>
      </c>
      <c r="N28" s="5" t="s">
        <v>518</v>
      </c>
      <c r="O28" s="5" t="s">
        <v>157</v>
      </c>
      <c r="P28" s="5" t="s">
        <v>158</v>
      </c>
      <c r="Q28" s="5" t="s">
        <v>519</v>
      </c>
      <c r="R28" s="5" t="s">
        <v>494</v>
      </c>
      <c r="S28" s="5" t="s">
        <v>495</v>
      </c>
      <c r="T28" s="5" t="s">
        <v>162</v>
      </c>
      <c r="U28" s="5" t="n">
        <v>365</v>
      </c>
      <c r="V28" s="5" t="s">
        <v>496</v>
      </c>
      <c r="W28" s="5" t="s">
        <v>497</v>
      </c>
      <c r="X28" s="5" t="s">
        <v>520</v>
      </c>
      <c r="Y28" s="5" t="s">
        <v>521</v>
      </c>
      <c r="Z28" s="5" t="s">
        <v>522</v>
      </c>
      <c r="AA28" s="5"/>
      <c r="AB28" s="5"/>
      <c r="AC28" s="5"/>
      <c r="AD28" s="5"/>
      <c r="AE28" s="5"/>
      <c r="AF28" s="5"/>
      <c r="AG28" s="5"/>
      <c r="AH28" s="5" t="s">
        <v>523</v>
      </c>
      <c r="AI28" s="5"/>
      <c r="AJ28" s="5" t="s">
        <v>524</v>
      </c>
      <c r="AK28" s="5" t="s">
        <v>525</v>
      </c>
      <c r="AL28" s="5"/>
      <c r="AM28" s="5"/>
      <c r="AN28" s="5"/>
      <c r="AO28" s="5"/>
      <c r="AP28" s="5" t="s">
        <v>526</v>
      </c>
      <c r="AQ28" s="5"/>
      <c r="AR28" s="5"/>
      <c r="AS28" s="5"/>
      <c r="AT28" s="5" t="s">
        <v>527</v>
      </c>
      <c r="AU28" s="5" t="s">
        <v>528</v>
      </c>
      <c r="AV28" s="5" t="s">
        <v>178</v>
      </c>
      <c r="AW28" s="5" t="s">
        <v>529</v>
      </c>
    </row>
    <row r="29" customFormat="false" ht="124.6" hidden="false" customHeight="false" outlineLevel="0" collapsed="false">
      <c r="A29" s="5" t="s">
        <v>530</v>
      </c>
      <c r="B29" s="5" t="s">
        <v>531</v>
      </c>
      <c r="C29" s="5" t="s">
        <v>488</v>
      </c>
      <c r="D29" s="5" t="s">
        <v>489</v>
      </c>
      <c r="E29" s="5" t="s">
        <v>514</v>
      </c>
      <c r="F29" s="5" t="s">
        <v>532</v>
      </c>
      <c r="G29" s="5" t="s">
        <v>533</v>
      </c>
      <c r="H29" s="5" t="n">
        <v>5</v>
      </c>
      <c r="I29" s="5" t="s">
        <v>152</v>
      </c>
      <c r="J29" s="5" t="s">
        <v>153</v>
      </c>
      <c r="K29" s="5" t="s">
        <v>534</v>
      </c>
      <c r="L29" s="5" t="s">
        <v>30</v>
      </c>
      <c r="M29" s="5" t="s">
        <v>155</v>
      </c>
      <c r="N29" s="5" t="s">
        <v>535</v>
      </c>
      <c r="O29" s="5" t="s">
        <v>157</v>
      </c>
      <c r="P29" s="5" t="s">
        <v>158</v>
      </c>
      <c r="Q29" s="5" t="s">
        <v>419</v>
      </c>
      <c r="R29" s="5" t="s">
        <v>494</v>
      </c>
      <c r="S29" s="5" t="s">
        <v>495</v>
      </c>
      <c r="T29" s="5" t="s">
        <v>162</v>
      </c>
      <c r="U29" s="5" t="n">
        <v>365</v>
      </c>
      <c r="V29" s="5" t="s">
        <v>496</v>
      </c>
      <c r="W29" s="5" t="s">
        <v>497</v>
      </c>
      <c r="X29" s="5" t="s">
        <v>536</v>
      </c>
      <c r="Y29" s="5" t="s">
        <v>537</v>
      </c>
      <c r="Z29" s="5" t="s">
        <v>538</v>
      </c>
      <c r="AA29" s="5"/>
      <c r="AB29" s="5"/>
      <c r="AC29" s="5"/>
      <c r="AD29" s="5"/>
      <c r="AE29" s="5"/>
      <c r="AF29" s="5"/>
      <c r="AG29" s="5"/>
      <c r="AH29" s="5" t="s">
        <v>539</v>
      </c>
      <c r="AI29" s="5"/>
      <c r="AJ29" s="5"/>
      <c r="AK29" s="5" t="s">
        <v>540</v>
      </c>
      <c r="AL29" s="5"/>
      <c r="AM29" s="5"/>
      <c r="AN29" s="5"/>
      <c r="AO29" s="5"/>
      <c r="AP29" s="5" t="s">
        <v>526</v>
      </c>
      <c r="AQ29" s="5"/>
      <c r="AR29" s="5"/>
      <c r="AS29" s="5" t="s">
        <v>541</v>
      </c>
      <c r="AT29" s="5" t="s">
        <v>542</v>
      </c>
      <c r="AU29" s="5"/>
      <c r="AV29" s="5" t="s">
        <v>178</v>
      </c>
      <c r="AW29" s="5" t="s">
        <v>543</v>
      </c>
    </row>
    <row r="30" customFormat="false" ht="113.4" hidden="false" customHeight="false" outlineLevel="0" collapsed="false">
      <c r="A30" s="5" t="s">
        <v>544</v>
      </c>
      <c r="B30" s="5" t="s">
        <v>545</v>
      </c>
      <c r="C30" s="5" t="s">
        <v>488</v>
      </c>
      <c r="D30" s="5" t="s">
        <v>489</v>
      </c>
      <c r="E30" s="5" t="s">
        <v>514</v>
      </c>
      <c r="F30" s="5" t="s">
        <v>546</v>
      </c>
      <c r="G30" s="5" t="s">
        <v>547</v>
      </c>
      <c r="H30" s="5" t="n">
        <v>5</v>
      </c>
      <c r="I30" s="5" t="s">
        <v>152</v>
      </c>
      <c r="J30" s="5" t="s">
        <v>153</v>
      </c>
      <c r="K30" s="5"/>
      <c r="L30" s="5" t="s">
        <v>68</v>
      </c>
      <c r="M30" s="5" t="s">
        <v>185</v>
      </c>
      <c r="N30" s="5" t="s">
        <v>72</v>
      </c>
      <c r="O30" s="5" t="s">
        <v>187</v>
      </c>
      <c r="P30" s="5" t="s">
        <v>158</v>
      </c>
      <c r="Q30" s="5" t="s">
        <v>519</v>
      </c>
      <c r="R30" s="5" t="s">
        <v>494</v>
      </c>
      <c r="S30" s="5" t="s">
        <v>495</v>
      </c>
      <c r="T30" s="5" t="s">
        <v>162</v>
      </c>
      <c r="U30" s="5" t="n">
        <v>365</v>
      </c>
      <c r="V30" s="5" t="s">
        <v>496</v>
      </c>
      <c r="W30" s="5" t="s">
        <v>497</v>
      </c>
      <c r="X30" s="5" t="s">
        <v>548</v>
      </c>
      <c r="Y30" s="5" t="s">
        <v>549</v>
      </c>
      <c r="Z30" s="5" t="s">
        <v>550</v>
      </c>
      <c r="AA30" s="5"/>
      <c r="AB30" s="5"/>
      <c r="AC30" s="5"/>
      <c r="AD30" s="5"/>
      <c r="AE30" s="5"/>
      <c r="AF30" s="5"/>
      <c r="AG30" s="5"/>
      <c r="AH30" s="5"/>
      <c r="AI30" s="5"/>
      <c r="AJ30" s="5"/>
      <c r="AK30" s="5"/>
      <c r="AL30" s="5"/>
      <c r="AM30" s="5"/>
      <c r="AN30" s="5"/>
      <c r="AO30" s="5" t="s">
        <v>551</v>
      </c>
      <c r="AP30" s="5"/>
      <c r="AQ30" s="5"/>
      <c r="AR30" s="5"/>
      <c r="AS30" s="5"/>
      <c r="AT30" s="5"/>
      <c r="AU30" s="5"/>
      <c r="AV30" s="5"/>
      <c r="AW30" s="5" t="s">
        <v>552</v>
      </c>
    </row>
    <row r="31" customFormat="false" ht="124.6" hidden="false" customHeight="false" outlineLevel="0" collapsed="false">
      <c r="A31" s="5" t="s">
        <v>553</v>
      </c>
      <c r="B31" s="5" t="s">
        <v>554</v>
      </c>
      <c r="C31" s="5" t="s">
        <v>488</v>
      </c>
      <c r="D31" s="5" t="s">
        <v>489</v>
      </c>
      <c r="E31" s="5" t="s">
        <v>514</v>
      </c>
      <c r="F31" s="5" t="s">
        <v>555</v>
      </c>
      <c r="G31" s="5" t="s">
        <v>556</v>
      </c>
      <c r="H31" s="5" t="n">
        <v>6</v>
      </c>
      <c r="I31" s="5" t="s">
        <v>152</v>
      </c>
      <c r="J31" s="5" t="s">
        <v>557</v>
      </c>
      <c r="K31" s="5" t="s">
        <v>558</v>
      </c>
      <c r="L31" s="5" t="s">
        <v>30</v>
      </c>
      <c r="M31" s="5" t="s">
        <v>155</v>
      </c>
      <c r="N31" s="5" t="s">
        <v>450</v>
      </c>
      <c r="O31" s="5" t="s">
        <v>157</v>
      </c>
      <c r="P31" s="5" t="s">
        <v>215</v>
      </c>
      <c r="Q31" s="5" t="s">
        <v>519</v>
      </c>
      <c r="R31" s="5" t="s">
        <v>494</v>
      </c>
      <c r="S31" s="5" t="s">
        <v>495</v>
      </c>
      <c r="T31" s="5" t="s">
        <v>162</v>
      </c>
      <c r="U31" s="5" t="n">
        <v>90</v>
      </c>
      <c r="V31" s="5" t="s">
        <v>496</v>
      </c>
      <c r="W31" s="5" t="s">
        <v>497</v>
      </c>
      <c r="X31" s="5" t="s">
        <v>559</v>
      </c>
      <c r="Y31" s="5" t="s">
        <v>560</v>
      </c>
      <c r="Z31" s="5" t="s">
        <v>561</v>
      </c>
      <c r="AA31" s="5"/>
      <c r="AB31" s="5"/>
      <c r="AC31" s="5"/>
      <c r="AD31" s="5"/>
      <c r="AE31" s="5" t="s">
        <v>562</v>
      </c>
      <c r="AF31" s="5"/>
      <c r="AG31" s="5"/>
      <c r="AH31" s="5"/>
      <c r="AI31" s="5"/>
      <c r="AJ31" s="5"/>
      <c r="AK31" s="5"/>
      <c r="AL31" s="5"/>
      <c r="AM31" s="5"/>
      <c r="AN31" s="5"/>
      <c r="AO31" s="5"/>
      <c r="AP31" s="5"/>
      <c r="AQ31" s="5"/>
      <c r="AR31" s="5"/>
      <c r="AS31" s="5"/>
      <c r="AT31" s="5"/>
      <c r="AU31" s="5"/>
      <c r="AV31" s="5"/>
      <c r="AW31" s="5" t="s">
        <v>563</v>
      </c>
    </row>
    <row r="32" customFormat="false" ht="225.35" hidden="false" customHeight="false" outlineLevel="0" collapsed="false">
      <c r="A32" s="5" t="s">
        <v>564</v>
      </c>
      <c r="B32" s="5" t="s">
        <v>565</v>
      </c>
      <c r="C32" s="5" t="s">
        <v>488</v>
      </c>
      <c r="D32" s="5" t="s">
        <v>489</v>
      </c>
      <c r="E32" s="5" t="s">
        <v>514</v>
      </c>
      <c r="F32" s="5" t="s">
        <v>566</v>
      </c>
      <c r="G32" s="5" t="s">
        <v>567</v>
      </c>
      <c r="H32" s="5" t="n">
        <v>10</v>
      </c>
      <c r="I32" s="5" t="s">
        <v>152</v>
      </c>
      <c r="J32" s="5" t="s">
        <v>153</v>
      </c>
      <c r="K32" s="5" t="s">
        <v>568</v>
      </c>
      <c r="L32" s="5" t="s">
        <v>30</v>
      </c>
      <c r="M32" s="5" t="s">
        <v>155</v>
      </c>
      <c r="N32" s="5" t="s">
        <v>569</v>
      </c>
      <c r="O32" s="5" t="s">
        <v>570</v>
      </c>
      <c r="P32" s="5" t="s">
        <v>158</v>
      </c>
      <c r="Q32" s="5" t="s">
        <v>519</v>
      </c>
      <c r="R32" s="5" t="s">
        <v>494</v>
      </c>
      <c r="S32" s="5" t="s">
        <v>495</v>
      </c>
      <c r="T32" s="5" t="s">
        <v>162</v>
      </c>
      <c r="U32" s="5" t="n">
        <v>365</v>
      </c>
      <c r="V32" s="5" t="s">
        <v>496</v>
      </c>
      <c r="W32" s="5" t="s">
        <v>497</v>
      </c>
      <c r="X32" s="5" t="s">
        <v>571</v>
      </c>
      <c r="Y32" s="5" t="s">
        <v>572</v>
      </c>
      <c r="Z32" s="5" t="s">
        <v>573</v>
      </c>
      <c r="AA32" s="5" t="s">
        <v>574</v>
      </c>
      <c r="AB32" s="5" t="s">
        <v>575</v>
      </c>
      <c r="AC32" s="5"/>
      <c r="AD32" s="5" t="s">
        <v>576</v>
      </c>
      <c r="AE32" s="5" t="s">
        <v>501</v>
      </c>
      <c r="AF32" s="5" t="s">
        <v>577</v>
      </c>
      <c r="AG32" s="5" t="s">
        <v>577</v>
      </c>
      <c r="AH32" s="5" t="s">
        <v>578</v>
      </c>
      <c r="AI32" s="5" t="s">
        <v>504</v>
      </c>
      <c r="AJ32" s="5" t="s">
        <v>579</v>
      </c>
      <c r="AK32" s="5" t="s">
        <v>580</v>
      </c>
      <c r="AL32" s="5" t="s">
        <v>577</v>
      </c>
      <c r="AM32" s="5"/>
      <c r="AN32" s="5" t="s">
        <v>581</v>
      </c>
      <c r="AO32" s="5" t="s">
        <v>582</v>
      </c>
      <c r="AP32" s="5" t="s">
        <v>583</v>
      </c>
      <c r="AQ32" s="5" t="s">
        <v>577</v>
      </c>
      <c r="AR32" s="5" t="s">
        <v>584</v>
      </c>
      <c r="AS32" s="5"/>
      <c r="AT32" s="5" t="s">
        <v>542</v>
      </c>
      <c r="AU32" s="5" t="s">
        <v>528</v>
      </c>
      <c r="AV32" s="5" t="s">
        <v>178</v>
      </c>
      <c r="AW32" s="5" t="s">
        <v>585</v>
      </c>
    </row>
    <row r="33" customFormat="false" ht="135.8" hidden="false" customHeight="false" outlineLevel="0" collapsed="false">
      <c r="A33" s="5" t="s">
        <v>586</v>
      </c>
      <c r="B33" s="5" t="s">
        <v>587</v>
      </c>
      <c r="C33" s="5" t="s">
        <v>488</v>
      </c>
      <c r="D33" s="5" t="s">
        <v>489</v>
      </c>
      <c r="E33" s="5" t="s">
        <v>514</v>
      </c>
      <c r="F33" s="5" t="s">
        <v>588</v>
      </c>
      <c r="G33" s="5" t="s">
        <v>589</v>
      </c>
      <c r="H33" s="5" t="n">
        <v>7</v>
      </c>
      <c r="I33" s="5" t="s">
        <v>152</v>
      </c>
      <c r="J33" s="5" t="s">
        <v>153</v>
      </c>
      <c r="K33" s="5"/>
      <c r="L33" s="5" t="s">
        <v>30</v>
      </c>
      <c r="M33" s="5" t="s">
        <v>155</v>
      </c>
      <c r="N33" s="5" t="s">
        <v>590</v>
      </c>
      <c r="O33" s="5" t="s">
        <v>157</v>
      </c>
      <c r="P33" s="5" t="s">
        <v>158</v>
      </c>
      <c r="Q33" s="5" t="s">
        <v>519</v>
      </c>
      <c r="R33" s="5" t="s">
        <v>494</v>
      </c>
      <c r="S33" s="5" t="s">
        <v>495</v>
      </c>
      <c r="T33" s="5" t="s">
        <v>162</v>
      </c>
      <c r="U33" s="5" t="n">
        <v>365</v>
      </c>
      <c r="V33" s="5" t="s">
        <v>496</v>
      </c>
      <c r="W33" s="5" t="s">
        <v>497</v>
      </c>
      <c r="X33" s="5" t="s">
        <v>591</v>
      </c>
      <c r="Y33" s="5" t="s">
        <v>592</v>
      </c>
      <c r="Z33" s="5" t="s">
        <v>593</v>
      </c>
      <c r="AA33" s="5"/>
      <c r="AB33" s="5"/>
      <c r="AC33" s="5"/>
      <c r="AD33" s="5"/>
      <c r="AE33" s="5"/>
      <c r="AF33" s="5" t="s">
        <v>594</v>
      </c>
      <c r="AG33" s="5" t="s">
        <v>594</v>
      </c>
      <c r="AH33" s="5"/>
      <c r="AI33" s="5"/>
      <c r="AJ33" s="5" t="s">
        <v>595</v>
      </c>
      <c r="AK33" s="5"/>
      <c r="AL33" s="5" t="s">
        <v>594</v>
      </c>
      <c r="AM33" s="5" t="s">
        <v>594</v>
      </c>
      <c r="AN33" s="5"/>
      <c r="AO33" s="5"/>
      <c r="AP33" s="5"/>
      <c r="AQ33" s="5"/>
      <c r="AR33" s="5" t="s">
        <v>596</v>
      </c>
      <c r="AS33" s="5"/>
      <c r="AT33" s="5"/>
      <c r="AU33" s="5"/>
      <c r="AV33" s="5" t="s">
        <v>178</v>
      </c>
      <c r="AW33" s="5" t="s">
        <v>597</v>
      </c>
    </row>
    <row r="34" customFormat="false" ht="191.75" hidden="false" customHeight="false" outlineLevel="0" collapsed="false">
      <c r="A34" s="5" t="s">
        <v>598</v>
      </c>
      <c r="B34" s="5" t="s">
        <v>599</v>
      </c>
      <c r="C34" s="5" t="s">
        <v>488</v>
      </c>
      <c r="D34" s="5" t="s">
        <v>489</v>
      </c>
      <c r="E34" s="5" t="s">
        <v>600</v>
      </c>
      <c r="F34" s="5" t="s">
        <v>601</v>
      </c>
      <c r="G34" s="5" t="s">
        <v>602</v>
      </c>
      <c r="H34" s="5" t="n">
        <v>3</v>
      </c>
      <c r="I34" s="5" t="s">
        <v>603</v>
      </c>
      <c r="J34" s="5" t="s">
        <v>557</v>
      </c>
      <c r="K34" s="5"/>
      <c r="L34" s="5" t="s">
        <v>30</v>
      </c>
      <c r="M34" s="5" t="s">
        <v>155</v>
      </c>
      <c r="N34" s="5" t="s">
        <v>604</v>
      </c>
      <c r="O34" s="5" t="s">
        <v>570</v>
      </c>
      <c r="P34" s="5" t="s">
        <v>158</v>
      </c>
      <c r="Q34" s="5" t="s">
        <v>605</v>
      </c>
      <c r="R34" s="5" t="s">
        <v>494</v>
      </c>
      <c r="S34" s="5" t="s">
        <v>495</v>
      </c>
      <c r="T34" s="5" t="s">
        <v>606</v>
      </c>
      <c r="U34" s="5" t="n">
        <v>90</v>
      </c>
      <c r="V34" s="5" t="s">
        <v>496</v>
      </c>
      <c r="W34" s="5" t="s">
        <v>497</v>
      </c>
      <c r="X34" s="5" t="s">
        <v>607</v>
      </c>
      <c r="Y34" s="5" t="s">
        <v>608</v>
      </c>
      <c r="Z34" s="5" t="s">
        <v>609</v>
      </c>
      <c r="AA34" s="5" t="s">
        <v>610</v>
      </c>
      <c r="AB34" s="5"/>
      <c r="AC34" s="5"/>
      <c r="AD34" s="5"/>
      <c r="AE34" s="5"/>
      <c r="AF34" s="5" t="s">
        <v>611</v>
      </c>
      <c r="AG34" s="5" t="s">
        <v>611</v>
      </c>
      <c r="AH34" s="5"/>
      <c r="AI34" s="5"/>
      <c r="AJ34" s="5"/>
      <c r="AK34" s="5"/>
      <c r="AL34" s="5" t="s">
        <v>611</v>
      </c>
      <c r="AM34" s="5" t="s">
        <v>611</v>
      </c>
      <c r="AN34" s="5"/>
      <c r="AO34" s="5" t="s">
        <v>612</v>
      </c>
      <c r="AP34" s="5"/>
      <c r="AQ34" s="5" t="s">
        <v>611</v>
      </c>
      <c r="AR34" s="5" t="s">
        <v>596</v>
      </c>
      <c r="AS34" s="5"/>
      <c r="AT34" s="5"/>
      <c r="AU34" s="5" t="s">
        <v>613</v>
      </c>
      <c r="AV34" s="5"/>
      <c r="AW34" s="5" t="s">
        <v>614</v>
      </c>
    </row>
    <row r="35" customFormat="false" ht="169.4" hidden="false" customHeight="false" outlineLevel="0" collapsed="false">
      <c r="A35" s="5" t="s">
        <v>615</v>
      </c>
      <c r="B35" s="5" t="s">
        <v>616</v>
      </c>
      <c r="C35" s="5" t="s">
        <v>488</v>
      </c>
      <c r="D35" s="5" t="s">
        <v>489</v>
      </c>
      <c r="E35" s="5" t="s">
        <v>514</v>
      </c>
      <c r="F35" s="5" t="s">
        <v>617</v>
      </c>
      <c r="G35" s="5" t="s">
        <v>618</v>
      </c>
      <c r="H35" s="5" t="n">
        <v>2</v>
      </c>
      <c r="I35" s="5" t="s">
        <v>152</v>
      </c>
      <c r="J35" s="5" t="s">
        <v>153</v>
      </c>
      <c r="K35" s="5"/>
      <c r="L35" s="5" t="s">
        <v>30</v>
      </c>
      <c r="M35" s="5" t="s">
        <v>155</v>
      </c>
      <c r="N35" s="5" t="s">
        <v>619</v>
      </c>
      <c r="O35" s="5" t="s">
        <v>157</v>
      </c>
      <c r="P35" s="5" t="s">
        <v>215</v>
      </c>
      <c r="Q35" s="5" t="s">
        <v>519</v>
      </c>
      <c r="R35" s="5" t="s">
        <v>494</v>
      </c>
      <c r="S35" s="5" t="s">
        <v>495</v>
      </c>
      <c r="T35" s="5" t="s">
        <v>162</v>
      </c>
      <c r="U35" s="5" t="n">
        <v>365</v>
      </c>
      <c r="V35" s="5" t="s">
        <v>496</v>
      </c>
      <c r="W35" s="5" t="s">
        <v>497</v>
      </c>
      <c r="X35" s="5" t="s">
        <v>620</v>
      </c>
      <c r="Y35" s="5" t="s">
        <v>621</v>
      </c>
      <c r="Z35" s="5" t="s">
        <v>622</v>
      </c>
      <c r="AA35" s="5"/>
      <c r="AB35" s="5"/>
      <c r="AC35" s="5"/>
      <c r="AD35" s="5"/>
      <c r="AE35" s="5"/>
      <c r="AF35" s="5" t="s">
        <v>623</v>
      </c>
      <c r="AG35" s="5" t="s">
        <v>623</v>
      </c>
      <c r="AH35" s="5"/>
      <c r="AI35" s="5"/>
      <c r="AJ35" s="5"/>
      <c r="AK35" s="5"/>
      <c r="AL35" s="5" t="s">
        <v>623</v>
      </c>
      <c r="AM35" s="5"/>
      <c r="AN35" s="5" t="s">
        <v>581</v>
      </c>
      <c r="AO35" s="5"/>
      <c r="AP35" s="5"/>
      <c r="AQ35" s="5" t="s">
        <v>623</v>
      </c>
      <c r="AR35" s="5" t="s">
        <v>596</v>
      </c>
      <c r="AS35" s="5"/>
      <c r="AT35" s="5"/>
      <c r="AU35" s="5" t="s">
        <v>528</v>
      </c>
      <c r="AV35" s="5" t="s">
        <v>178</v>
      </c>
      <c r="AW35" s="5" t="s">
        <v>597</v>
      </c>
    </row>
    <row r="36" customFormat="false" ht="202.95" hidden="false" customHeight="false" outlineLevel="0" collapsed="false">
      <c r="A36" s="5" t="s">
        <v>624</v>
      </c>
      <c r="B36" s="5" t="s">
        <v>625</v>
      </c>
      <c r="C36" s="5" t="s">
        <v>488</v>
      </c>
      <c r="D36" s="5" t="s">
        <v>489</v>
      </c>
      <c r="E36" s="5" t="s">
        <v>626</v>
      </c>
      <c r="F36" s="5" t="s">
        <v>627</v>
      </c>
      <c r="G36" s="5" t="s">
        <v>628</v>
      </c>
      <c r="H36" s="5" t="n">
        <v>4</v>
      </c>
      <c r="I36" s="5" t="s">
        <v>603</v>
      </c>
      <c r="J36" s="5" t="s">
        <v>557</v>
      </c>
      <c r="K36" s="5"/>
      <c r="L36" s="5" t="s">
        <v>55</v>
      </c>
      <c r="M36" s="5" t="s">
        <v>185</v>
      </c>
      <c r="N36" s="5" t="s">
        <v>439</v>
      </c>
      <c r="O36" s="5" t="s">
        <v>187</v>
      </c>
      <c r="P36" s="5" t="s">
        <v>215</v>
      </c>
      <c r="Q36" s="5" t="s">
        <v>519</v>
      </c>
      <c r="R36" s="5" t="s">
        <v>494</v>
      </c>
      <c r="S36" s="5" t="s">
        <v>495</v>
      </c>
      <c r="T36" s="5" t="s">
        <v>606</v>
      </c>
      <c r="U36" s="5" t="n">
        <v>90</v>
      </c>
      <c r="V36" s="5" t="s">
        <v>496</v>
      </c>
      <c r="W36" s="5" t="s">
        <v>497</v>
      </c>
      <c r="X36" s="5" t="s">
        <v>629</v>
      </c>
      <c r="Y36" s="5" t="s">
        <v>630</v>
      </c>
      <c r="Z36" s="5" t="s">
        <v>631</v>
      </c>
      <c r="AA36" s="5"/>
      <c r="AB36" s="5"/>
      <c r="AC36" s="5"/>
      <c r="AD36" s="5"/>
      <c r="AE36" s="5"/>
      <c r="AF36" s="5" t="s">
        <v>632</v>
      </c>
      <c r="AG36" s="5"/>
      <c r="AH36" s="5"/>
      <c r="AI36" s="5"/>
      <c r="AJ36" s="5" t="s">
        <v>633</v>
      </c>
      <c r="AK36" s="5"/>
      <c r="AL36" s="5" t="s">
        <v>632</v>
      </c>
      <c r="AM36" s="5"/>
      <c r="AN36" s="5"/>
      <c r="AO36" s="5"/>
      <c r="AP36" s="5"/>
      <c r="AQ36" s="5"/>
      <c r="AR36" s="5" t="s">
        <v>634</v>
      </c>
      <c r="AS36" s="5"/>
      <c r="AT36" s="5"/>
      <c r="AU36" s="5" t="s">
        <v>635</v>
      </c>
      <c r="AV36" s="5" t="s">
        <v>178</v>
      </c>
      <c r="AW36" s="5" t="s">
        <v>636</v>
      </c>
    </row>
    <row r="37" customFormat="false" ht="113.4" hidden="false" customHeight="false" outlineLevel="0" collapsed="false">
      <c r="A37" s="5" t="s">
        <v>637</v>
      </c>
      <c r="B37" s="5" t="s">
        <v>638</v>
      </c>
      <c r="C37" s="5" t="s">
        <v>488</v>
      </c>
      <c r="D37" s="5" t="s">
        <v>489</v>
      </c>
      <c r="E37" s="5" t="s">
        <v>514</v>
      </c>
      <c r="F37" s="5" t="s">
        <v>639</v>
      </c>
      <c r="G37" s="5" t="s">
        <v>640</v>
      </c>
      <c r="H37" s="5" t="n">
        <v>8</v>
      </c>
      <c r="I37" s="5" t="s">
        <v>603</v>
      </c>
      <c r="J37" s="5" t="s">
        <v>153</v>
      </c>
      <c r="K37" s="5"/>
      <c r="L37" s="5" t="s">
        <v>85</v>
      </c>
      <c r="M37" s="5" t="s">
        <v>185</v>
      </c>
      <c r="N37" s="5" t="s">
        <v>88</v>
      </c>
      <c r="O37" s="5" t="s">
        <v>214</v>
      </c>
      <c r="P37" s="5" t="s">
        <v>641</v>
      </c>
      <c r="Q37" s="5" t="s">
        <v>519</v>
      </c>
      <c r="R37" s="5" t="s">
        <v>494</v>
      </c>
      <c r="S37" s="5" t="s">
        <v>495</v>
      </c>
      <c r="T37" s="5" t="s">
        <v>606</v>
      </c>
      <c r="U37" s="5" t="n">
        <v>365</v>
      </c>
      <c r="V37" s="5" t="s">
        <v>496</v>
      </c>
      <c r="W37" s="5" t="s">
        <v>497</v>
      </c>
      <c r="X37" s="5" t="s">
        <v>642</v>
      </c>
      <c r="Y37" s="5" t="s">
        <v>643</v>
      </c>
      <c r="Z37" s="5" t="s">
        <v>644</v>
      </c>
      <c r="AA37" s="5"/>
      <c r="AB37" s="5"/>
      <c r="AC37" s="5"/>
      <c r="AD37" s="5"/>
      <c r="AE37" s="5"/>
      <c r="AF37" s="5" t="s">
        <v>645</v>
      </c>
      <c r="AG37" s="5"/>
      <c r="AH37" s="5"/>
      <c r="AI37" s="5"/>
      <c r="AJ37" s="5"/>
      <c r="AK37" s="5"/>
      <c r="AL37" s="5" t="s">
        <v>645</v>
      </c>
      <c r="AM37" s="5"/>
      <c r="AN37" s="5"/>
      <c r="AO37" s="5"/>
      <c r="AP37" s="5"/>
      <c r="AQ37" s="5" t="s">
        <v>645</v>
      </c>
      <c r="AR37" s="5" t="s">
        <v>646</v>
      </c>
      <c r="AS37" s="5"/>
      <c r="AT37" s="5" t="s">
        <v>647</v>
      </c>
      <c r="AU37" s="5"/>
      <c r="AV37" s="5"/>
      <c r="AW37" s="5" t="s">
        <v>552</v>
      </c>
    </row>
    <row r="38" customFormat="false" ht="191.75" hidden="false" customHeight="false" outlineLevel="0" collapsed="false">
      <c r="A38" s="5" t="s">
        <v>648</v>
      </c>
      <c r="B38" s="5" t="s">
        <v>649</v>
      </c>
      <c r="C38" s="5" t="s">
        <v>488</v>
      </c>
      <c r="D38" s="5" t="s">
        <v>489</v>
      </c>
      <c r="E38" s="5" t="s">
        <v>514</v>
      </c>
      <c r="F38" s="5" t="s">
        <v>650</v>
      </c>
      <c r="G38" s="5" t="s">
        <v>651</v>
      </c>
      <c r="H38" s="5" t="n">
        <v>9</v>
      </c>
      <c r="I38" s="5" t="s">
        <v>152</v>
      </c>
      <c r="J38" s="5" t="s">
        <v>652</v>
      </c>
      <c r="K38" s="5" t="s">
        <v>653</v>
      </c>
      <c r="L38" s="5" t="s">
        <v>85</v>
      </c>
      <c r="M38" s="5" t="s">
        <v>185</v>
      </c>
      <c r="N38" s="5" t="s">
        <v>84</v>
      </c>
      <c r="O38" s="5" t="s">
        <v>214</v>
      </c>
      <c r="P38" s="5" t="s">
        <v>158</v>
      </c>
      <c r="Q38" s="5" t="s">
        <v>399</v>
      </c>
      <c r="R38" s="5" t="s">
        <v>494</v>
      </c>
      <c r="S38" s="5" t="s">
        <v>495</v>
      </c>
      <c r="T38" s="5" t="s">
        <v>162</v>
      </c>
      <c r="U38" s="5" t="n">
        <v>180</v>
      </c>
      <c r="V38" s="5" t="s">
        <v>496</v>
      </c>
      <c r="W38" s="5" t="s">
        <v>497</v>
      </c>
      <c r="X38" s="5" t="s">
        <v>654</v>
      </c>
      <c r="Y38" s="5" t="s">
        <v>655</v>
      </c>
      <c r="Z38" s="5" t="s">
        <v>656</v>
      </c>
      <c r="AA38" s="5"/>
      <c r="AB38" s="5"/>
      <c r="AC38" s="5"/>
      <c r="AD38" s="5"/>
      <c r="AE38" s="5"/>
      <c r="AF38" s="5" t="s">
        <v>657</v>
      </c>
      <c r="AG38" s="5"/>
      <c r="AH38" s="5"/>
      <c r="AI38" s="5"/>
      <c r="AJ38" s="5"/>
      <c r="AK38" s="5"/>
      <c r="AL38" s="5" t="s">
        <v>657</v>
      </c>
      <c r="AM38" s="5"/>
      <c r="AN38" s="5"/>
      <c r="AO38" s="5"/>
      <c r="AP38" s="5" t="s">
        <v>658</v>
      </c>
      <c r="AQ38" s="5"/>
      <c r="AR38" s="5" t="s">
        <v>596</v>
      </c>
      <c r="AS38" s="5"/>
      <c r="AT38" s="5" t="s">
        <v>542</v>
      </c>
      <c r="AU38" s="5" t="s">
        <v>659</v>
      </c>
      <c r="AV38" s="5" t="s">
        <v>178</v>
      </c>
      <c r="AW38" s="5" t="s">
        <v>660</v>
      </c>
    </row>
    <row r="39" customFormat="false" ht="180.55" hidden="false" customHeight="false" outlineLevel="0" collapsed="false">
      <c r="A39" s="5" t="s">
        <v>661</v>
      </c>
      <c r="B39" s="5" t="s">
        <v>662</v>
      </c>
      <c r="C39" s="5" t="s">
        <v>488</v>
      </c>
      <c r="D39" s="5" t="s">
        <v>489</v>
      </c>
      <c r="E39" s="5" t="s">
        <v>514</v>
      </c>
      <c r="F39" s="5" t="s">
        <v>663</v>
      </c>
      <c r="G39" s="5" t="s">
        <v>664</v>
      </c>
      <c r="H39" s="5" t="n">
        <v>5</v>
      </c>
      <c r="I39" s="5" t="s">
        <v>603</v>
      </c>
      <c r="J39" s="5" t="s">
        <v>557</v>
      </c>
      <c r="K39" s="5"/>
      <c r="L39" s="5" t="s">
        <v>55</v>
      </c>
      <c r="M39" s="5" t="s">
        <v>185</v>
      </c>
      <c r="N39" s="5" t="s">
        <v>665</v>
      </c>
      <c r="O39" s="5" t="s">
        <v>666</v>
      </c>
      <c r="P39" s="5" t="s">
        <v>641</v>
      </c>
      <c r="Q39" s="5" t="s">
        <v>440</v>
      </c>
      <c r="R39" s="5" t="s">
        <v>494</v>
      </c>
      <c r="S39" s="5" t="s">
        <v>495</v>
      </c>
      <c r="T39" s="5" t="s">
        <v>606</v>
      </c>
      <c r="U39" s="5" t="n">
        <v>90</v>
      </c>
      <c r="V39" s="5" t="s">
        <v>496</v>
      </c>
      <c r="W39" s="5" t="s">
        <v>497</v>
      </c>
      <c r="X39" s="5" t="s">
        <v>667</v>
      </c>
      <c r="Y39" s="5" t="s">
        <v>668</v>
      </c>
      <c r="Z39" s="5" t="s">
        <v>669</v>
      </c>
      <c r="AA39" s="5"/>
      <c r="AB39" s="5"/>
      <c r="AC39" s="5"/>
      <c r="AD39" s="5"/>
      <c r="AE39" s="5"/>
      <c r="AF39" s="5" t="s">
        <v>670</v>
      </c>
      <c r="AG39" s="5"/>
      <c r="AH39" s="5"/>
      <c r="AI39" s="5"/>
      <c r="AJ39" s="5" t="s">
        <v>671</v>
      </c>
      <c r="AK39" s="5"/>
      <c r="AL39" s="5" t="s">
        <v>670</v>
      </c>
      <c r="AM39" s="5"/>
      <c r="AN39" s="5"/>
      <c r="AO39" s="5" t="s">
        <v>612</v>
      </c>
      <c r="AP39" s="5"/>
      <c r="AQ39" s="5"/>
      <c r="AR39" s="5" t="s">
        <v>596</v>
      </c>
      <c r="AS39" s="5"/>
      <c r="AT39" s="5" t="s">
        <v>672</v>
      </c>
      <c r="AU39" s="5" t="s">
        <v>673</v>
      </c>
      <c r="AV39" s="5" t="s">
        <v>178</v>
      </c>
      <c r="AW39" s="5" t="s">
        <v>597</v>
      </c>
    </row>
    <row r="40" customFormat="false" ht="158.2" hidden="false" customHeight="false" outlineLevel="0" collapsed="false">
      <c r="A40" s="5" t="s">
        <v>674</v>
      </c>
      <c r="B40" s="5" t="s">
        <v>675</v>
      </c>
      <c r="C40" s="5" t="s">
        <v>488</v>
      </c>
      <c r="D40" s="5" t="s">
        <v>489</v>
      </c>
      <c r="E40" s="5" t="s">
        <v>514</v>
      </c>
      <c r="F40" s="5" t="s">
        <v>676</v>
      </c>
      <c r="G40" s="5" t="s">
        <v>677</v>
      </c>
      <c r="H40" s="5" t="n">
        <v>8</v>
      </c>
      <c r="I40" s="5" t="s">
        <v>152</v>
      </c>
      <c r="J40" s="5" t="s">
        <v>153</v>
      </c>
      <c r="K40" s="5" t="s">
        <v>678</v>
      </c>
      <c r="L40" s="5" t="s">
        <v>30</v>
      </c>
      <c r="M40" s="5" t="s">
        <v>155</v>
      </c>
      <c r="N40" s="5" t="s">
        <v>679</v>
      </c>
      <c r="O40" s="5" t="s">
        <v>157</v>
      </c>
      <c r="P40" s="5" t="s">
        <v>158</v>
      </c>
      <c r="Q40" s="5" t="s">
        <v>419</v>
      </c>
      <c r="R40" s="5" t="s">
        <v>494</v>
      </c>
      <c r="S40" s="5" t="s">
        <v>495</v>
      </c>
      <c r="T40" s="5" t="s">
        <v>162</v>
      </c>
      <c r="U40" s="5" t="n">
        <v>365</v>
      </c>
      <c r="V40" s="5" t="s">
        <v>496</v>
      </c>
      <c r="W40" s="5" t="s">
        <v>497</v>
      </c>
      <c r="X40" s="5" t="s">
        <v>680</v>
      </c>
      <c r="Y40" s="5" t="s">
        <v>681</v>
      </c>
      <c r="Z40" s="5" t="s">
        <v>682</v>
      </c>
      <c r="AA40" s="5"/>
      <c r="AB40" s="5"/>
      <c r="AC40" s="5"/>
      <c r="AD40" s="5"/>
      <c r="AE40" s="5" t="s">
        <v>683</v>
      </c>
      <c r="AF40" s="5" t="s">
        <v>684</v>
      </c>
      <c r="AG40" s="5" t="s">
        <v>684</v>
      </c>
      <c r="AH40" s="5"/>
      <c r="AI40" s="5"/>
      <c r="AJ40" s="5"/>
      <c r="AK40" s="5" t="s">
        <v>685</v>
      </c>
      <c r="AL40" s="5" t="s">
        <v>684</v>
      </c>
      <c r="AM40" s="5"/>
      <c r="AN40" s="5"/>
      <c r="AO40" s="5"/>
      <c r="AP40" s="5" t="s">
        <v>686</v>
      </c>
      <c r="AQ40" s="5" t="s">
        <v>684</v>
      </c>
      <c r="AR40" s="5" t="s">
        <v>687</v>
      </c>
      <c r="AS40" s="5"/>
      <c r="AT40" s="5" t="s">
        <v>542</v>
      </c>
      <c r="AU40" s="5"/>
      <c r="AV40" s="5" t="s">
        <v>178</v>
      </c>
      <c r="AW40" s="5" t="s">
        <v>529</v>
      </c>
    </row>
    <row r="41" customFormat="false" ht="124.6" hidden="false" customHeight="false" outlineLevel="0" collapsed="false">
      <c r="A41" s="5" t="s">
        <v>688</v>
      </c>
      <c r="B41" s="5" t="s">
        <v>689</v>
      </c>
      <c r="C41" s="5" t="s">
        <v>488</v>
      </c>
      <c r="D41" s="5" t="s">
        <v>489</v>
      </c>
      <c r="E41" s="5" t="s">
        <v>514</v>
      </c>
      <c r="F41" s="5" t="s">
        <v>690</v>
      </c>
      <c r="G41" s="5" t="s">
        <v>691</v>
      </c>
      <c r="H41" s="5" t="n">
        <v>5</v>
      </c>
      <c r="I41" s="5" t="s">
        <v>152</v>
      </c>
      <c r="J41" s="5" t="s">
        <v>153</v>
      </c>
      <c r="K41" s="5" t="s">
        <v>492</v>
      </c>
      <c r="L41" s="5" t="s">
        <v>55</v>
      </c>
      <c r="M41" s="5" t="s">
        <v>185</v>
      </c>
      <c r="N41" s="5" t="s">
        <v>374</v>
      </c>
      <c r="O41" s="5" t="s">
        <v>187</v>
      </c>
      <c r="P41" s="5" t="s">
        <v>158</v>
      </c>
      <c r="Q41" s="5" t="s">
        <v>277</v>
      </c>
      <c r="R41" s="5" t="s">
        <v>494</v>
      </c>
      <c r="S41" s="5" t="s">
        <v>495</v>
      </c>
      <c r="T41" s="5" t="s">
        <v>162</v>
      </c>
      <c r="U41" s="5" t="n">
        <v>365</v>
      </c>
      <c r="V41" s="5" t="s">
        <v>496</v>
      </c>
      <c r="W41" s="5" t="s">
        <v>497</v>
      </c>
      <c r="X41" s="5" t="s">
        <v>692</v>
      </c>
      <c r="Y41" s="5" t="s">
        <v>693</v>
      </c>
      <c r="Z41" s="5" t="s">
        <v>694</v>
      </c>
      <c r="AA41" s="5"/>
      <c r="AB41" s="5"/>
      <c r="AC41" s="5"/>
      <c r="AD41" s="5"/>
      <c r="AE41" s="5"/>
      <c r="AF41" s="5" t="s">
        <v>695</v>
      </c>
      <c r="AG41" s="5"/>
      <c r="AH41" s="5"/>
      <c r="AI41" s="5"/>
      <c r="AJ41" s="5"/>
      <c r="AK41" s="5" t="s">
        <v>685</v>
      </c>
      <c r="AL41" s="5" t="s">
        <v>695</v>
      </c>
      <c r="AM41" s="5"/>
      <c r="AN41" s="5"/>
      <c r="AO41" s="5"/>
      <c r="AP41" s="5" t="s">
        <v>686</v>
      </c>
      <c r="AQ41" s="5"/>
      <c r="AR41" s="5" t="s">
        <v>596</v>
      </c>
      <c r="AS41" s="5"/>
      <c r="AT41" s="5" t="s">
        <v>542</v>
      </c>
      <c r="AU41" s="5"/>
      <c r="AV41" s="5" t="s">
        <v>178</v>
      </c>
      <c r="AW41" s="5" t="s">
        <v>529</v>
      </c>
    </row>
    <row r="42" customFormat="false" ht="191.75" hidden="false" customHeight="false" outlineLevel="0" collapsed="false">
      <c r="A42" s="5" t="s">
        <v>696</v>
      </c>
      <c r="B42" s="5" t="s">
        <v>697</v>
      </c>
      <c r="C42" s="5" t="s">
        <v>488</v>
      </c>
      <c r="D42" s="5" t="s">
        <v>489</v>
      </c>
      <c r="E42" s="5" t="s">
        <v>514</v>
      </c>
      <c r="F42" s="5" t="s">
        <v>698</v>
      </c>
      <c r="G42" s="5" t="s">
        <v>699</v>
      </c>
      <c r="H42" s="5" t="n">
        <v>8</v>
      </c>
      <c r="I42" s="5" t="s">
        <v>152</v>
      </c>
      <c r="J42" s="5" t="s">
        <v>153</v>
      </c>
      <c r="K42" s="5" t="s">
        <v>700</v>
      </c>
      <c r="L42" s="5" t="s">
        <v>68</v>
      </c>
      <c r="M42" s="5" t="s">
        <v>185</v>
      </c>
      <c r="N42" s="5" t="s">
        <v>72</v>
      </c>
      <c r="O42" s="5" t="s">
        <v>187</v>
      </c>
      <c r="P42" s="5" t="s">
        <v>215</v>
      </c>
      <c r="Q42" s="5" t="s">
        <v>519</v>
      </c>
      <c r="R42" s="5" t="s">
        <v>494</v>
      </c>
      <c r="S42" s="5" t="s">
        <v>495</v>
      </c>
      <c r="T42" s="5" t="s">
        <v>162</v>
      </c>
      <c r="U42" s="5" t="n">
        <v>365</v>
      </c>
      <c r="V42" s="5" t="s">
        <v>496</v>
      </c>
      <c r="W42" s="5" t="s">
        <v>497</v>
      </c>
      <c r="X42" s="5" t="s">
        <v>701</v>
      </c>
      <c r="Y42" s="5" t="s">
        <v>702</v>
      </c>
      <c r="Z42" s="5" t="s">
        <v>703</v>
      </c>
      <c r="AA42" s="5"/>
      <c r="AB42" s="5"/>
      <c r="AC42" s="5"/>
      <c r="AD42" s="5"/>
      <c r="AE42" s="5"/>
      <c r="AF42" s="5" t="s">
        <v>704</v>
      </c>
      <c r="AG42" s="5"/>
      <c r="AH42" s="5"/>
      <c r="AI42" s="5"/>
      <c r="AJ42" s="5"/>
      <c r="AK42" s="5"/>
      <c r="AL42" s="5" t="s">
        <v>704</v>
      </c>
      <c r="AM42" s="5"/>
      <c r="AN42" s="5"/>
      <c r="AO42" s="5" t="s">
        <v>705</v>
      </c>
      <c r="AP42" s="5"/>
      <c r="AQ42" s="5"/>
      <c r="AR42" s="5" t="s">
        <v>706</v>
      </c>
      <c r="AS42" s="5"/>
      <c r="AT42" s="5" t="s">
        <v>707</v>
      </c>
      <c r="AU42" s="5"/>
      <c r="AV42" s="5"/>
      <c r="AW42" s="5" t="s">
        <v>529</v>
      </c>
    </row>
    <row r="43" customFormat="false" ht="202.95" hidden="false" customHeight="false" outlineLevel="0" collapsed="false">
      <c r="A43" s="5" t="s">
        <v>708</v>
      </c>
      <c r="B43" s="5" t="s">
        <v>709</v>
      </c>
      <c r="C43" s="5" t="s">
        <v>488</v>
      </c>
      <c r="D43" s="5" t="s">
        <v>489</v>
      </c>
      <c r="E43" s="5" t="s">
        <v>514</v>
      </c>
      <c r="F43" s="5" t="s">
        <v>710</v>
      </c>
      <c r="G43" s="5" t="s">
        <v>711</v>
      </c>
      <c r="H43" s="5" t="n">
        <v>10</v>
      </c>
      <c r="I43" s="5" t="s">
        <v>152</v>
      </c>
      <c r="J43" s="5" t="s">
        <v>153</v>
      </c>
      <c r="K43" s="5" t="s">
        <v>712</v>
      </c>
      <c r="L43" s="5" t="s">
        <v>30</v>
      </c>
      <c r="M43" s="5" t="s">
        <v>155</v>
      </c>
      <c r="N43" s="5" t="s">
        <v>713</v>
      </c>
      <c r="O43" s="5" t="s">
        <v>157</v>
      </c>
      <c r="P43" s="5" t="s">
        <v>158</v>
      </c>
      <c r="Q43" s="5" t="s">
        <v>451</v>
      </c>
      <c r="R43" s="5" t="s">
        <v>494</v>
      </c>
      <c r="S43" s="5" t="s">
        <v>495</v>
      </c>
      <c r="T43" s="5" t="s">
        <v>162</v>
      </c>
      <c r="U43" s="5" t="n">
        <v>365</v>
      </c>
      <c r="V43" s="5" t="s">
        <v>496</v>
      </c>
      <c r="W43" s="5" t="s">
        <v>497</v>
      </c>
      <c r="X43" s="5" t="s">
        <v>714</v>
      </c>
      <c r="Y43" s="5" t="s">
        <v>715</v>
      </c>
      <c r="Z43" s="5" t="s">
        <v>716</v>
      </c>
      <c r="AA43" s="5" t="s">
        <v>717</v>
      </c>
      <c r="AB43" s="5"/>
      <c r="AC43" s="5"/>
      <c r="AD43" s="5"/>
      <c r="AE43" s="5" t="s">
        <v>718</v>
      </c>
      <c r="AF43" s="5" t="s">
        <v>719</v>
      </c>
      <c r="AG43" s="5" t="s">
        <v>719</v>
      </c>
      <c r="AH43" s="5"/>
      <c r="AI43" s="5" t="s">
        <v>720</v>
      </c>
      <c r="AJ43" s="5"/>
      <c r="AK43" s="5" t="s">
        <v>721</v>
      </c>
      <c r="AL43" s="5" t="s">
        <v>719</v>
      </c>
      <c r="AM43" s="5" t="s">
        <v>722</v>
      </c>
      <c r="AN43" s="5" t="s">
        <v>723</v>
      </c>
      <c r="AO43" s="5" t="s">
        <v>705</v>
      </c>
      <c r="AP43" s="5" t="s">
        <v>724</v>
      </c>
      <c r="AQ43" s="5" t="s">
        <v>719</v>
      </c>
      <c r="AR43" s="5" t="s">
        <v>725</v>
      </c>
      <c r="AS43" s="5"/>
      <c r="AT43" s="5" t="s">
        <v>726</v>
      </c>
      <c r="AU43" s="5" t="s">
        <v>528</v>
      </c>
      <c r="AV43" s="5" t="s">
        <v>178</v>
      </c>
      <c r="AW43" s="5" t="s">
        <v>727</v>
      </c>
    </row>
    <row r="44" customFormat="false" ht="147" hidden="false" customHeight="false" outlineLevel="0" collapsed="false">
      <c r="A44" s="5" t="s">
        <v>728</v>
      </c>
      <c r="B44" s="5" t="s">
        <v>729</v>
      </c>
      <c r="C44" s="5" t="s">
        <v>488</v>
      </c>
      <c r="D44" s="5" t="s">
        <v>489</v>
      </c>
      <c r="E44" s="5" t="s">
        <v>514</v>
      </c>
      <c r="F44" s="5" t="s">
        <v>730</v>
      </c>
      <c r="G44" s="5" t="s">
        <v>731</v>
      </c>
      <c r="H44" s="5" t="n">
        <v>8</v>
      </c>
      <c r="I44" s="5" t="s">
        <v>152</v>
      </c>
      <c r="J44" s="5" t="s">
        <v>153</v>
      </c>
      <c r="K44" s="5" t="s">
        <v>732</v>
      </c>
      <c r="L44" s="5" t="s">
        <v>30</v>
      </c>
      <c r="M44" s="5" t="s">
        <v>155</v>
      </c>
      <c r="N44" s="5" t="s">
        <v>733</v>
      </c>
      <c r="O44" s="5" t="s">
        <v>157</v>
      </c>
      <c r="P44" s="5" t="s">
        <v>158</v>
      </c>
      <c r="Q44" s="5" t="s">
        <v>519</v>
      </c>
      <c r="R44" s="5" t="s">
        <v>494</v>
      </c>
      <c r="S44" s="5" t="s">
        <v>495</v>
      </c>
      <c r="T44" s="5" t="s">
        <v>162</v>
      </c>
      <c r="U44" s="5" t="n">
        <v>365</v>
      </c>
      <c r="V44" s="5" t="s">
        <v>496</v>
      </c>
      <c r="W44" s="5" t="s">
        <v>497</v>
      </c>
      <c r="X44" s="5" t="s">
        <v>734</v>
      </c>
      <c r="Y44" s="5" t="s">
        <v>735</v>
      </c>
      <c r="Z44" s="5" t="s">
        <v>736</v>
      </c>
      <c r="AA44" s="5"/>
      <c r="AB44" s="5"/>
      <c r="AC44" s="5" t="s">
        <v>737</v>
      </c>
      <c r="AD44" s="5"/>
      <c r="AE44" s="5" t="s">
        <v>738</v>
      </c>
      <c r="AF44" s="5" t="s">
        <v>739</v>
      </c>
      <c r="AG44" s="5" t="s">
        <v>739</v>
      </c>
      <c r="AH44" s="5"/>
      <c r="AI44" s="5"/>
      <c r="AJ44" s="5"/>
      <c r="AK44" s="5" t="s">
        <v>740</v>
      </c>
      <c r="AL44" s="5" t="s">
        <v>739</v>
      </c>
      <c r="AM44" s="5"/>
      <c r="AN44" s="5" t="s">
        <v>741</v>
      </c>
      <c r="AO44" s="5"/>
      <c r="AP44" s="5"/>
      <c r="AQ44" s="5" t="s">
        <v>739</v>
      </c>
      <c r="AR44" s="5" t="s">
        <v>742</v>
      </c>
      <c r="AS44" s="5" t="s">
        <v>743</v>
      </c>
      <c r="AT44" s="5" t="s">
        <v>404</v>
      </c>
      <c r="AU44" s="5" t="s">
        <v>528</v>
      </c>
      <c r="AV44" s="5" t="s">
        <v>178</v>
      </c>
      <c r="AW44" s="5" t="s">
        <v>744</v>
      </c>
    </row>
    <row r="45" customFormat="false" ht="135.8" hidden="false" customHeight="false" outlineLevel="0" collapsed="false">
      <c r="A45" s="5" t="s">
        <v>745</v>
      </c>
      <c r="B45" s="5" t="s">
        <v>746</v>
      </c>
      <c r="C45" s="5" t="s">
        <v>488</v>
      </c>
      <c r="D45" s="5" t="s">
        <v>489</v>
      </c>
      <c r="E45" s="5" t="s">
        <v>514</v>
      </c>
      <c r="F45" s="5" t="s">
        <v>747</v>
      </c>
      <c r="G45" s="5" t="s">
        <v>748</v>
      </c>
      <c r="H45" s="5" t="n">
        <v>6</v>
      </c>
      <c r="I45" s="5" t="s">
        <v>152</v>
      </c>
      <c r="J45" s="5" t="s">
        <v>153</v>
      </c>
      <c r="K45" s="5" t="s">
        <v>749</v>
      </c>
      <c r="L45" s="5" t="s">
        <v>30</v>
      </c>
      <c r="M45" s="5" t="s">
        <v>155</v>
      </c>
      <c r="N45" s="5" t="s">
        <v>750</v>
      </c>
      <c r="O45" s="5" t="s">
        <v>157</v>
      </c>
      <c r="P45" s="5" t="s">
        <v>158</v>
      </c>
      <c r="Q45" s="5" t="s">
        <v>451</v>
      </c>
      <c r="R45" s="5" t="s">
        <v>494</v>
      </c>
      <c r="S45" s="5" t="s">
        <v>495</v>
      </c>
      <c r="T45" s="5" t="s">
        <v>162</v>
      </c>
      <c r="U45" s="5" t="n">
        <v>365</v>
      </c>
      <c r="V45" s="5" t="s">
        <v>496</v>
      </c>
      <c r="W45" s="5" t="s">
        <v>497</v>
      </c>
      <c r="X45" s="5" t="s">
        <v>751</v>
      </c>
      <c r="Y45" s="5" t="s">
        <v>752</v>
      </c>
      <c r="Z45" s="5" t="s">
        <v>753</v>
      </c>
      <c r="AA45" s="5"/>
      <c r="AB45" s="5"/>
      <c r="AC45" s="5"/>
      <c r="AD45" s="5"/>
      <c r="AE45" s="5" t="s">
        <v>754</v>
      </c>
      <c r="AF45" s="5"/>
      <c r="AG45" s="5"/>
      <c r="AH45" s="5"/>
      <c r="AI45" s="5" t="s">
        <v>720</v>
      </c>
      <c r="AJ45" s="5"/>
      <c r="AK45" s="5" t="s">
        <v>721</v>
      </c>
      <c r="AL45" s="5"/>
      <c r="AM45" s="5"/>
      <c r="AN45" s="5"/>
      <c r="AO45" s="5"/>
      <c r="AP45" s="5"/>
      <c r="AQ45" s="5"/>
      <c r="AR45" s="5"/>
      <c r="AS45" s="5"/>
      <c r="AT45" s="5"/>
      <c r="AU45" s="5"/>
      <c r="AV45" s="5" t="s">
        <v>178</v>
      </c>
      <c r="AW45" s="5" t="s">
        <v>744</v>
      </c>
    </row>
    <row r="46" customFormat="false" ht="124.6" hidden="false" customHeight="false" outlineLevel="0" collapsed="false">
      <c r="A46" s="5" t="s">
        <v>755</v>
      </c>
      <c r="B46" s="5" t="s">
        <v>756</v>
      </c>
      <c r="C46" s="5" t="s">
        <v>488</v>
      </c>
      <c r="D46" s="5" t="s">
        <v>489</v>
      </c>
      <c r="E46" s="5" t="s">
        <v>626</v>
      </c>
      <c r="F46" s="5" t="s">
        <v>757</v>
      </c>
      <c r="G46" s="5" t="s">
        <v>758</v>
      </c>
      <c r="H46" s="5" t="n">
        <v>8</v>
      </c>
      <c r="I46" s="5" t="s">
        <v>603</v>
      </c>
      <c r="J46" s="5" t="s">
        <v>153</v>
      </c>
      <c r="K46" s="5"/>
      <c r="L46" s="5" t="s">
        <v>68</v>
      </c>
      <c r="M46" s="5" t="s">
        <v>185</v>
      </c>
      <c r="N46" s="5" t="s">
        <v>72</v>
      </c>
      <c r="O46" s="5" t="s">
        <v>666</v>
      </c>
      <c r="P46" s="5" t="s">
        <v>215</v>
      </c>
      <c r="Q46" s="5" t="s">
        <v>519</v>
      </c>
      <c r="R46" s="5" t="s">
        <v>494</v>
      </c>
      <c r="S46" s="5" t="s">
        <v>495</v>
      </c>
      <c r="T46" s="5" t="s">
        <v>606</v>
      </c>
      <c r="U46" s="5" t="n">
        <v>365</v>
      </c>
      <c r="V46" s="5" t="s">
        <v>496</v>
      </c>
      <c r="W46" s="5" t="s">
        <v>497</v>
      </c>
      <c r="X46" s="5" t="s">
        <v>759</v>
      </c>
      <c r="Y46" s="5" t="s">
        <v>760</v>
      </c>
      <c r="Z46" s="5" t="s">
        <v>761</v>
      </c>
      <c r="AA46" s="5"/>
      <c r="AB46" s="5"/>
      <c r="AC46" s="5"/>
      <c r="AD46" s="5"/>
      <c r="AE46" s="5"/>
      <c r="AF46" s="5"/>
      <c r="AG46" s="5"/>
      <c r="AH46" s="5"/>
      <c r="AI46" s="5"/>
      <c r="AJ46" s="5"/>
      <c r="AK46" s="5"/>
      <c r="AL46" s="5"/>
      <c r="AM46" s="5"/>
      <c r="AN46" s="5"/>
      <c r="AO46" s="5" t="s">
        <v>762</v>
      </c>
      <c r="AP46" s="5"/>
      <c r="AQ46" s="5"/>
      <c r="AR46" s="5"/>
      <c r="AS46" s="5"/>
      <c r="AT46" s="5" t="s">
        <v>763</v>
      </c>
      <c r="AU46" s="5"/>
      <c r="AV46" s="5"/>
      <c r="AW46" s="5" t="s">
        <v>764</v>
      </c>
    </row>
    <row r="47" customFormat="false" ht="124.6" hidden="false" customHeight="false" outlineLevel="0" collapsed="false">
      <c r="A47" s="5" t="s">
        <v>765</v>
      </c>
      <c r="B47" s="5" t="s">
        <v>766</v>
      </c>
      <c r="C47" s="5" t="s">
        <v>488</v>
      </c>
      <c r="D47" s="5" t="s">
        <v>489</v>
      </c>
      <c r="E47" s="5" t="s">
        <v>600</v>
      </c>
      <c r="F47" s="5" t="s">
        <v>767</v>
      </c>
      <c r="G47" s="5" t="s">
        <v>768</v>
      </c>
      <c r="H47" s="5" t="n">
        <v>9</v>
      </c>
      <c r="I47" s="5" t="s">
        <v>152</v>
      </c>
      <c r="J47" s="5" t="s">
        <v>652</v>
      </c>
      <c r="K47" s="5"/>
      <c r="L47" s="5" t="s">
        <v>30</v>
      </c>
      <c r="M47" s="5" t="s">
        <v>155</v>
      </c>
      <c r="N47" s="5" t="s">
        <v>769</v>
      </c>
      <c r="O47" s="5" t="s">
        <v>570</v>
      </c>
      <c r="P47" s="5" t="s">
        <v>215</v>
      </c>
      <c r="Q47" s="5" t="s">
        <v>519</v>
      </c>
      <c r="R47" s="5" t="s">
        <v>494</v>
      </c>
      <c r="S47" s="5" t="s">
        <v>495</v>
      </c>
      <c r="T47" s="5" t="s">
        <v>162</v>
      </c>
      <c r="U47" s="5" t="n">
        <v>180</v>
      </c>
      <c r="V47" s="5" t="s">
        <v>496</v>
      </c>
      <c r="W47" s="5" t="s">
        <v>497</v>
      </c>
      <c r="X47" s="5" t="s">
        <v>770</v>
      </c>
      <c r="Y47" s="5" t="s">
        <v>771</v>
      </c>
      <c r="Z47" s="5" t="s">
        <v>772</v>
      </c>
      <c r="AA47" s="5"/>
      <c r="AB47" s="5"/>
      <c r="AC47" s="5"/>
      <c r="AD47" s="5" t="s">
        <v>773</v>
      </c>
      <c r="AE47" s="5"/>
      <c r="AF47" s="5"/>
      <c r="AG47" s="5"/>
      <c r="AH47" s="5"/>
      <c r="AI47" s="5"/>
      <c r="AJ47" s="5"/>
      <c r="AK47" s="5"/>
      <c r="AL47" s="5"/>
      <c r="AM47" s="5"/>
      <c r="AN47" s="5"/>
      <c r="AO47" s="5" t="s">
        <v>762</v>
      </c>
      <c r="AP47" s="5"/>
      <c r="AQ47" s="5"/>
      <c r="AR47" s="5"/>
      <c r="AS47" s="5"/>
      <c r="AT47" s="5" t="s">
        <v>774</v>
      </c>
      <c r="AU47" s="5"/>
      <c r="AV47" s="5"/>
      <c r="AW47" s="5" t="s">
        <v>775</v>
      </c>
    </row>
    <row r="48" customFormat="false" ht="202.95" hidden="false" customHeight="false" outlineLevel="0" collapsed="false">
      <c r="A48" s="5" t="s">
        <v>776</v>
      </c>
      <c r="B48" s="5" t="s">
        <v>777</v>
      </c>
      <c r="C48" s="5" t="s">
        <v>488</v>
      </c>
      <c r="D48" s="5" t="s">
        <v>489</v>
      </c>
      <c r="E48" s="5" t="s">
        <v>514</v>
      </c>
      <c r="F48" s="5" t="s">
        <v>778</v>
      </c>
      <c r="G48" s="5" t="s">
        <v>779</v>
      </c>
      <c r="H48" s="5" t="n">
        <v>10</v>
      </c>
      <c r="I48" s="5" t="s">
        <v>152</v>
      </c>
      <c r="J48" s="5" t="s">
        <v>153</v>
      </c>
      <c r="K48" s="5" t="s">
        <v>780</v>
      </c>
      <c r="L48" s="5" t="s">
        <v>30</v>
      </c>
      <c r="M48" s="5" t="s">
        <v>155</v>
      </c>
      <c r="N48" s="5" t="s">
        <v>781</v>
      </c>
      <c r="O48" s="5" t="s">
        <v>157</v>
      </c>
      <c r="P48" s="5" t="s">
        <v>158</v>
      </c>
      <c r="Q48" s="5" t="s">
        <v>519</v>
      </c>
      <c r="R48" s="5" t="s">
        <v>494</v>
      </c>
      <c r="S48" s="5" t="s">
        <v>495</v>
      </c>
      <c r="T48" s="5" t="s">
        <v>162</v>
      </c>
      <c r="U48" s="5" t="n">
        <v>365</v>
      </c>
      <c r="V48" s="5" t="s">
        <v>496</v>
      </c>
      <c r="W48" s="5" t="s">
        <v>497</v>
      </c>
      <c r="X48" s="5" t="s">
        <v>782</v>
      </c>
      <c r="Y48" s="5" t="s">
        <v>783</v>
      </c>
      <c r="Z48" s="5" t="s">
        <v>784</v>
      </c>
      <c r="AA48" s="5"/>
      <c r="AB48" s="5"/>
      <c r="AC48" s="5"/>
      <c r="AD48" s="5"/>
      <c r="AE48" s="5"/>
      <c r="AF48" s="5" t="s">
        <v>785</v>
      </c>
      <c r="AG48" s="5" t="s">
        <v>785</v>
      </c>
      <c r="AH48" s="5"/>
      <c r="AI48" s="5"/>
      <c r="AJ48" s="5" t="s">
        <v>786</v>
      </c>
      <c r="AK48" s="5"/>
      <c r="AL48" s="5" t="s">
        <v>785</v>
      </c>
      <c r="AM48" s="5"/>
      <c r="AN48" s="5" t="s">
        <v>785</v>
      </c>
      <c r="AO48" s="5" t="s">
        <v>787</v>
      </c>
      <c r="AP48" s="5"/>
      <c r="AQ48" s="5" t="s">
        <v>785</v>
      </c>
      <c r="AR48" s="5" t="s">
        <v>706</v>
      </c>
      <c r="AS48" s="5"/>
      <c r="AT48" s="5" t="s">
        <v>788</v>
      </c>
      <c r="AU48" s="5"/>
      <c r="AV48" s="5" t="s">
        <v>178</v>
      </c>
      <c r="AW48" s="5" t="s">
        <v>789</v>
      </c>
    </row>
    <row r="49" customFormat="false" ht="124.6" hidden="false" customHeight="false" outlineLevel="0" collapsed="false">
      <c r="A49" s="5" t="s">
        <v>790</v>
      </c>
      <c r="B49" s="5" t="s">
        <v>791</v>
      </c>
      <c r="C49" s="5" t="s">
        <v>488</v>
      </c>
      <c r="D49" s="5" t="s">
        <v>489</v>
      </c>
      <c r="E49" s="5" t="s">
        <v>626</v>
      </c>
      <c r="F49" s="5" t="s">
        <v>792</v>
      </c>
      <c r="G49" s="5" t="s">
        <v>793</v>
      </c>
      <c r="H49" s="5" t="n">
        <v>7</v>
      </c>
      <c r="I49" s="5" t="s">
        <v>603</v>
      </c>
      <c r="J49" s="5" t="s">
        <v>153</v>
      </c>
      <c r="K49" s="5"/>
      <c r="L49" s="5" t="s">
        <v>68</v>
      </c>
      <c r="M49" s="5" t="s">
        <v>185</v>
      </c>
      <c r="N49" s="5" t="s">
        <v>72</v>
      </c>
      <c r="O49" s="5" t="s">
        <v>666</v>
      </c>
      <c r="P49" s="5" t="s">
        <v>215</v>
      </c>
      <c r="Q49" s="5" t="s">
        <v>519</v>
      </c>
      <c r="R49" s="5" t="s">
        <v>494</v>
      </c>
      <c r="S49" s="5" t="s">
        <v>495</v>
      </c>
      <c r="T49" s="5" t="s">
        <v>606</v>
      </c>
      <c r="U49" s="5" t="n">
        <v>365</v>
      </c>
      <c r="V49" s="5" t="s">
        <v>496</v>
      </c>
      <c r="W49" s="5" t="s">
        <v>497</v>
      </c>
      <c r="X49" s="5" t="s">
        <v>794</v>
      </c>
      <c r="Y49" s="5" t="s">
        <v>795</v>
      </c>
      <c r="Z49" s="5" t="s">
        <v>796</v>
      </c>
      <c r="AA49" s="5"/>
      <c r="AB49" s="5"/>
      <c r="AC49" s="5"/>
      <c r="AD49" s="5"/>
      <c r="AE49" s="5"/>
      <c r="AF49" s="5"/>
      <c r="AG49" s="5"/>
      <c r="AH49" s="5"/>
      <c r="AI49" s="5"/>
      <c r="AJ49" s="5"/>
      <c r="AK49" s="5"/>
      <c r="AL49" s="5"/>
      <c r="AM49" s="5"/>
      <c r="AN49" s="5"/>
      <c r="AO49" s="5" t="s">
        <v>797</v>
      </c>
      <c r="AP49" s="5"/>
      <c r="AQ49" s="5"/>
      <c r="AR49" s="5"/>
      <c r="AS49" s="5"/>
      <c r="AT49" s="5"/>
      <c r="AU49" s="5"/>
      <c r="AV49" s="5"/>
      <c r="AW49" s="5" t="s">
        <v>798</v>
      </c>
    </row>
    <row r="50" customFormat="false" ht="124.6" hidden="false" customHeight="false" outlineLevel="0" collapsed="false">
      <c r="A50" s="5" t="s">
        <v>799</v>
      </c>
      <c r="B50" s="5" t="s">
        <v>800</v>
      </c>
      <c r="C50" s="5" t="s">
        <v>488</v>
      </c>
      <c r="D50" s="5" t="s">
        <v>489</v>
      </c>
      <c r="E50" s="5" t="s">
        <v>626</v>
      </c>
      <c r="F50" s="5" t="s">
        <v>801</v>
      </c>
      <c r="G50" s="5" t="s">
        <v>802</v>
      </c>
      <c r="H50" s="5" t="n">
        <v>6</v>
      </c>
      <c r="I50" s="5" t="s">
        <v>603</v>
      </c>
      <c r="J50" s="5" t="s">
        <v>153</v>
      </c>
      <c r="K50" s="5" t="s">
        <v>803</v>
      </c>
      <c r="L50" s="5" t="s">
        <v>55</v>
      </c>
      <c r="M50" s="5" t="s">
        <v>185</v>
      </c>
      <c r="N50" s="5" t="s">
        <v>804</v>
      </c>
      <c r="O50" s="5" t="s">
        <v>666</v>
      </c>
      <c r="P50" s="5" t="s">
        <v>215</v>
      </c>
      <c r="Q50" s="5" t="s">
        <v>519</v>
      </c>
      <c r="R50" s="5" t="s">
        <v>494</v>
      </c>
      <c r="S50" s="5" t="s">
        <v>495</v>
      </c>
      <c r="T50" s="5" t="s">
        <v>606</v>
      </c>
      <c r="U50" s="5" t="n">
        <v>365</v>
      </c>
      <c r="V50" s="5" t="s">
        <v>496</v>
      </c>
      <c r="W50" s="5" t="s">
        <v>497</v>
      </c>
      <c r="X50" s="5" t="s">
        <v>805</v>
      </c>
      <c r="Y50" s="5" t="s">
        <v>806</v>
      </c>
      <c r="Z50" s="5" t="s">
        <v>807</v>
      </c>
      <c r="AA50" s="5"/>
      <c r="AB50" s="5"/>
      <c r="AC50" s="5"/>
      <c r="AD50" s="5"/>
      <c r="AE50" s="5"/>
      <c r="AF50" s="5" t="s">
        <v>808</v>
      </c>
      <c r="AG50" s="5"/>
      <c r="AH50" s="5"/>
      <c r="AI50" s="5"/>
      <c r="AJ50" s="5"/>
      <c r="AK50" s="5" t="s">
        <v>809</v>
      </c>
      <c r="AL50" s="5" t="s">
        <v>808</v>
      </c>
      <c r="AM50" s="5"/>
      <c r="AN50" s="5"/>
      <c r="AO50" s="5" t="s">
        <v>810</v>
      </c>
      <c r="AP50" s="5"/>
      <c r="AQ50" s="5"/>
      <c r="AR50" s="5" t="s">
        <v>706</v>
      </c>
      <c r="AS50" s="5"/>
      <c r="AT50" s="5" t="s">
        <v>774</v>
      </c>
      <c r="AU50" s="5"/>
      <c r="AV50" s="5" t="s">
        <v>178</v>
      </c>
      <c r="AW50" s="5" t="s">
        <v>811</v>
      </c>
    </row>
    <row r="51" customFormat="false" ht="147" hidden="false" customHeight="false" outlineLevel="0" collapsed="false">
      <c r="A51" s="5" t="s">
        <v>812</v>
      </c>
      <c r="B51" s="5" t="s">
        <v>813</v>
      </c>
      <c r="C51" s="5" t="s">
        <v>488</v>
      </c>
      <c r="D51" s="5" t="s">
        <v>489</v>
      </c>
      <c r="E51" s="5" t="s">
        <v>600</v>
      </c>
      <c r="F51" s="5" t="s">
        <v>814</v>
      </c>
      <c r="G51" s="5" t="s">
        <v>815</v>
      </c>
      <c r="H51" s="5" t="n">
        <v>6</v>
      </c>
      <c r="I51" s="5" t="s">
        <v>152</v>
      </c>
      <c r="J51" s="5" t="s">
        <v>153</v>
      </c>
      <c r="K51" s="5"/>
      <c r="L51" s="5" t="s">
        <v>30</v>
      </c>
      <c r="M51" s="5" t="s">
        <v>155</v>
      </c>
      <c r="N51" s="5" t="s">
        <v>619</v>
      </c>
      <c r="O51" s="5" t="s">
        <v>157</v>
      </c>
      <c r="P51" s="5" t="s">
        <v>215</v>
      </c>
      <c r="Q51" s="5" t="s">
        <v>519</v>
      </c>
      <c r="R51" s="5" t="s">
        <v>494</v>
      </c>
      <c r="S51" s="5" t="s">
        <v>495</v>
      </c>
      <c r="T51" s="5" t="s">
        <v>162</v>
      </c>
      <c r="U51" s="5" t="n">
        <v>365</v>
      </c>
      <c r="V51" s="5" t="s">
        <v>496</v>
      </c>
      <c r="W51" s="5" t="s">
        <v>497</v>
      </c>
      <c r="X51" s="5" t="s">
        <v>816</v>
      </c>
      <c r="Y51" s="5" t="s">
        <v>817</v>
      </c>
      <c r="Z51" s="5" t="s">
        <v>818</v>
      </c>
      <c r="AA51" s="5"/>
      <c r="AB51" s="5"/>
      <c r="AC51" s="5"/>
      <c r="AD51" s="5"/>
      <c r="AE51" s="5"/>
      <c r="AF51" s="5" t="s">
        <v>819</v>
      </c>
      <c r="AG51" s="5" t="s">
        <v>819</v>
      </c>
      <c r="AH51" s="5"/>
      <c r="AI51" s="5"/>
      <c r="AJ51" s="5"/>
      <c r="AK51" s="5"/>
      <c r="AL51" s="5" t="s">
        <v>819</v>
      </c>
      <c r="AM51" s="5"/>
      <c r="AN51" s="5" t="s">
        <v>819</v>
      </c>
      <c r="AO51" s="5"/>
      <c r="AP51" s="5"/>
      <c r="AQ51" s="5" t="s">
        <v>819</v>
      </c>
      <c r="AR51" s="5" t="s">
        <v>706</v>
      </c>
      <c r="AS51" s="5"/>
      <c r="AT51" s="5"/>
      <c r="AU51" s="5"/>
      <c r="AV51" s="5" t="s">
        <v>178</v>
      </c>
      <c r="AW51" s="5" t="s">
        <v>820</v>
      </c>
    </row>
    <row r="52" customFormat="false" ht="135.8" hidden="false" customHeight="false" outlineLevel="0" collapsed="false">
      <c r="A52" s="5" t="s">
        <v>821</v>
      </c>
      <c r="B52" s="5" t="s">
        <v>822</v>
      </c>
      <c r="C52" s="5" t="s">
        <v>488</v>
      </c>
      <c r="D52" s="5" t="s">
        <v>489</v>
      </c>
      <c r="E52" s="5" t="s">
        <v>626</v>
      </c>
      <c r="F52" s="5" t="s">
        <v>823</v>
      </c>
      <c r="G52" s="5" t="s">
        <v>824</v>
      </c>
      <c r="H52" s="5" t="n">
        <v>4</v>
      </c>
      <c r="I52" s="5" t="s">
        <v>603</v>
      </c>
      <c r="J52" s="5" t="s">
        <v>153</v>
      </c>
      <c r="K52" s="5" t="s">
        <v>825</v>
      </c>
      <c r="L52" s="5" t="s">
        <v>30</v>
      </c>
      <c r="M52" s="5" t="s">
        <v>155</v>
      </c>
      <c r="N52" s="5" t="s">
        <v>826</v>
      </c>
      <c r="O52" s="5" t="s">
        <v>570</v>
      </c>
      <c r="P52" s="5" t="s">
        <v>215</v>
      </c>
      <c r="Q52" s="5" t="s">
        <v>519</v>
      </c>
      <c r="R52" s="5" t="s">
        <v>494</v>
      </c>
      <c r="S52" s="5" t="s">
        <v>495</v>
      </c>
      <c r="T52" s="5" t="s">
        <v>606</v>
      </c>
      <c r="U52" s="5" t="n">
        <v>365</v>
      </c>
      <c r="V52" s="5" t="s">
        <v>496</v>
      </c>
      <c r="W52" s="5" t="s">
        <v>497</v>
      </c>
      <c r="X52" s="5" t="s">
        <v>827</v>
      </c>
      <c r="Y52" s="5" t="s">
        <v>828</v>
      </c>
      <c r="Z52" s="5" t="s">
        <v>829</v>
      </c>
      <c r="AA52" s="5"/>
      <c r="AB52" s="5"/>
      <c r="AC52" s="5"/>
      <c r="AD52" s="5" t="s">
        <v>830</v>
      </c>
      <c r="AE52" s="5"/>
      <c r="AF52" s="5"/>
      <c r="AG52" s="5"/>
      <c r="AH52" s="5"/>
      <c r="AI52" s="5"/>
      <c r="AJ52" s="5"/>
      <c r="AK52" s="5" t="s">
        <v>809</v>
      </c>
      <c r="AL52" s="5"/>
      <c r="AM52" s="5"/>
      <c r="AN52" s="5"/>
      <c r="AO52" s="5" t="s">
        <v>831</v>
      </c>
      <c r="AP52" s="5"/>
      <c r="AQ52" s="5"/>
      <c r="AR52" s="5"/>
      <c r="AS52" s="5"/>
      <c r="AT52" s="5"/>
      <c r="AU52" s="5"/>
      <c r="AV52" s="5" t="s">
        <v>178</v>
      </c>
      <c r="AW52" s="5" t="s">
        <v>529</v>
      </c>
    </row>
    <row r="53" customFormat="false" ht="124.6" hidden="false" customHeight="false" outlineLevel="0" collapsed="false">
      <c r="A53" s="5" t="s">
        <v>832</v>
      </c>
      <c r="B53" s="5" t="s">
        <v>833</v>
      </c>
      <c r="C53" s="5" t="s">
        <v>488</v>
      </c>
      <c r="D53" s="5" t="s">
        <v>489</v>
      </c>
      <c r="E53" s="5" t="s">
        <v>626</v>
      </c>
      <c r="F53" s="5" t="s">
        <v>834</v>
      </c>
      <c r="G53" s="5" t="s">
        <v>835</v>
      </c>
      <c r="H53" s="5" t="n">
        <v>7</v>
      </c>
      <c r="I53" s="5" t="s">
        <v>603</v>
      </c>
      <c r="J53" s="5" t="s">
        <v>153</v>
      </c>
      <c r="K53" s="5"/>
      <c r="L53" s="5" t="s">
        <v>30</v>
      </c>
      <c r="M53" s="5" t="s">
        <v>155</v>
      </c>
      <c r="N53" s="5" t="s">
        <v>836</v>
      </c>
      <c r="O53" s="5" t="s">
        <v>157</v>
      </c>
      <c r="P53" s="5" t="s">
        <v>215</v>
      </c>
      <c r="Q53" s="5" t="s">
        <v>519</v>
      </c>
      <c r="R53" s="5" t="s">
        <v>494</v>
      </c>
      <c r="S53" s="5" t="s">
        <v>495</v>
      </c>
      <c r="T53" s="5" t="s">
        <v>606</v>
      </c>
      <c r="U53" s="5" t="n">
        <v>365</v>
      </c>
      <c r="V53" s="5" t="s">
        <v>496</v>
      </c>
      <c r="W53" s="5" t="s">
        <v>497</v>
      </c>
      <c r="X53" s="5" t="s">
        <v>837</v>
      </c>
      <c r="Y53" s="5" t="s">
        <v>838</v>
      </c>
      <c r="Z53" s="5" t="s">
        <v>839</v>
      </c>
      <c r="AA53" s="5"/>
      <c r="AB53" s="5"/>
      <c r="AC53" s="5"/>
      <c r="AD53" s="5"/>
      <c r="AE53" s="5"/>
      <c r="AF53" s="5"/>
      <c r="AG53" s="5"/>
      <c r="AH53" s="5"/>
      <c r="AI53" s="5" t="s">
        <v>840</v>
      </c>
      <c r="AJ53" s="5"/>
      <c r="AK53" s="5"/>
      <c r="AL53" s="5"/>
      <c r="AM53" s="5"/>
      <c r="AN53" s="5"/>
      <c r="AO53" s="5"/>
      <c r="AP53" s="5"/>
      <c r="AQ53" s="5"/>
      <c r="AR53" s="5"/>
      <c r="AS53" s="5"/>
      <c r="AT53" s="5"/>
      <c r="AU53" s="5"/>
      <c r="AV53" s="5" t="s">
        <v>178</v>
      </c>
      <c r="AW53" s="5" t="s">
        <v>841</v>
      </c>
    </row>
    <row r="54" customFormat="false" ht="113.4" hidden="false" customHeight="false" outlineLevel="0" collapsed="false">
      <c r="A54" s="5" t="s">
        <v>842</v>
      </c>
      <c r="B54" s="5" t="s">
        <v>843</v>
      </c>
      <c r="C54" s="5" t="s">
        <v>488</v>
      </c>
      <c r="D54" s="5" t="s">
        <v>489</v>
      </c>
      <c r="E54" s="5" t="s">
        <v>626</v>
      </c>
      <c r="F54" s="5" t="s">
        <v>844</v>
      </c>
      <c r="G54" s="5" t="s">
        <v>845</v>
      </c>
      <c r="H54" s="5" t="n">
        <v>4</v>
      </c>
      <c r="I54" s="5" t="s">
        <v>152</v>
      </c>
      <c r="J54" s="5" t="s">
        <v>652</v>
      </c>
      <c r="K54" s="5"/>
      <c r="L54" s="5" t="s">
        <v>30</v>
      </c>
      <c r="M54" s="5" t="s">
        <v>155</v>
      </c>
      <c r="N54" s="5" t="s">
        <v>846</v>
      </c>
      <c r="O54" s="5" t="s">
        <v>157</v>
      </c>
      <c r="P54" s="5" t="s">
        <v>215</v>
      </c>
      <c r="Q54" s="5" t="s">
        <v>519</v>
      </c>
      <c r="R54" s="5" t="s">
        <v>494</v>
      </c>
      <c r="S54" s="5" t="s">
        <v>495</v>
      </c>
      <c r="T54" s="5" t="s">
        <v>162</v>
      </c>
      <c r="U54" s="5" t="n">
        <v>180</v>
      </c>
      <c r="V54" s="5" t="s">
        <v>496</v>
      </c>
      <c r="W54" s="5" t="s">
        <v>497</v>
      </c>
      <c r="X54" s="5" t="s">
        <v>847</v>
      </c>
      <c r="Y54" s="5" t="s">
        <v>848</v>
      </c>
      <c r="Z54" s="5" t="s">
        <v>849</v>
      </c>
      <c r="AA54" s="5"/>
      <c r="AB54" s="5"/>
      <c r="AC54" s="5"/>
      <c r="AD54" s="5"/>
      <c r="AE54" s="5"/>
      <c r="AF54" s="5"/>
      <c r="AG54" s="5"/>
      <c r="AH54" s="5" t="s">
        <v>850</v>
      </c>
      <c r="AI54" s="5"/>
      <c r="AJ54" s="5"/>
      <c r="AK54" s="5"/>
      <c r="AL54" s="5"/>
      <c r="AM54" s="5"/>
      <c r="AN54" s="5"/>
      <c r="AO54" s="5"/>
      <c r="AP54" s="5"/>
      <c r="AQ54" s="5"/>
      <c r="AR54" s="5"/>
      <c r="AS54" s="5"/>
      <c r="AT54" s="5"/>
      <c r="AU54" s="5"/>
      <c r="AV54" s="5"/>
      <c r="AW54" s="5" t="s">
        <v>552</v>
      </c>
    </row>
    <row r="55" customFormat="false" ht="124.6" hidden="false" customHeight="false" outlineLevel="0" collapsed="false">
      <c r="A55" s="5" t="s">
        <v>851</v>
      </c>
      <c r="B55" s="5" t="s">
        <v>852</v>
      </c>
      <c r="C55" s="5" t="s">
        <v>488</v>
      </c>
      <c r="D55" s="5" t="s">
        <v>489</v>
      </c>
      <c r="E55" s="5" t="s">
        <v>514</v>
      </c>
      <c r="F55" s="5" t="s">
        <v>853</v>
      </c>
      <c r="G55" s="5" t="s">
        <v>854</v>
      </c>
      <c r="H55" s="5" t="n">
        <v>9</v>
      </c>
      <c r="I55" s="5" t="s">
        <v>152</v>
      </c>
      <c r="J55" s="5" t="s">
        <v>153</v>
      </c>
      <c r="K55" s="5" t="s">
        <v>855</v>
      </c>
      <c r="L55" s="5" t="s">
        <v>55</v>
      </c>
      <c r="M55" s="5" t="s">
        <v>185</v>
      </c>
      <c r="N55" s="5" t="s">
        <v>439</v>
      </c>
      <c r="O55" s="5" t="s">
        <v>187</v>
      </c>
      <c r="P55" s="5" t="s">
        <v>215</v>
      </c>
      <c r="Q55" s="5" t="s">
        <v>519</v>
      </c>
      <c r="R55" s="5" t="s">
        <v>494</v>
      </c>
      <c r="S55" s="5" t="s">
        <v>495</v>
      </c>
      <c r="T55" s="5" t="s">
        <v>162</v>
      </c>
      <c r="U55" s="5" t="n">
        <v>365</v>
      </c>
      <c r="V55" s="5" t="s">
        <v>496</v>
      </c>
      <c r="W55" s="5" t="s">
        <v>497</v>
      </c>
      <c r="X55" s="5" t="s">
        <v>856</v>
      </c>
      <c r="Y55" s="5" t="s">
        <v>857</v>
      </c>
      <c r="Z55" s="5" t="s">
        <v>858</v>
      </c>
      <c r="AA55" s="5"/>
      <c r="AB55" s="5"/>
      <c r="AC55" s="5"/>
      <c r="AD55" s="5"/>
      <c r="AE55" s="5"/>
      <c r="AF55" s="5"/>
      <c r="AG55" s="5"/>
      <c r="AH55" s="5"/>
      <c r="AI55" s="5"/>
      <c r="AJ55" s="5" t="s">
        <v>859</v>
      </c>
      <c r="AK55" s="5"/>
      <c r="AL55" s="5"/>
      <c r="AM55" s="5"/>
      <c r="AN55" s="5"/>
      <c r="AO55" s="5"/>
      <c r="AP55" s="5"/>
      <c r="AQ55" s="5"/>
      <c r="AR55" s="5"/>
      <c r="AS55" s="5"/>
      <c r="AT55" s="5"/>
      <c r="AU55" s="5"/>
      <c r="AV55" s="5" t="s">
        <v>178</v>
      </c>
      <c r="AW55" s="5" t="s">
        <v>860</v>
      </c>
    </row>
    <row r="56" customFormat="false" ht="258.95" hidden="false" customHeight="false" outlineLevel="0" collapsed="false">
      <c r="A56" s="5" t="s">
        <v>861</v>
      </c>
      <c r="B56" s="5" t="s">
        <v>862</v>
      </c>
      <c r="C56" s="5" t="s">
        <v>863</v>
      </c>
      <c r="D56" s="5" t="s">
        <v>864</v>
      </c>
      <c r="E56" s="5" t="s">
        <v>149</v>
      </c>
      <c r="F56" s="5" t="s">
        <v>865</v>
      </c>
      <c r="G56" s="5" t="s">
        <v>866</v>
      </c>
      <c r="H56" s="5" t="n">
        <v>10</v>
      </c>
      <c r="I56" s="5" t="s">
        <v>152</v>
      </c>
      <c r="J56" s="5" t="s">
        <v>153</v>
      </c>
      <c r="K56" s="5" t="s">
        <v>867</v>
      </c>
      <c r="L56" s="5" t="s">
        <v>30</v>
      </c>
      <c r="M56" s="5" t="s">
        <v>155</v>
      </c>
      <c r="N56" s="5" t="s">
        <v>868</v>
      </c>
      <c r="O56" s="5" t="s">
        <v>570</v>
      </c>
      <c r="P56" s="5" t="s">
        <v>158</v>
      </c>
      <c r="Q56" s="5" t="s">
        <v>440</v>
      </c>
      <c r="R56" s="5" t="s">
        <v>869</v>
      </c>
      <c r="S56" s="5" t="s">
        <v>870</v>
      </c>
      <c r="T56" s="5" t="s">
        <v>162</v>
      </c>
      <c r="U56" s="5" t="n">
        <v>365</v>
      </c>
      <c r="V56" s="5" t="s">
        <v>871</v>
      </c>
      <c r="W56" s="5" t="s">
        <v>872</v>
      </c>
      <c r="X56" s="5" t="s">
        <v>873</v>
      </c>
      <c r="Y56" s="5" t="s">
        <v>874</v>
      </c>
      <c r="Z56" s="5" t="s">
        <v>875</v>
      </c>
      <c r="AA56" s="5" t="s">
        <v>876</v>
      </c>
      <c r="AB56" s="5"/>
      <c r="AC56" s="5"/>
      <c r="AD56" s="5" t="s">
        <v>877</v>
      </c>
      <c r="AE56" s="5"/>
      <c r="AF56" s="5" t="s">
        <v>878</v>
      </c>
      <c r="AG56" s="5" t="s">
        <v>879</v>
      </c>
      <c r="AH56" s="5" t="s">
        <v>880</v>
      </c>
      <c r="AI56" s="5" t="s">
        <v>881</v>
      </c>
      <c r="AJ56" s="5" t="s">
        <v>882</v>
      </c>
      <c r="AK56" s="5" t="s">
        <v>883</v>
      </c>
      <c r="AL56" s="5" t="s">
        <v>878</v>
      </c>
      <c r="AM56" s="5"/>
      <c r="AN56" s="5" t="s">
        <v>884</v>
      </c>
      <c r="AO56" s="5" t="s">
        <v>885</v>
      </c>
      <c r="AP56" s="5" t="s">
        <v>886</v>
      </c>
      <c r="AQ56" s="5" t="s">
        <v>878</v>
      </c>
      <c r="AR56" s="5" t="s">
        <v>887</v>
      </c>
      <c r="AS56" s="5"/>
      <c r="AT56" s="5" t="s">
        <v>888</v>
      </c>
      <c r="AU56" s="5"/>
      <c r="AV56" s="5" t="s">
        <v>178</v>
      </c>
      <c r="AW56" s="5" t="s">
        <v>889</v>
      </c>
    </row>
    <row r="57" customFormat="false" ht="124.6" hidden="false" customHeight="false" outlineLevel="0" collapsed="false">
      <c r="A57" s="5" t="s">
        <v>890</v>
      </c>
      <c r="B57" s="5" t="s">
        <v>891</v>
      </c>
      <c r="C57" s="5" t="s">
        <v>863</v>
      </c>
      <c r="D57" s="5" t="s">
        <v>864</v>
      </c>
      <c r="E57" s="5" t="s">
        <v>892</v>
      </c>
      <c r="F57" s="5" t="s">
        <v>893</v>
      </c>
      <c r="G57" s="5" t="s">
        <v>894</v>
      </c>
      <c r="H57" s="5" t="n">
        <v>5</v>
      </c>
      <c r="I57" s="5" t="s">
        <v>152</v>
      </c>
      <c r="J57" s="5" t="s">
        <v>153</v>
      </c>
      <c r="K57" s="5" t="s">
        <v>867</v>
      </c>
      <c r="L57" s="5" t="s">
        <v>30</v>
      </c>
      <c r="M57" s="5" t="s">
        <v>155</v>
      </c>
      <c r="N57" s="5" t="s">
        <v>895</v>
      </c>
      <c r="O57" s="5" t="s">
        <v>157</v>
      </c>
      <c r="P57" s="5" t="s">
        <v>215</v>
      </c>
      <c r="Q57" s="5" t="s">
        <v>440</v>
      </c>
      <c r="R57" s="5" t="s">
        <v>869</v>
      </c>
      <c r="S57" s="5" t="s">
        <v>870</v>
      </c>
      <c r="T57" s="5" t="s">
        <v>162</v>
      </c>
      <c r="U57" s="5" t="n">
        <v>365</v>
      </c>
      <c r="V57" s="5" t="s">
        <v>871</v>
      </c>
      <c r="W57" s="5" t="s">
        <v>872</v>
      </c>
      <c r="X57" s="5" t="s">
        <v>896</v>
      </c>
      <c r="Y57" s="5" t="s">
        <v>897</v>
      </c>
      <c r="Z57" s="5" t="s">
        <v>898</v>
      </c>
      <c r="AA57" s="5"/>
      <c r="AB57" s="5"/>
      <c r="AC57" s="5"/>
      <c r="AD57" s="5"/>
      <c r="AE57" s="5"/>
      <c r="AF57" s="5" t="s">
        <v>899</v>
      </c>
      <c r="AG57" s="5" t="s">
        <v>899</v>
      </c>
      <c r="AH57" s="5"/>
      <c r="AI57" s="5"/>
      <c r="AJ57" s="5"/>
      <c r="AK57" s="5" t="s">
        <v>900</v>
      </c>
      <c r="AL57" s="5" t="s">
        <v>899</v>
      </c>
      <c r="AM57" s="5" t="s">
        <v>899</v>
      </c>
      <c r="AN57" s="5"/>
      <c r="AO57" s="5"/>
      <c r="AP57" s="5"/>
      <c r="AQ57" s="5"/>
      <c r="AR57" s="5" t="s">
        <v>901</v>
      </c>
      <c r="AS57" s="5"/>
      <c r="AT57" s="5" t="s">
        <v>888</v>
      </c>
      <c r="AU57" s="5"/>
      <c r="AV57" s="5" t="s">
        <v>178</v>
      </c>
      <c r="AW57" s="5" t="s">
        <v>902</v>
      </c>
    </row>
    <row r="58" customFormat="false" ht="124.6" hidden="false" customHeight="false" outlineLevel="0" collapsed="false">
      <c r="A58" s="5" t="s">
        <v>903</v>
      </c>
      <c r="B58" s="5" t="s">
        <v>904</v>
      </c>
      <c r="C58" s="5" t="s">
        <v>863</v>
      </c>
      <c r="D58" s="5" t="s">
        <v>864</v>
      </c>
      <c r="E58" s="5" t="s">
        <v>892</v>
      </c>
      <c r="F58" s="5" t="s">
        <v>905</v>
      </c>
      <c r="G58" s="5" t="s">
        <v>906</v>
      </c>
      <c r="H58" s="5" t="n">
        <v>5</v>
      </c>
      <c r="I58" s="5" t="s">
        <v>152</v>
      </c>
      <c r="J58" s="5" t="s">
        <v>153</v>
      </c>
      <c r="K58" s="5" t="s">
        <v>867</v>
      </c>
      <c r="L58" s="5" t="s">
        <v>55</v>
      </c>
      <c r="M58" s="5" t="s">
        <v>185</v>
      </c>
      <c r="N58" s="5" t="s">
        <v>804</v>
      </c>
      <c r="O58" s="5" t="s">
        <v>187</v>
      </c>
      <c r="P58" s="5" t="s">
        <v>215</v>
      </c>
      <c r="Q58" s="5" t="s">
        <v>440</v>
      </c>
      <c r="R58" s="5" t="s">
        <v>869</v>
      </c>
      <c r="S58" s="5" t="s">
        <v>870</v>
      </c>
      <c r="T58" s="5" t="s">
        <v>162</v>
      </c>
      <c r="U58" s="5" t="n">
        <v>365</v>
      </c>
      <c r="V58" s="5" t="s">
        <v>871</v>
      </c>
      <c r="W58" s="5" t="s">
        <v>872</v>
      </c>
      <c r="X58" s="5" t="s">
        <v>907</v>
      </c>
      <c r="Y58" s="5" t="s">
        <v>908</v>
      </c>
      <c r="Z58" s="5" t="s">
        <v>909</v>
      </c>
      <c r="AA58" s="5"/>
      <c r="AB58" s="5"/>
      <c r="AC58" s="5"/>
      <c r="AD58" s="5"/>
      <c r="AE58" s="5"/>
      <c r="AF58" s="5" t="s">
        <v>910</v>
      </c>
      <c r="AG58" s="5"/>
      <c r="AH58" s="5"/>
      <c r="AI58" s="5"/>
      <c r="AJ58" s="5"/>
      <c r="AK58" s="5" t="s">
        <v>911</v>
      </c>
      <c r="AL58" s="5" t="s">
        <v>910</v>
      </c>
      <c r="AM58" s="5"/>
      <c r="AN58" s="5"/>
      <c r="AO58" s="5" t="s">
        <v>912</v>
      </c>
      <c r="AP58" s="5"/>
      <c r="AQ58" s="5"/>
      <c r="AR58" s="5" t="s">
        <v>901</v>
      </c>
      <c r="AS58" s="5"/>
      <c r="AT58" s="5" t="s">
        <v>888</v>
      </c>
      <c r="AU58" s="5"/>
      <c r="AV58" s="5" t="s">
        <v>178</v>
      </c>
      <c r="AW58" s="5" t="s">
        <v>913</v>
      </c>
    </row>
    <row r="59" customFormat="false" ht="191.75" hidden="false" customHeight="false" outlineLevel="0" collapsed="false">
      <c r="A59" s="5" t="s">
        <v>914</v>
      </c>
      <c r="B59" s="5" t="s">
        <v>915</v>
      </c>
      <c r="C59" s="5" t="s">
        <v>863</v>
      </c>
      <c r="D59" s="5" t="s">
        <v>864</v>
      </c>
      <c r="E59" s="5" t="s">
        <v>892</v>
      </c>
      <c r="F59" s="5" t="s">
        <v>916</v>
      </c>
      <c r="G59" s="5" t="s">
        <v>917</v>
      </c>
      <c r="H59" s="5" t="n">
        <v>5</v>
      </c>
      <c r="I59" s="5" t="s">
        <v>152</v>
      </c>
      <c r="J59" s="5" t="s">
        <v>153</v>
      </c>
      <c r="K59" s="5" t="s">
        <v>918</v>
      </c>
      <c r="L59" s="5" t="s">
        <v>30</v>
      </c>
      <c r="M59" s="5" t="s">
        <v>155</v>
      </c>
      <c r="N59" s="5" t="s">
        <v>919</v>
      </c>
      <c r="O59" s="5" t="s">
        <v>157</v>
      </c>
      <c r="P59" s="5" t="s">
        <v>215</v>
      </c>
      <c r="Q59" s="5" t="s">
        <v>440</v>
      </c>
      <c r="R59" s="5" t="s">
        <v>869</v>
      </c>
      <c r="S59" s="5" t="s">
        <v>870</v>
      </c>
      <c r="T59" s="5" t="s">
        <v>162</v>
      </c>
      <c r="U59" s="5" t="n">
        <v>365</v>
      </c>
      <c r="V59" s="5" t="s">
        <v>871</v>
      </c>
      <c r="W59" s="5" t="s">
        <v>872</v>
      </c>
      <c r="X59" s="5" t="s">
        <v>920</v>
      </c>
      <c r="Y59" s="5" t="s">
        <v>921</v>
      </c>
      <c r="Z59" s="5" t="s">
        <v>922</v>
      </c>
      <c r="AA59" s="5"/>
      <c r="AB59" s="5"/>
      <c r="AC59" s="5"/>
      <c r="AD59" s="5"/>
      <c r="AE59" s="5"/>
      <c r="AF59" s="5" t="s">
        <v>923</v>
      </c>
      <c r="AG59" s="5" t="s">
        <v>924</v>
      </c>
      <c r="AH59" s="5"/>
      <c r="AI59" s="5"/>
      <c r="AJ59" s="5" t="s">
        <v>925</v>
      </c>
      <c r="AK59" s="5" t="s">
        <v>926</v>
      </c>
      <c r="AL59" s="5" t="s">
        <v>923</v>
      </c>
      <c r="AM59" s="5"/>
      <c r="AN59" s="5"/>
      <c r="AO59" s="5"/>
      <c r="AP59" s="5"/>
      <c r="AQ59" s="5" t="s">
        <v>924</v>
      </c>
      <c r="AR59" s="5" t="s">
        <v>901</v>
      </c>
      <c r="AS59" s="5"/>
      <c r="AT59" s="5"/>
      <c r="AU59" s="5"/>
      <c r="AV59" s="5" t="s">
        <v>178</v>
      </c>
      <c r="AW59" s="5" t="s">
        <v>927</v>
      </c>
    </row>
    <row r="60" customFormat="false" ht="147" hidden="false" customHeight="false" outlineLevel="0" collapsed="false">
      <c r="A60" s="5" t="s">
        <v>928</v>
      </c>
      <c r="B60" s="5" t="s">
        <v>929</v>
      </c>
      <c r="C60" s="5" t="s">
        <v>863</v>
      </c>
      <c r="D60" s="5" t="s">
        <v>864</v>
      </c>
      <c r="E60" s="5" t="s">
        <v>149</v>
      </c>
      <c r="F60" s="5" t="s">
        <v>930</v>
      </c>
      <c r="G60" s="5" t="s">
        <v>931</v>
      </c>
      <c r="H60" s="5" t="n">
        <v>6</v>
      </c>
      <c r="I60" s="5" t="s">
        <v>152</v>
      </c>
      <c r="J60" s="5" t="s">
        <v>153</v>
      </c>
      <c r="K60" s="5" t="s">
        <v>932</v>
      </c>
      <c r="L60" s="5" t="s">
        <v>30</v>
      </c>
      <c r="M60" s="5" t="s">
        <v>155</v>
      </c>
      <c r="N60" s="5" t="s">
        <v>933</v>
      </c>
      <c r="O60" s="5" t="s">
        <v>157</v>
      </c>
      <c r="P60" s="5" t="s">
        <v>215</v>
      </c>
      <c r="Q60" s="5" t="s">
        <v>440</v>
      </c>
      <c r="R60" s="5" t="s">
        <v>869</v>
      </c>
      <c r="S60" s="5" t="s">
        <v>870</v>
      </c>
      <c r="T60" s="5" t="s">
        <v>162</v>
      </c>
      <c r="U60" s="5" t="n">
        <v>365</v>
      </c>
      <c r="V60" s="5" t="s">
        <v>871</v>
      </c>
      <c r="W60" s="5" t="s">
        <v>872</v>
      </c>
      <c r="X60" s="5" t="s">
        <v>934</v>
      </c>
      <c r="Y60" s="5" t="s">
        <v>935</v>
      </c>
      <c r="Z60" s="5" t="s">
        <v>936</v>
      </c>
      <c r="AA60" s="5"/>
      <c r="AB60" s="5"/>
      <c r="AC60" s="5"/>
      <c r="AD60" s="5"/>
      <c r="AE60" s="5"/>
      <c r="AF60" s="5"/>
      <c r="AG60" s="5"/>
      <c r="AH60" s="5" t="s">
        <v>937</v>
      </c>
      <c r="AI60" s="5"/>
      <c r="AJ60" s="5" t="s">
        <v>938</v>
      </c>
      <c r="AK60" s="5" t="s">
        <v>939</v>
      </c>
      <c r="AL60" s="5"/>
      <c r="AM60" s="5"/>
      <c r="AN60" s="5"/>
      <c r="AO60" s="5"/>
      <c r="AP60" s="5"/>
      <c r="AQ60" s="5"/>
      <c r="AR60" s="5"/>
      <c r="AS60" s="5"/>
      <c r="AT60" s="5"/>
      <c r="AU60" s="5"/>
      <c r="AV60" s="5" t="s">
        <v>178</v>
      </c>
      <c r="AW60" s="5" t="s">
        <v>927</v>
      </c>
    </row>
    <row r="61" customFormat="false" ht="147" hidden="false" customHeight="false" outlineLevel="0" collapsed="false">
      <c r="A61" s="5" t="s">
        <v>940</v>
      </c>
      <c r="B61" s="5" t="s">
        <v>941</v>
      </c>
      <c r="C61" s="5" t="s">
        <v>863</v>
      </c>
      <c r="D61" s="5" t="s">
        <v>864</v>
      </c>
      <c r="E61" s="5" t="s">
        <v>149</v>
      </c>
      <c r="F61" s="5" t="s">
        <v>942</v>
      </c>
      <c r="G61" s="5" t="s">
        <v>943</v>
      </c>
      <c r="H61" s="5" t="n">
        <v>3</v>
      </c>
      <c r="I61" s="5" t="s">
        <v>152</v>
      </c>
      <c r="J61" s="5" t="s">
        <v>153</v>
      </c>
      <c r="K61" s="5" t="s">
        <v>867</v>
      </c>
      <c r="L61" s="5" t="s">
        <v>55</v>
      </c>
      <c r="M61" s="5" t="s">
        <v>185</v>
      </c>
      <c r="N61" s="5" t="s">
        <v>54</v>
      </c>
      <c r="O61" s="5" t="s">
        <v>187</v>
      </c>
      <c r="P61" s="5" t="s">
        <v>158</v>
      </c>
      <c r="Q61" s="5" t="s">
        <v>419</v>
      </c>
      <c r="R61" s="5" t="s">
        <v>869</v>
      </c>
      <c r="S61" s="5" t="s">
        <v>870</v>
      </c>
      <c r="T61" s="5" t="s">
        <v>162</v>
      </c>
      <c r="U61" s="5" t="n">
        <v>365</v>
      </c>
      <c r="V61" s="5" t="s">
        <v>871</v>
      </c>
      <c r="W61" s="5" t="s">
        <v>872</v>
      </c>
      <c r="X61" s="5" t="s">
        <v>944</v>
      </c>
      <c r="Y61" s="5" t="s">
        <v>945</v>
      </c>
      <c r="Z61" s="5" t="s">
        <v>946</v>
      </c>
      <c r="AA61" s="5"/>
      <c r="AB61" s="5"/>
      <c r="AC61" s="5"/>
      <c r="AD61" s="5"/>
      <c r="AE61" s="5"/>
      <c r="AF61" s="5"/>
      <c r="AG61" s="5"/>
      <c r="AH61" s="5"/>
      <c r="AI61" s="5"/>
      <c r="AJ61" s="5"/>
      <c r="AK61" s="5" t="s">
        <v>947</v>
      </c>
      <c r="AL61" s="5"/>
      <c r="AM61" s="5"/>
      <c r="AN61" s="5"/>
      <c r="AO61" s="5"/>
      <c r="AP61" s="5"/>
      <c r="AQ61" s="5"/>
      <c r="AR61" s="5"/>
      <c r="AS61" s="5"/>
      <c r="AT61" s="5"/>
      <c r="AU61" s="5"/>
      <c r="AV61" s="5" t="s">
        <v>178</v>
      </c>
      <c r="AW61" s="5" t="s">
        <v>913</v>
      </c>
    </row>
    <row r="62" customFormat="false" ht="135.8" hidden="false" customHeight="false" outlineLevel="0" collapsed="false">
      <c r="A62" s="5" t="s">
        <v>948</v>
      </c>
      <c r="B62" s="5" t="s">
        <v>949</v>
      </c>
      <c r="C62" s="5" t="s">
        <v>863</v>
      </c>
      <c r="D62" s="5" t="s">
        <v>864</v>
      </c>
      <c r="E62" s="5" t="s">
        <v>626</v>
      </c>
      <c r="F62" s="5" t="s">
        <v>950</v>
      </c>
      <c r="G62" s="5" t="s">
        <v>951</v>
      </c>
      <c r="H62" s="5" t="n">
        <v>9</v>
      </c>
      <c r="I62" s="5" t="s">
        <v>152</v>
      </c>
      <c r="J62" s="5" t="s">
        <v>557</v>
      </c>
      <c r="K62" s="5" t="s">
        <v>867</v>
      </c>
      <c r="L62" s="5" t="s">
        <v>55</v>
      </c>
      <c r="M62" s="5" t="s">
        <v>185</v>
      </c>
      <c r="N62" s="5" t="s">
        <v>439</v>
      </c>
      <c r="O62" s="5" t="s">
        <v>187</v>
      </c>
      <c r="P62" s="5" t="s">
        <v>215</v>
      </c>
      <c r="Q62" s="5" t="s">
        <v>440</v>
      </c>
      <c r="R62" s="5" t="s">
        <v>869</v>
      </c>
      <c r="S62" s="5" t="s">
        <v>870</v>
      </c>
      <c r="T62" s="5" t="s">
        <v>162</v>
      </c>
      <c r="U62" s="5" t="n">
        <v>90</v>
      </c>
      <c r="V62" s="5" t="s">
        <v>871</v>
      </c>
      <c r="W62" s="5" t="s">
        <v>872</v>
      </c>
      <c r="X62" s="5" t="s">
        <v>952</v>
      </c>
      <c r="Y62" s="5" t="s">
        <v>953</v>
      </c>
      <c r="Z62" s="5" t="s">
        <v>954</v>
      </c>
      <c r="AA62" s="5"/>
      <c r="AB62" s="5"/>
      <c r="AC62" s="5"/>
      <c r="AD62" s="5"/>
      <c r="AE62" s="5"/>
      <c r="AF62" s="5"/>
      <c r="AG62" s="5"/>
      <c r="AH62" s="5"/>
      <c r="AI62" s="5"/>
      <c r="AJ62" s="5" t="s">
        <v>955</v>
      </c>
      <c r="AK62" s="5"/>
      <c r="AL62" s="5"/>
      <c r="AM62" s="5"/>
      <c r="AN62" s="5"/>
      <c r="AO62" s="5"/>
      <c r="AP62" s="5"/>
      <c r="AQ62" s="5"/>
      <c r="AR62" s="5"/>
      <c r="AS62" s="5"/>
      <c r="AT62" s="5"/>
      <c r="AU62" s="5"/>
      <c r="AV62" s="5"/>
      <c r="AW62" s="5" t="s">
        <v>956</v>
      </c>
    </row>
    <row r="63" customFormat="false" ht="158.2" hidden="false" customHeight="false" outlineLevel="0" collapsed="false">
      <c r="A63" s="5" t="s">
        <v>957</v>
      </c>
      <c r="B63" s="5" t="s">
        <v>958</v>
      </c>
      <c r="C63" s="5" t="s">
        <v>863</v>
      </c>
      <c r="D63" s="5" t="s">
        <v>864</v>
      </c>
      <c r="E63" s="5" t="s">
        <v>892</v>
      </c>
      <c r="F63" s="5" t="s">
        <v>959</v>
      </c>
      <c r="G63" s="5" t="s">
        <v>960</v>
      </c>
      <c r="H63" s="5" t="n">
        <v>9</v>
      </c>
      <c r="I63" s="5" t="s">
        <v>152</v>
      </c>
      <c r="J63" s="5" t="s">
        <v>153</v>
      </c>
      <c r="K63" s="5" t="s">
        <v>961</v>
      </c>
      <c r="L63" s="5" t="s">
        <v>30</v>
      </c>
      <c r="M63" s="5" t="s">
        <v>155</v>
      </c>
      <c r="N63" s="5" t="s">
        <v>962</v>
      </c>
      <c r="O63" s="5" t="s">
        <v>157</v>
      </c>
      <c r="P63" s="5" t="s">
        <v>158</v>
      </c>
      <c r="Q63" s="5" t="s">
        <v>519</v>
      </c>
      <c r="R63" s="5" t="s">
        <v>869</v>
      </c>
      <c r="S63" s="5" t="s">
        <v>870</v>
      </c>
      <c r="T63" s="5" t="s">
        <v>162</v>
      </c>
      <c r="U63" s="5" t="n">
        <v>365</v>
      </c>
      <c r="V63" s="5" t="s">
        <v>871</v>
      </c>
      <c r="W63" s="5" t="s">
        <v>872</v>
      </c>
      <c r="X63" s="5" t="s">
        <v>963</v>
      </c>
      <c r="Y63" s="5" t="s">
        <v>964</v>
      </c>
      <c r="Z63" s="5" t="s">
        <v>965</v>
      </c>
      <c r="AA63" s="5"/>
      <c r="AB63" s="5"/>
      <c r="AC63" s="5"/>
      <c r="AD63" s="5"/>
      <c r="AE63" s="5" t="s">
        <v>966</v>
      </c>
      <c r="AF63" s="5" t="s">
        <v>967</v>
      </c>
      <c r="AG63" s="5" t="s">
        <v>967</v>
      </c>
      <c r="AH63" s="5"/>
      <c r="AI63" s="5"/>
      <c r="AJ63" s="5" t="s">
        <v>968</v>
      </c>
      <c r="AK63" s="5" t="s">
        <v>969</v>
      </c>
      <c r="AL63" s="5" t="s">
        <v>967</v>
      </c>
      <c r="AM63" s="5" t="s">
        <v>967</v>
      </c>
      <c r="AN63" s="5"/>
      <c r="AO63" s="5"/>
      <c r="AP63" s="5" t="s">
        <v>970</v>
      </c>
      <c r="AQ63" s="5"/>
      <c r="AR63" s="5" t="s">
        <v>901</v>
      </c>
      <c r="AS63" s="5"/>
      <c r="AT63" s="5"/>
      <c r="AU63" s="5"/>
      <c r="AV63" s="5" t="s">
        <v>178</v>
      </c>
      <c r="AW63" s="5" t="s">
        <v>971</v>
      </c>
    </row>
    <row r="64" customFormat="false" ht="147" hidden="false" customHeight="false" outlineLevel="0" collapsed="false">
      <c r="A64" s="5" t="s">
        <v>972</v>
      </c>
      <c r="B64" s="5" t="s">
        <v>973</v>
      </c>
      <c r="C64" s="5" t="s">
        <v>863</v>
      </c>
      <c r="D64" s="5" t="s">
        <v>864</v>
      </c>
      <c r="E64" s="5" t="s">
        <v>892</v>
      </c>
      <c r="F64" s="5" t="s">
        <v>974</v>
      </c>
      <c r="G64" s="5" t="s">
        <v>975</v>
      </c>
      <c r="H64" s="5" t="n">
        <v>8</v>
      </c>
      <c r="I64" s="5" t="s">
        <v>152</v>
      </c>
      <c r="J64" s="5" t="s">
        <v>153</v>
      </c>
      <c r="K64" s="5" t="s">
        <v>867</v>
      </c>
      <c r="L64" s="5" t="s">
        <v>30</v>
      </c>
      <c r="M64" s="5" t="s">
        <v>155</v>
      </c>
      <c r="N64" s="5" t="s">
        <v>976</v>
      </c>
      <c r="O64" s="5" t="s">
        <v>157</v>
      </c>
      <c r="P64" s="5" t="s">
        <v>158</v>
      </c>
      <c r="Q64" s="5" t="s">
        <v>519</v>
      </c>
      <c r="R64" s="5" t="s">
        <v>869</v>
      </c>
      <c r="S64" s="5" t="s">
        <v>870</v>
      </c>
      <c r="T64" s="5" t="s">
        <v>162</v>
      </c>
      <c r="U64" s="5" t="n">
        <v>365</v>
      </c>
      <c r="V64" s="5" t="s">
        <v>871</v>
      </c>
      <c r="W64" s="5" t="s">
        <v>872</v>
      </c>
      <c r="X64" s="5" t="s">
        <v>977</v>
      </c>
      <c r="Y64" s="5" t="s">
        <v>978</v>
      </c>
      <c r="Z64" s="5" t="s">
        <v>979</v>
      </c>
      <c r="AA64" s="5"/>
      <c r="AB64" s="5"/>
      <c r="AC64" s="5"/>
      <c r="AD64" s="5"/>
      <c r="AE64" s="5"/>
      <c r="AF64" s="5" t="s">
        <v>980</v>
      </c>
      <c r="AG64" s="5" t="s">
        <v>980</v>
      </c>
      <c r="AH64" s="5"/>
      <c r="AI64" s="5" t="s">
        <v>881</v>
      </c>
      <c r="AJ64" s="5"/>
      <c r="AK64" s="5" t="s">
        <v>926</v>
      </c>
      <c r="AL64" s="5" t="s">
        <v>980</v>
      </c>
      <c r="AM64" s="5" t="s">
        <v>980</v>
      </c>
      <c r="AN64" s="5"/>
      <c r="AO64" s="5"/>
      <c r="AP64" s="5"/>
      <c r="AQ64" s="5" t="s">
        <v>980</v>
      </c>
      <c r="AR64" s="5" t="s">
        <v>901</v>
      </c>
      <c r="AS64" s="5"/>
      <c r="AT64" s="5"/>
      <c r="AU64" s="5"/>
      <c r="AV64" s="5" t="s">
        <v>178</v>
      </c>
      <c r="AW64" s="5" t="s">
        <v>913</v>
      </c>
    </row>
    <row r="65" customFormat="false" ht="124.6" hidden="false" customHeight="false" outlineLevel="0" collapsed="false">
      <c r="A65" s="5" t="s">
        <v>981</v>
      </c>
      <c r="B65" s="5" t="s">
        <v>982</v>
      </c>
      <c r="C65" s="5" t="s">
        <v>863</v>
      </c>
      <c r="D65" s="5" t="s">
        <v>864</v>
      </c>
      <c r="E65" s="5" t="s">
        <v>892</v>
      </c>
      <c r="F65" s="5" t="s">
        <v>983</v>
      </c>
      <c r="G65" s="5" t="s">
        <v>984</v>
      </c>
      <c r="H65" s="5" t="n">
        <v>8</v>
      </c>
      <c r="I65" s="5" t="s">
        <v>152</v>
      </c>
      <c r="J65" s="5" t="s">
        <v>153</v>
      </c>
      <c r="K65" s="5"/>
      <c r="L65" s="5" t="s">
        <v>30</v>
      </c>
      <c r="M65" s="5" t="s">
        <v>155</v>
      </c>
      <c r="N65" s="5" t="s">
        <v>985</v>
      </c>
      <c r="O65" s="5" t="s">
        <v>157</v>
      </c>
      <c r="P65" s="5" t="s">
        <v>158</v>
      </c>
      <c r="Q65" s="5" t="s">
        <v>419</v>
      </c>
      <c r="R65" s="5" t="s">
        <v>869</v>
      </c>
      <c r="S65" s="5" t="s">
        <v>870</v>
      </c>
      <c r="T65" s="5" t="s">
        <v>162</v>
      </c>
      <c r="U65" s="5" t="n">
        <v>365</v>
      </c>
      <c r="V65" s="5" t="s">
        <v>871</v>
      </c>
      <c r="W65" s="5" t="s">
        <v>872</v>
      </c>
      <c r="X65" s="5" t="s">
        <v>986</v>
      </c>
      <c r="Y65" s="5" t="s">
        <v>987</v>
      </c>
      <c r="Z65" s="5" t="s">
        <v>988</v>
      </c>
      <c r="AA65" s="5"/>
      <c r="AB65" s="5"/>
      <c r="AC65" s="5"/>
      <c r="AD65" s="5"/>
      <c r="AE65" s="5"/>
      <c r="AF65" s="5" t="s">
        <v>989</v>
      </c>
      <c r="AG65" s="5"/>
      <c r="AH65" s="5"/>
      <c r="AI65" s="5" t="s">
        <v>881</v>
      </c>
      <c r="AJ65" s="5"/>
      <c r="AK65" s="5"/>
      <c r="AL65" s="5" t="s">
        <v>989</v>
      </c>
      <c r="AM65" s="5"/>
      <c r="AN65" s="5"/>
      <c r="AO65" s="5" t="s">
        <v>912</v>
      </c>
      <c r="AP65" s="5"/>
      <c r="AQ65" s="5"/>
      <c r="AR65" s="5" t="s">
        <v>901</v>
      </c>
      <c r="AS65" s="5"/>
      <c r="AT65" s="5"/>
      <c r="AU65" s="5"/>
      <c r="AV65" s="5"/>
      <c r="AW65" s="5" t="s">
        <v>913</v>
      </c>
    </row>
    <row r="66" customFormat="false" ht="135.8" hidden="false" customHeight="false" outlineLevel="0" collapsed="false">
      <c r="A66" s="5" t="s">
        <v>990</v>
      </c>
      <c r="B66" s="5" t="s">
        <v>991</v>
      </c>
      <c r="C66" s="5" t="s">
        <v>863</v>
      </c>
      <c r="D66" s="5" t="s">
        <v>864</v>
      </c>
      <c r="E66" s="5" t="s">
        <v>892</v>
      </c>
      <c r="F66" s="5" t="s">
        <v>992</v>
      </c>
      <c r="G66" s="5" t="s">
        <v>993</v>
      </c>
      <c r="H66" s="5" t="n">
        <v>8</v>
      </c>
      <c r="I66" s="5" t="s">
        <v>152</v>
      </c>
      <c r="J66" s="5" t="s">
        <v>153</v>
      </c>
      <c r="K66" s="5"/>
      <c r="L66" s="5" t="s">
        <v>30</v>
      </c>
      <c r="M66" s="5" t="s">
        <v>155</v>
      </c>
      <c r="N66" s="5" t="s">
        <v>994</v>
      </c>
      <c r="O66" s="5" t="s">
        <v>157</v>
      </c>
      <c r="P66" s="5" t="s">
        <v>158</v>
      </c>
      <c r="Q66" s="5" t="s">
        <v>519</v>
      </c>
      <c r="R66" s="5" t="s">
        <v>869</v>
      </c>
      <c r="S66" s="5" t="s">
        <v>870</v>
      </c>
      <c r="T66" s="5" t="s">
        <v>162</v>
      </c>
      <c r="U66" s="5" t="n">
        <v>365</v>
      </c>
      <c r="V66" s="5" t="s">
        <v>871</v>
      </c>
      <c r="W66" s="5" t="s">
        <v>872</v>
      </c>
      <c r="X66" s="5" t="s">
        <v>995</v>
      </c>
      <c r="Y66" s="5" t="s">
        <v>996</v>
      </c>
      <c r="Z66" s="5" t="s">
        <v>997</v>
      </c>
      <c r="AA66" s="5"/>
      <c r="AB66" s="5"/>
      <c r="AC66" s="5"/>
      <c r="AD66" s="5"/>
      <c r="AE66" s="5"/>
      <c r="AF66" s="5" t="s">
        <v>980</v>
      </c>
      <c r="AG66" s="5" t="s">
        <v>980</v>
      </c>
      <c r="AH66" s="5"/>
      <c r="AI66" s="5"/>
      <c r="AJ66" s="5"/>
      <c r="AK66" s="5"/>
      <c r="AL66" s="5" t="s">
        <v>980</v>
      </c>
      <c r="AM66" s="5" t="s">
        <v>980</v>
      </c>
      <c r="AN66" s="5"/>
      <c r="AO66" s="5"/>
      <c r="AP66" s="5"/>
      <c r="AQ66" s="5" t="s">
        <v>980</v>
      </c>
      <c r="AR66" s="5" t="s">
        <v>901</v>
      </c>
      <c r="AS66" s="5"/>
      <c r="AT66" s="5"/>
      <c r="AU66" s="5"/>
      <c r="AV66" s="5"/>
      <c r="AW66" s="5" t="s">
        <v>913</v>
      </c>
    </row>
    <row r="67" customFormat="false" ht="225.35" hidden="false" customHeight="false" outlineLevel="0" collapsed="false">
      <c r="A67" s="5" t="s">
        <v>998</v>
      </c>
      <c r="B67" s="5" t="s">
        <v>999</v>
      </c>
      <c r="C67" s="5" t="s">
        <v>863</v>
      </c>
      <c r="D67" s="5" t="s">
        <v>864</v>
      </c>
      <c r="E67" s="5" t="s">
        <v>892</v>
      </c>
      <c r="F67" s="5" t="s">
        <v>1000</v>
      </c>
      <c r="G67" s="5" t="s">
        <v>1001</v>
      </c>
      <c r="H67" s="5" t="n">
        <v>5</v>
      </c>
      <c r="I67" s="5" t="s">
        <v>274</v>
      </c>
      <c r="J67" s="5" t="s">
        <v>153</v>
      </c>
      <c r="K67" s="5" t="s">
        <v>1002</v>
      </c>
      <c r="L67" s="5" t="s">
        <v>30</v>
      </c>
      <c r="M67" s="5" t="s">
        <v>155</v>
      </c>
      <c r="N67" s="5" t="s">
        <v>1003</v>
      </c>
      <c r="O67" s="5" t="s">
        <v>157</v>
      </c>
      <c r="P67" s="5" t="s">
        <v>215</v>
      </c>
      <c r="Q67" s="5" t="s">
        <v>440</v>
      </c>
      <c r="R67" s="5" t="s">
        <v>869</v>
      </c>
      <c r="S67" s="5" t="s">
        <v>870</v>
      </c>
      <c r="T67" s="5" t="s">
        <v>277</v>
      </c>
      <c r="U67" s="5" t="n">
        <v>365</v>
      </c>
      <c r="V67" s="5" t="s">
        <v>871</v>
      </c>
      <c r="W67" s="5" t="s">
        <v>872</v>
      </c>
      <c r="X67" s="5" t="s">
        <v>1004</v>
      </c>
      <c r="Y67" s="5" t="s">
        <v>1005</v>
      </c>
      <c r="Z67" s="5" t="s">
        <v>1006</v>
      </c>
      <c r="AA67" s="5"/>
      <c r="AB67" s="5"/>
      <c r="AC67" s="5"/>
      <c r="AD67" s="5"/>
      <c r="AE67" s="5"/>
      <c r="AF67" s="5" t="s">
        <v>1007</v>
      </c>
      <c r="AG67" s="5" t="s">
        <v>1007</v>
      </c>
      <c r="AH67" s="5"/>
      <c r="AI67" s="5"/>
      <c r="AJ67" s="5"/>
      <c r="AK67" s="5"/>
      <c r="AL67" s="5" t="s">
        <v>1007</v>
      </c>
      <c r="AM67" s="5"/>
      <c r="AN67" s="5" t="s">
        <v>1008</v>
      </c>
      <c r="AO67" s="5"/>
      <c r="AP67" s="5"/>
      <c r="AQ67" s="5"/>
      <c r="AR67" s="5" t="s">
        <v>901</v>
      </c>
      <c r="AS67" s="5"/>
      <c r="AT67" s="5"/>
      <c r="AU67" s="5"/>
      <c r="AV67" s="5" t="s">
        <v>178</v>
      </c>
      <c r="AW67" s="5" t="s">
        <v>1009</v>
      </c>
    </row>
    <row r="68" customFormat="false" ht="158.2" hidden="false" customHeight="false" outlineLevel="0" collapsed="false">
      <c r="A68" s="5" t="s">
        <v>1010</v>
      </c>
      <c r="B68" s="5" t="s">
        <v>1011</v>
      </c>
      <c r="C68" s="5" t="s">
        <v>863</v>
      </c>
      <c r="D68" s="5" t="s">
        <v>864</v>
      </c>
      <c r="E68" s="5" t="s">
        <v>892</v>
      </c>
      <c r="F68" s="5" t="s">
        <v>1012</v>
      </c>
      <c r="G68" s="5" t="s">
        <v>1013</v>
      </c>
      <c r="H68" s="5" t="n">
        <v>6</v>
      </c>
      <c r="I68" s="5" t="s">
        <v>152</v>
      </c>
      <c r="J68" s="5" t="s">
        <v>153</v>
      </c>
      <c r="K68" s="5" t="s">
        <v>1014</v>
      </c>
      <c r="L68" s="5" t="s">
        <v>30</v>
      </c>
      <c r="M68" s="5" t="s">
        <v>155</v>
      </c>
      <c r="N68" s="5" t="s">
        <v>1015</v>
      </c>
      <c r="O68" s="5" t="s">
        <v>157</v>
      </c>
      <c r="P68" s="5" t="s">
        <v>158</v>
      </c>
      <c r="Q68" s="5" t="s">
        <v>440</v>
      </c>
      <c r="R68" s="5" t="s">
        <v>869</v>
      </c>
      <c r="S68" s="5" t="s">
        <v>870</v>
      </c>
      <c r="T68" s="5" t="s">
        <v>162</v>
      </c>
      <c r="U68" s="5" t="n">
        <v>365</v>
      </c>
      <c r="V68" s="5" t="s">
        <v>871</v>
      </c>
      <c r="W68" s="5" t="s">
        <v>872</v>
      </c>
      <c r="X68" s="5" t="s">
        <v>1016</v>
      </c>
      <c r="Y68" s="5" t="s">
        <v>1017</v>
      </c>
      <c r="Z68" s="5" t="s">
        <v>1018</v>
      </c>
      <c r="AA68" s="5"/>
      <c r="AB68" s="5"/>
      <c r="AC68" s="5"/>
      <c r="AD68" s="5"/>
      <c r="AE68" s="5"/>
      <c r="AF68" s="5" t="s">
        <v>1019</v>
      </c>
      <c r="AG68" s="5" t="s">
        <v>1019</v>
      </c>
      <c r="AH68" s="5" t="s">
        <v>1020</v>
      </c>
      <c r="AI68" s="5"/>
      <c r="AJ68" s="5" t="s">
        <v>1021</v>
      </c>
      <c r="AK68" s="5"/>
      <c r="AL68" s="5" t="s">
        <v>1019</v>
      </c>
      <c r="AM68" s="5"/>
      <c r="AN68" s="5" t="s">
        <v>1022</v>
      </c>
      <c r="AO68" s="5" t="s">
        <v>1023</v>
      </c>
      <c r="AP68" s="5" t="s">
        <v>1024</v>
      </c>
      <c r="AQ68" s="5" t="s">
        <v>1019</v>
      </c>
      <c r="AR68" s="5" t="s">
        <v>901</v>
      </c>
      <c r="AS68" s="5"/>
      <c r="AT68" s="5" t="s">
        <v>888</v>
      </c>
      <c r="AU68" s="5"/>
      <c r="AV68" s="5" t="s">
        <v>178</v>
      </c>
      <c r="AW68" s="5" t="s">
        <v>1025</v>
      </c>
    </row>
    <row r="69" customFormat="false" ht="135.8" hidden="false" customHeight="false" outlineLevel="0" collapsed="false">
      <c r="A69" s="5" t="s">
        <v>1026</v>
      </c>
      <c r="B69" s="5" t="s">
        <v>1027</v>
      </c>
      <c r="C69" s="5" t="s">
        <v>863</v>
      </c>
      <c r="D69" s="5" t="s">
        <v>864</v>
      </c>
      <c r="E69" s="5" t="s">
        <v>892</v>
      </c>
      <c r="F69" s="5" t="s">
        <v>1028</v>
      </c>
      <c r="G69" s="5" t="s">
        <v>1029</v>
      </c>
      <c r="H69" s="5" t="n">
        <v>3</v>
      </c>
      <c r="I69" s="5" t="s">
        <v>152</v>
      </c>
      <c r="J69" s="5" t="s">
        <v>153</v>
      </c>
      <c r="K69" s="5"/>
      <c r="L69" s="5" t="s">
        <v>30</v>
      </c>
      <c r="M69" s="5" t="s">
        <v>155</v>
      </c>
      <c r="N69" s="5" t="s">
        <v>1030</v>
      </c>
      <c r="O69" s="5" t="s">
        <v>157</v>
      </c>
      <c r="P69" s="5" t="s">
        <v>215</v>
      </c>
      <c r="Q69" s="5" t="s">
        <v>440</v>
      </c>
      <c r="R69" s="5" t="s">
        <v>869</v>
      </c>
      <c r="S69" s="5" t="s">
        <v>870</v>
      </c>
      <c r="T69" s="5" t="s">
        <v>162</v>
      </c>
      <c r="U69" s="5" t="n">
        <v>365</v>
      </c>
      <c r="V69" s="5" t="s">
        <v>871</v>
      </c>
      <c r="W69" s="5" t="s">
        <v>872</v>
      </c>
      <c r="X69" s="5" t="s">
        <v>1031</v>
      </c>
      <c r="Y69" s="5" t="s">
        <v>1032</v>
      </c>
      <c r="Z69" s="5" t="s">
        <v>1033</v>
      </c>
      <c r="AA69" s="5"/>
      <c r="AB69" s="5"/>
      <c r="AC69" s="5"/>
      <c r="AD69" s="5"/>
      <c r="AE69" s="5"/>
      <c r="AF69" s="5" t="s">
        <v>1034</v>
      </c>
      <c r="AG69" s="5" t="s">
        <v>1034</v>
      </c>
      <c r="AH69" s="5"/>
      <c r="AI69" s="5"/>
      <c r="AJ69" s="5"/>
      <c r="AK69" s="5"/>
      <c r="AL69" s="5" t="s">
        <v>1034</v>
      </c>
      <c r="AM69" s="5" t="s">
        <v>1034</v>
      </c>
      <c r="AN69" s="5"/>
      <c r="AO69" s="5"/>
      <c r="AP69" s="5"/>
      <c r="AQ69" s="5"/>
      <c r="AR69" s="5" t="s">
        <v>901</v>
      </c>
      <c r="AS69" s="5"/>
      <c r="AT69" s="5"/>
      <c r="AU69" s="5"/>
      <c r="AV69" s="5"/>
      <c r="AW69" s="5" t="s">
        <v>1035</v>
      </c>
    </row>
    <row r="70" customFormat="false" ht="147" hidden="false" customHeight="false" outlineLevel="0" collapsed="false">
      <c r="A70" s="5" t="s">
        <v>1036</v>
      </c>
      <c r="B70" s="5" t="s">
        <v>1037</v>
      </c>
      <c r="C70" s="5" t="s">
        <v>863</v>
      </c>
      <c r="D70" s="5" t="s">
        <v>864</v>
      </c>
      <c r="E70" s="5" t="s">
        <v>600</v>
      </c>
      <c r="F70" s="5" t="s">
        <v>1038</v>
      </c>
      <c r="G70" s="5" t="s">
        <v>1039</v>
      </c>
      <c r="H70" s="5" t="n">
        <v>9</v>
      </c>
      <c r="I70" s="5" t="s">
        <v>152</v>
      </c>
      <c r="J70" s="5" t="s">
        <v>153</v>
      </c>
      <c r="K70" s="5" t="s">
        <v>1040</v>
      </c>
      <c r="L70" s="5" t="s">
        <v>30</v>
      </c>
      <c r="M70" s="5" t="s">
        <v>155</v>
      </c>
      <c r="N70" s="5" t="s">
        <v>1041</v>
      </c>
      <c r="O70" s="5" t="s">
        <v>157</v>
      </c>
      <c r="P70" s="5" t="s">
        <v>158</v>
      </c>
      <c r="Q70" s="5" t="s">
        <v>440</v>
      </c>
      <c r="R70" s="5" t="s">
        <v>869</v>
      </c>
      <c r="S70" s="5" t="s">
        <v>870</v>
      </c>
      <c r="T70" s="5" t="s">
        <v>162</v>
      </c>
      <c r="U70" s="5" t="n">
        <v>365</v>
      </c>
      <c r="V70" s="5" t="s">
        <v>871</v>
      </c>
      <c r="W70" s="5" t="s">
        <v>872</v>
      </c>
      <c r="X70" s="5" t="s">
        <v>1042</v>
      </c>
      <c r="Y70" s="5" t="s">
        <v>1043</v>
      </c>
      <c r="Z70" s="5" t="s">
        <v>1044</v>
      </c>
      <c r="AA70" s="5"/>
      <c r="AB70" s="5"/>
      <c r="AC70" s="5"/>
      <c r="AD70" s="5"/>
      <c r="AE70" s="5"/>
      <c r="AF70" s="5" t="s">
        <v>1019</v>
      </c>
      <c r="AG70" s="5" t="s">
        <v>1019</v>
      </c>
      <c r="AH70" s="5" t="s">
        <v>1045</v>
      </c>
      <c r="AI70" s="5"/>
      <c r="AJ70" s="5" t="s">
        <v>1046</v>
      </c>
      <c r="AK70" s="5" t="s">
        <v>1047</v>
      </c>
      <c r="AL70" s="5" t="s">
        <v>1019</v>
      </c>
      <c r="AM70" s="5"/>
      <c r="AN70" s="5" t="s">
        <v>1022</v>
      </c>
      <c r="AO70" s="5"/>
      <c r="AP70" s="5"/>
      <c r="AQ70" s="5" t="s">
        <v>1019</v>
      </c>
      <c r="AR70" s="5" t="s">
        <v>901</v>
      </c>
      <c r="AS70" s="5"/>
      <c r="AT70" s="5"/>
      <c r="AU70" s="5"/>
      <c r="AV70" s="5" t="s">
        <v>178</v>
      </c>
      <c r="AW70" s="5" t="s">
        <v>1048</v>
      </c>
    </row>
    <row r="71" customFormat="false" ht="225.35" hidden="false" customHeight="false" outlineLevel="0" collapsed="false">
      <c r="A71" s="5" t="s">
        <v>1049</v>
      </c>
      <c r="B71" s="5" t="s">
        <v>1050</v>
      </c>
      <c r="C71" s="5" t="s">
        <v>863</v>
      </c>
      <c r="D71" s="5" t="s">
        <v>864</v>
      </c>
      <c r="E71" s="5" t="s">
        <v>892</v>
      </c>
      <c r="F71" s="5" t="s">
        <v>1051</v>
      </c>
      <c r="G71" s="5" t="s">
        <v>1052</v>
      </c>
      <c r="H71" s="5" t="n">
        <v>8</v>
      </c>
      <c r="I71" s="5" t="s">
        <v>152</v>
      </c>
      <c r="J71" s="5" t="s">
        <v>153</v>
      </c>
      <c r="K71" s="5" t="s">
        <v>1053</v>
      </c>
      <c r="L71" s="5" t="s">
        <v>30</v>
      </c>
      <c r="M71" s="5" t="s">
        <v>155</v>
      </c>
      <c r="N71" s="5" t="s">
        <v>1041</v>
      </c>
      <c r="O71" s="5" t="s">
        <v>157</v>
      </c>
      <c r="P71" s="5" t="s">
        <v>158</v>
      </c>
      <c r="Q71" s="5" t="s">
        <v>419</v>
      </c>
      <c r="R71" s="5" t="s">
        <v>869</v>
      </c>
      <c r="S71" s="5" t="s">
        <v>870</v>
      </c>
      <c r="T71" s="5" t="s">
        <v>162</v>
      </c>
      <c r="U71" s="5" t="n">
        <v>365</v>
      </c>
      <c r="V71" s="5" t="s">
        <v>871</v>
      </c>
      <c r="W71" s="5" t="s">
        <v>872</v>
      </c>
      <c r="X71" s="5" t="s">
        <v>1054</v>
      </c>
      <c r="Y71" s="5" t="s">
        <v>1055</v>
      </c>
      <c r="Z71" s="5" t="s">
        <v>1056</v>
      </c>
      <c r="AA71" s="5"/>
      <c r="AB71" s="5"/>
      <c r="AC71" s="5"/>
      <c r="AD71" s="5"/>
      <c r="AE71" s="5"/>
      <c r="AF71" s="5" t="s">
        <v>1057</v>
      </c>
      <c r="AG71" s="5" t="s">
        <v>1057</v>
      </c>
      <c r="AH71" s="5" t="s">
        <v>1058</v>
      </c>
      <c r="AI71" s="5"/>
      <c r="AJ71" s="5" t="s">
        <v>1059</v>
      </c>
      <c r="AK71" s="5" t="s">
        <v>1060</v>
      </c>
      <c r="AL71" s="5" t="s">
        <v>1057</v>
      </c>
      <c r="AM71" s="5"/>
      <c r="AN71" s="5" t="s">
        <v>1061</v>
      </c>
      <c r="AO71" s="5"/>
      <c r="AP71" s="5"/>
      <c r="AQ71" s="5" t="s">
        <v>1057</v>
      </c>
      <c r="AR71" s="5" t="s">
        <v>901</v>
      </c>
      <c r="AS71" s="5"/>
      <c r="AT71" s="5"/>
      <c r="AU71" s="5"/>
      <c r="AV71" s="5" t="s">
        <v>178</v>
      </c>
      <c r="AW71" s="5" t="s">
        <v>1062</v>
      </c>
    </row>
    <row r="72" customFormat="false" ht="124.6" hidden="false" customHeight="false" outlineLevel="0" collapsed="false">
      <c r="A72" s="5" t="s">
        <v>1063</v>
      </c>
      <c r="B72" s="5" t="s">
        <v>1064</v>
      </c>
      <c r="C72" s="5" t="s">
        <v>863</v>
      </c>
      <c r="D72" s="5" t="s">
        <v>864</v>
      </c>
      <c r="E72" s="5" t="s">
        <v>892</v>
      </c>
      <c r="F72" s="5" t="s">
        <v>1065</v>
      </c>
      <c r="G72" s="5" t="s">
        <v>1066</v>
      </c>
      <c r="H72" s="5" t="n">
        <v>8</v>
      </c>
      <c r="I72" s="5" t="s">
        <v>152</v>
      </c>
      <c r="J72" s="5" t="s">
        <v>153</v>
      </c>
      <c r="K72" s="5" t="s">
        <v>1067</v>
      </c>
      <c r="L72" s="5" t="s">
        <v>30</v>
      </c>
      <c r="M72" s="5" t="s">
        <v>155</v>
      </c>
      <c r="N72" s="5" t="s">
        <v>846</v>
      </c>
      <c r="O72" s="5" t="s">
        <v>157</v>
      </c>
      <c r="P72" s="5" t="s">
        <v>215</v>
      </c>
      <c r="Q72" s="5" t="s">
        <v>440</v>
      </c>
      <c r="R72" s="5" t="s">
        <v>869</v>
      </c>
      <c r="S72" s="5" t="s">
        <v>870</v>
      </c>
      <c r="T72" s="5" t="s">
        <v>162</v>
      </c>
      <c r="U72" s="5" t="n">
        <v>365</v>
      </c>
      <c r="V72" s="5" t="s">
        <v>871</v>
      </c>
      <c r="W72" s="5" t="s">
        <v>872</v>
      </c>
      <c r="X72" s="5" t="s">
        <v>1068</v>
      </c>
      <c r="Y72" s="5" t="s">
        <v>1069</v>
      </c>
      <c r="Z72" s="5" t="s">
        <v>1070</v>
      </c>
      <c r="AA72" s="5"/>
      <c r="AB72" s="5"/>
      <c r="AC72" s="5"/>
      <c r="AD72" s="5"/>
      <c r="AE72" s="5"/>
      <c r="AF72" s="5"/>
      <c r="AG72" s="5"/>
      <c r="AH72" s="5" t="s">
        <v>1071</v>
      </c>
      <c r="AI72" s="5"/>
      <c r="AJ72" s="5"/>
      <c r="AK72" s="5"/>
      <c r="AL72" s="5"/>
      <c r="AM72" s="5"/>
      <c r="AN72" s="5"/>
      <c r="AO72" s="5"/>
      <c r="AP72" s="5"/>
      <c r="AQ72" s="5"/>
      <c r="AR72" s="5"/>
      <c r="AS72" s="5"/>
      <c r="AT72" s="5"/>
      <c r="AU72" s="5"/>
      <c r="AV72" s="5"/>
      <c r="AW72" s="5" t="s">
        <v>956</v>
      </c>
    </row>
    <row r="73" customFormat="false" ht="124.6" hidden="false" customHeight="false" outlineLevel="0" collapsed="false">
      <c r="A73" s="5" t="s">
        <v>1072</v>
      </c>
      <c r="B73" s="5" t="s">
        <v>1073</v>
      </c>
      <c r="C73" s="5" t="s">
        <v>863</v>
      </c>
      <c r="D73" s="5" t="s">
        <v>864</v>
      </c>
      <c r="E73" s="5" t="s">
        <v>892</v>
      </c>
      <c r="F73" s="5" t="s">
        <v>1074</v>
      </c>
      <c r="G73" s="5" t="s">
        <v>1075</v>
      </c>
      <c r="H73" s="5" t="n">
        <v>5</v>
      </c>
      <c r="I73" s="5" t="s">
        <v>152</v>
      </c>
      <c r="J73" s="5" t="s">
        <v>153</v>
      </c>
      <c r="K73" s="5"/>
      <c r="L73" s="5" t="s">
        <v>30</v>
      </c>
      <c r="M73" s="5" t="s">
        <v>155</v>
      </c>
      <c r="N73" s="5" t="s">
        <v>846</v>
      </c>
      <c r="O73" s="5" t="s">
        <v>157</v>
      </c>
      <c r="P73" s="5" t="s">
        <v>215</v>
      </c>
      <c r="Q73" s="5" t="s">
        <v>440</v>
      </c>
      <c r="R73" s="5" t="s">
        <v>869</v>
      </c>
      <c r="S73" s="5" t="s">
        <v>870</v>
      </c>
      <c r="T73" s="5" t="s">
        <v>162</v>
      </c>
      <c r="U73" s="5" t="n">
        <v>365</v>
      </c>
      <c r="V73" s="5" t="s">
        <v>871</v>
      </c>
      <c r="W73" s="5" t="s">
        <v>872</v>
      </c>
      <c r="X73" s="5" t="s">
        <v>1076</v>
      </c>
      <c r="Y73" s="5" t="s">
        <v>1077</v>
      </c>
      <c r="Z73" s="5" t="s">
        <v>1078</v>
      </c>
      <c r="AA73" s="5"/>
      <c r="AB73" s="5"/>
      <c r="AC73" s="5"/>
      <c r="AD73" s="5"/>
      <c r="AE73" s="5"/>
      <c r="AF73" s="5"/>
      <c r="AG73" s="5"/>
      <c r="AH73" s="5" t="s">
        <v>1079</v>
      </c>
      <c r="AI73" s="5"/>
      <c r="AJ73" s="5"/>
      <c r="AK73" s="5"/>
      <c r="AL73" s="5"/>
      <c r="AM73" s="5"/>
      <c r="AN73" s="5"/>
      <c r="AO73" s="5"/>
      <c r="AP73" s="5"/>
      <c r="AQ73" s="5"/>
      <c r="AR73" s="5"/>
      <c r="AS73" s="5"/>
      <c r="AT73" s="5"/>
      <c r="AU73" s="5"/>
      <c r="AV73" s="5"/>
      <c r="AW73" s="5" t="s">
        <v>956</v>
      </c>
    </row>
    <row r="74" customFormat="false" ht="147" hidden="false" customHeight="false" outlineLevel="0" collapsed="false">
      <c r="A74" s="5" t="s">
        <v>1080</v>
      </c>
      <c r="B74" s="5" t="s">
        <v>1081</v>
      </c>
      <c r="C74" s="5" t="s">
        <v>863</v>
      </c>
      <c r="D74" s="5" t="s">
        <v>864</v>
      </c>
      <c r="E74" s="5" t="s">
        <v>626</v>
      </c>
      <c r="F74" s="5" t="s">
        <v>1082</v>
      </c>
      <c r="G74" s="5" t="s">
        <v>1083</v>
      </c>
      <c r="H74" s="5" t="n">
        <v>9</v>
      </c>
      <c r="I74" s="5" t="s">
        <v>1084</v>
      </c>
      <c r="J74" s="5" t="s">
        <v>153</v>
      </c>
      <c r="K74" s="5"/>
      <c r="L74" s="5" t="s">
        <v>30</v>
      </c>
      <c r="M74" s="5" t="s">
        <v>155</v>
      </c>
      <c r="N74" s="5" t="s">
        <v>994</v>
      </c>
      <c r="O74" s="5" t="s">
        <v>157</v>
      </c>
      <c r="P74" s="5" t="s">
        <v>158</v>
      </c>
      <c r="Q74" s="5" t="s">
        <v>519</v>
      </c>
      <c r="R74" s="5" t="s">
        <v>869</v>
      </c>
      <c r="S74" s="5" t="s">
        <v>870</v>
      </c>
      <c r="T74" s="5" t="s">
        <v>606</v>
      </c>
      <c r="U74" s="5" t="n">
        <v>365</v>
      </c>
      <c r="V74" s="5" t="s">
        <v>871</v>
      </c>
      <c r="W74" s="5" t="s">
        <v>872</v>
      </c>
      <c r="X74" s="5" t="s">
        <v>1085</v>
      </c>
      <c r="Y74" s="5" t="s">
        <v>1086</v>
      </c>
      <c r="Z74" s="5" t="s">
        <v>1087</v>
      </c>
      <c r="AA74" s="5"/>
      <c r="AB74" s="5"/>
      <c r="AC74" s="5"/>
      <c r="AD74" s="5"/>
      <c r="AE74" s="5"/>
      <c r="AF74" s="5" t="s">
        <v>1088</v>
      </c>
      <c r="AG74" s="5" t="s">
        <v>1089</v>
      </c>
      <c r="AH74" s="5"/>
      <c r="AI74" s="5"/>
      <c r="AJ74" s="5"/>
      <c r="AK74" s="5"/>
      <c r="AL74" s="5" t="s">
        <v>1088</v>
      </c>
      <c r="AM74" s="5" t="s">
        <v>1089</v>
      </c>
      <c r="AN74" s="5"/>
      <c r="AO74" s="5"/>
      <c r="AP74" s="5"/>
      <c r="AQ74" s="5" t="s">
        <v>1090</v>
      </c>
      <c r="AR74" s="5" t="s">
        <v>1091</v>
      </c>
      <c r="AS74" s="5"/>
      <c r="AT74" s="5" t="s">
        <v>1092</v>
      </c>
      <c r="AU74" s="5"/>
      <c r="AV74" s="5"/>
      <c r="AW74" s="5" t="s">
        <v>1093</v>
      </c>
    </row>
    <row r="75" customFormat="false" ht="124.6" hidden="false" customHeight="false" outlineLevel="0" collapsed="false">
      <c r="A75" s="5" t="s">
        <v>1094</v>
      </c>
      <c r="B75" s="5" t="s">
        <v>1095</v>
      </c>
      <c r="C75" s="5" t="s">
        <v>863</v>
      </c>
      <c r="D75" s="5" t="s">
        <v>864</v>
      </c>
      <c r="E75" s="5" t="s">
        <v>626</v>
      </c>
      <c r="F75" s="5" t="s">
        <v>1096</v>
      </c>
      <c r="G75" s="5" t="s">
        <v>1097</v>
      </c>
      <c r="H75" s="5" t="n">
        <v>7</v>
      </c>
      <c r="I75" s="5" t="s">
        <v>1084</v>
      </c>
      <c r="J75" s="5" t="s">
        <v>153</v>
      </c>
      <c r="K75" s="5"/>
      <c r="L75" s="5" t="s">
        <v>30</v>
      </c>
      <c r="M75" s="5" t="s">
        <v>155</v>
      </c>
      <c r="N75" s="5" t="s">
        <v>1030</v>
      </c>
      <c r="O75" s="5" t="s">
        <v>157</v>
      </c>
      <c r="P75" s="5" t="s">
        <v>158</v>
      </c>
      <c r="Q75" s="5" t="s">
        <v>519</v>
      </c>
      <c r="R75" s="5" t="s">
        <v>869</v>
      </c>
      <c r="S75" s="5" t="s">
        <v>870</v>
      </c>
      <c r="T75" s="5" t="s">
        <v>606</v>
      </c>
      <c r="U75" s="5" t="n">
        <v>365</v>
      </c>
      <c r="V75" s="5" t="s">
        <v>871</v>
      </c>
      <c r="W75" s="5" t="s">
        <v>872</v>
      </c>
      <c r="X75" s="5" t="s">
        <v>1098</v>
      </c>
      <c r="Y75" s="5" t="s">
        <v>1099</v>
      </c>
      <c r="Z75" s="5" t="s">
        <v>1100</v>
      </c>
      <c r="AA75" s="5"/>
      <c r="AB75" s="5"/>
      <c r="AC75" s="5"/>
      <c r="AD75" s="5"/>
      <c r="AE75" s="5"/>
      <c r="AF75" s="5" t="s">
        <v>1101</v>
      </c>
      <c r="AG75" s="5" t="s">
        <v>1101</v>
      </c>
      <c r="AH75" s="5"/>
      <c r="AI75" s="5"/>
      <c r="AJ75" s="5"/>
      <c r="AK75" s="5"/>
      <c r="AL75" s="5" t="s">
        <v>1101</v>
      </c>
      <c r="AM75" s="5" t="s">
        <v>1101</v>
      </c>
      <c r="AN75" s="5"/>
      <c r="AO75" s="5"/>
      <c r="AP75" s="5"/>
      <c r="AQ75" s="5"/>
      <c r="AR75" s="5" t="s">
        <v>901</v>
      </c>
      <c r="AS75" s="5"/>
      <c r="AT75" s="5"/>
      <c r="AU75" s="5"/>
      <c r="AV75" s="5"/>
      <c r="AW75" s="5" t="s">
        <v>1102</v>
      </c>
    </row>
    <row r="76" customFormat="false" ht="124.6" hidden="false" customHeight="false" outlineLevel="0" collapsed="false">
      <c r="A76" s="5" t="s">
        <v>1103</v>
      </c>
      <c r="B76" s="5" t="s">
        <v>1104</v>
      </c>
      <c r="C76" s="5" t="s">
        <v>863</v>
      </c>
      <c r="D76" s="5" t="s">
        <v>864</v>
      </c>
      <c r="E76" s="5" t="s">
        <v>626</v>
      </c>
      <c r="F76" s="5" t="s">
        <v>1105</v>
      </c>
      <c r="G76" s="5" t="s">
        <v>1106</v>
      </c>
      <c r="H76" s="5" t="n">
        <v>5</v>
      </c>
      <c r="I76" s="5" t="s">
        <v>1084</v>
      </c>
      <c r="J76" s="5" t="s">
        <v>153</v>
      </c>
      <c r="K76" s="5"/>
      <c r="L76" s="5" t="s">
        <v>30</v>
      </c>
      <c r="M76" s="5" t="s">
        <v>155</v>
      </c>
      <c r="N76" s="5" t="s">
        <v>1030</v>
      </c>
      <c r="O76" s="5" t="s">
        <v>157</v>
      </c>
      <c r="P76" s="5" t="s">
        <v>158</v>
      </c>
      <c r="Q76" s="5" t="s">
        <v>519</v>
      </c>
      <c r="R76" s="5" t="s">
        <v>869</v>
      </c>
      <c r="S76" s="5" t="s">
        <v>870</v>
      </c>
      <c r="T76" s="5" t="s">
        <v>606</v>
      </c>
      <c r="U76" s="5" t="n">
        <v>365</v>
      </c>
      <c r="V76" s="5" t="s">
        <v>871</v>
      </c>
      <c r="W76" s="5" t="s">
        <v>872</v>
      </c>
      <c r="X76" s="5" t="s">
        <v>1107</v>
      </c>
      <c r="Y76" s="5" t="s">
        <v>1108</v>
      </c>
      <c r="Z76" s="5" t="s">
        <v>1109</v>
      </c>
      <c r="AA76" s="5"/>
      <c r="AB76" s="5"/>
      <c r="AC76" s="5"/>
      <c r="AD76" s="5"/>
      <c r="AE76" s="5"/>
      <c r="AF76" s="5" t="s">
        <v>1110</v>
      </c>
      <c r="AG76" s="5" t="s">
        <v>1110</v>
      </c>
      <c r="AH76" s="5"/>
      <c r="AI76" s="5"/>
      <c r="AJ76" s="5"/>
      <c r="AK76" s="5"/>
      <c r="AL76" s="5" t="s">
        <v>1110</v>
      </c>
      <c r="AM76" s="5" t="s">
        <v>1110</v>
      </c>
      <c r="AN76" s="5"/>
      <c r="AO76" s="5"/>
      <c r="AP76" s="5"/>
      <c r="AQ76" s="5"/>
      <c r="AR76" s="5" t="s">
        <v>901</v>
      </c>
      <c r="AS76" s="5"/>
      <c r="AT76" s="5"/>
      <c r="AU76" s="5"/>
      <c r="AV76" s="5"/>
      <c r="AW76" s="5" t="s">
        <v>1102</v>
      </c>
    </row>
    <row r="77" customFormat="false" ht="236.55" hidden="false" customHeight="false" outlineLevel="0" collapsed="false">
      <c r="A77" s="5" t="s">
        <v>1111</v>
      </c>
      <c r="B77" s="5" t="s">
        <v>1112</v>
      </c>
      <c r="C77" s="5" t="s">
        <v>863</v>
      </c>
      <c r="D77" s="5" t="s">
        <v>864</v>
      </c>
      <c r="E77" s="5" t="s">
        <v>626</v>
      </c>
      <c r="F77" s="5" t="s">
        <v>1113</v>
      </c>
      <c r="G77" s="5" t="s">
        <v>1114</v>
      </c>
      <c r="H77" s="5" t="n">
        <v>9</v>
      </c>
      <c r="I77" s="5" t="s">
        <v>1084</v>
      </c>
      <c r="J77" s="5" t="s">
        <v>153</v>
      </c>
      <c r="K77" s="5"/>
      <c r="L77" s="5" t="s">
        <v>30</v>
      </c>
      <c r="M77" s="5" t="s">
        <v>155</v>
      </c>
      <c r="N77" s="5" t="s">
        <v>994</v>
      </c>
      <c r="O77" s="5" t="s">
        <v>157</v>
      </c>
      <c r="P77" s="5" t="s">
        <v>158</v>
      </c>
      <c r="Q77" s="5" t="s">
        <v>519</v>
      </c>
      <c r="R77" s="5" t="s">
        <v>869</v>
      </c>
      <c r="S77" s="5" t="s">
        <v>870</v>
      </c>
      <c r="T77" s="5" t="s">
        <v>606</v>
      </c>
      <c r="U77" s="5" t="n">
        <v>365</v>
      </c>
      <c r="V77" s="5" t="s">
        <v>871</v>
      </c>
      <c r="W77" s="5" t="s">
        <v>872</v>
      </c>
      <c r="X77" s="5" t="s">
        <v>1115</v>
      </c>
      <c r="Y77" s="5" t="s">
        <v>1116</v>
      </c>
      <c r="Z77" s="5" t="s">
        <v>1117</v>
      </c>
      <c r="AA77" s="5"/>
      <c r="AB77" s="5"/>
      <c r="AC77" s="5"/>
      <c r="AD77" s="5"/>
      <c r="AE77" s="5"/>
      <c r="AF77" s="5" t="s">
        <v>1118</v>
      </c>
      <c r="AG77" s="5" t="s">
        <v>1119</v>
      </c>
      <c r="AH77" s="5"/>
      <c r="AI77" s="5"/>
      <c r="AJ77" s="5"/>
      <c r="AK77" s="5"/>
      <c r="AL77" s="5" t="s">
        <v>1118</v>
      </c>
      <c r="AM77" s="5" t="s">
        <v>1119</v>
      </c>
      <c r="AN77" s="5"/>
      <c r="AO77" s="5"/>
      <c r="AP77" s="5"/>
      <c r="AQ77" s="5" t="s">
        <v>1090</v>
      </c>
      <c r="AR77" s="5" t="s">
        <v>1091</v>
      </c>
      <c r="AS77" s="5"/>
      <c r="AT77" s="5" t="s">
        <v>1092</v>
      </c>
      <c r="AU77" s="5"/>
      <c r="AV77" s="5"/>
      <c r="AW77" s="5" t="s">
        <v>1120</v>
      </c>
    </row>
    <row r="78" customFormat="false" ht="124.6" hidden="false" customHeight="false" outlineLevel="0" collapsed="false">
      <c r="A78" s="5" t="s">
        <v>1121</v>
      </c>
      <c r="B78" s="5" t="s">
        <v>1122</v>
      </c>
      <c r="C78" s="5" t="s">
        <v>863</v>
      </c>
      <c r="D78" s="5" t="s">
        <v>864</v>
      </c>
      <c r="E78" s="5" t="s">
        <v>626</v>
      </c>
      <c r="F78" s="5" t="s">
        <v>1123</v>
      </c>
      <c r="G78" s="5" t="s">
        <v>1124</v>
      </c>
      <c r="H78" s="5" t="n">
        <v>7</v>
      </c>
      <c r="I78" s="5" t="s">
        <v>1084</v>
      </c>
      <c r="J78" s="5" t="s">
        <v>153</v>
      </c>
      <c r="K78" s="5"/>
      <c r="L78" s="5" t="s">
        <v>30</v>
      </c>
      <c r="M78" s="5" t="s">
        <v>155</v>
      </c>
      <c r="N78" s="5" t="s">
        <v>1030</v>
      </c>
      <c r="O78" s="5" t="s">
        <v>157</v>
      </c>
      <c r="P78" s="5" t="s">
        <v>158</v>
      </c>
      <c r="Q78" s="5" t="s">
        <v>519</v>
      </c>
      <c r="R78" s="5" t="s">
        <v>869</v>
      </c>
      <c r="S78" s="5" t="s">
        <v>870</v>
      </c>
      <c r="T78" s="5" t="s">
        <v>606</v>
      </c>
      <c r="U78" s="5" t="n">
        <v>365</v>
      </c>
      <c r="V78" s="5" t="s">
        <v>871</v>
      </c>
      <c r="W78" s="5" t="s">
        <v>872</v>
      </c>
      <c r="X78" s="5" t="s">
        <v>1125</v>
      </c>
      <c r="Y78" s="5" t="s">
        <v>1126</v>
      </c>
      <c r="Z78" s="5" t="s">
        <v>1127</v>
      </c>
      <c r="AA78" s="5"/>
      <c r="AB78" s="5"/>
      <c r="AC78" s="5"/>
      <c r="AD78" s="5"/>
      <c r="AE78" s="5"/>
      <c r="AF78" s="5" t="s">
        <v>1128</v>
      </c>
      <c r="AG78" s="5" t="s">
        <v>1128</v>
      </c>
      <c r="AH78" s="5"/>
      <c r="AI78" s="5"/>
      <c r="AJ78" s="5"/>
      <c r="AK78" s="5"/>
      <c r="AL78" s="5" t="s">
        <v>1128</v>
      </c>
      <c r="AM78" s="5" t="s">
        <v>1128</v>
      </c>
      <c r="AN78" s="5"/>
      <c r="AO78" s="5"/>
      <c r="AP78" s="5"/>
      <c r="AQ78" s="5"/>
      <c r="AR78" s="5" t="s">
        <v>901</v>
      </c>
      <c r="AS78" s="5"/>
      <c r="AT78" s="5"/>
      <c r="AU78" s="5"/>
      <c r="AV78" s="5"/>
      <c r="AW78" s="5" t="s">
        <v>1102</v>
      </c>
    </row>
    <row r="79" customFormat="false" ht="124.6" hidden="false" customHeight="false" outlineLevel="0" collapsed="false">
      <c r="A79" s="5" t="s">
        <v>1129</v>
      </c>
      <c r="B79" s="5" t="s">
        <v>1130</v>
      </c>
      <c r="C79" s="5" t="s">
        <v>863</v>
      </c>
      <c r="D79" s="5" t="s">
        <v>864</v>
      </c>
      <c r="E79" s="5" t="s">
        <v>892</v>
      </c>
      <c r="F79" s="5" t="s">
        <v>1131</v>
      </c>
      <c r="G79" s="5" t="s">
        <v>1132</v>
      </c>
      <c r="H79" s="5" t="n">
        <v>5</v>
      </c>
      <c r="I79" s="5" t="s">
        <v>1084</v>
      </c>
      <c r="J79" s="5" t="s">
        <v>153</v>
      </c>
      <c r="K79" s="5"/>
      <c r="L79" s="5" t="s">
        <v>30</v>
      </c>
      <c r="M79" s="5" t="s">
        <v>155</v>
      </c>
      <c r="N79" s="5" t="s">
        <v>1030</v>
      </c>
      <c r="O79" s="5" t="s">
        <v>157</v>
      </c>
      <c r="P79" s="5" t="s">
        <v>158</v>
      </c>
      <c r="Q79" s="5" t="s">
        <v>519</v>
      </c>
      <c r="R79" s="5" t="s">
        <v>869</v>
      </c>
      <c r="S79" s="5" t="s">
        <v>870</v>
      </c>
      <c r="T79" s="5" t="s">
        <v>606</v>
      </c>
      <c r="U79" s="5" t="n">
        <v>365</v>
      </c>
      <c r="V79" s="5" t="s">
        <v>871</v>
      </c>
      <c r="W79" s="5" t="s">
        <v>872</v>
      </c>
      <c r="X79" s="5" t="s">
        <v>1133</v>
      </c>
      <c r="Y79" s="5" t="s">
        <v>1134</v>
      </c>
      <c r="Z79" s="5" t="s">
        <v>1135</v>
      </c>
      <c r="AA79" s="5"/>
      <c r="AB79" s="5"/>
      <c r="AC79" s="5"/>
      <c r="AD79" s="5"/>
      <c r="AE79" s="5"/>
      <c r="AF79" s="5" t="s">
        <v>1136</v>
      </c>
      <c r="AG79" s="5" t="s">
        <v>1136</v>
      </c>
      <c r="AH79" s="5"/>
      <c r="AI79" s="5"/>
      <c r="AJ79" s="5"/>
      <c r="AK79" s="5"/>
      <c r="AL79" s="5" t="s">
        <v>1136</v>
      </c>
      <c r="AM79" s="5" t="s">
        <v>1136</v>
      </c>
      <c r="AN79" s="5"/>
      <c r="AO79" s="5"/>
      <c r="AP79" s="5"/>
      <c r="AQ79" s="5"/>
      <c r="AR79" s="5" t="s">
        <v>901</v>
      </c>
      <c r="AS79" s="5"/>
      <c r="AT79" s="5"/>
      <c r="AU79" s="5"/>
      <c r="AV79" s="5"/>
      <c r="AW79" s="5" t="s">
        <v>1102</v>
      </c>
    </row>
    <row r="80" customFormat="false" ht="135.8" hidden="false" customHeight="false" outlineLevel="0" collapsed="false">
      <c r="A80" s="5" t="s">
        <v>1137</v>
      </c>
      <c r="B80" s="5" t="s">
        <v>1138</v>
      </c>
      <c r="C80" s="5" t="s">
        <v>863</v>
      </c>
      <c r="D80" s="5" t="s">
        <v>864</v>
      </c>
      <c r="E80" s="5" t="s">
        <v>892</v>
      </c>
      <c r="F80" s="5" t="s">
        <v>1139</v>
      </c>
      <c r="G80" s="5" t="s">
        <v>1140</v>
      </c>
      <c r="H80" s="5" t="n">
        <v>6</v>
      </c>
      <c r="I80" s="5" t="s">
        <v>1084</v>
      </c>
      <c r="J80" s="5" t="s">
        <v>153</v>
      </c>
      <c r="K80" s="5" t="s">
        <v>1141</v>
      </c>
      <c r="L80" s="5" t="s">
        <v>30</v>
      </c>
      <c r="M80" s="5" t="s">
        <v>155</v>
      </c>
      <c r="N80" s="5" t="s">
        <v>1030</v>
      </c>
      <c r="O80" s="5" t="s">
        <v>157</v>
      </c>
      <c r="P80" s="5" t="s">
        <v>158</v>
      </c>
      <c r="Q80" s="5" t="s">
        <v>419</v>
      </c>
      <c r="R80" s="5" t="s">
        <v>869</v>
      </c>
      <c r="S80" s="5" t="s">
        <v>870</v>
      </c>
      <c r="T80" s="5" t="s">
        <v>606</v>
      </c>
      <c r="U80" s="5" t="n">
        <v>365</v>
      </c>
      <c r="V80" s="5" t="s">
        <v>871</v>
      </c>
      <c r="W80" s="5" t="s">
        <v>872</v>
      </c>
      <c r="X80" s="5" t="s">
        <v>1142</v>
      </c>
      <c r="Y80" s="5" t="s">
        <v>1143</v>
      </c>
      <c r="Z80" s="5" t="s">
        <v>1144</v>
      </c>
      <c r="AA80" s="5"/>
      <c r="AB80" s="5"/>
      <c r="AC80" s="5"/>
      <c r="AD80" s="5"/>
      <c r="AE80" s="5"/>
      <c r="AF80" s="5" t="s">
        <v>1145</v>
      </c>
      <c r="AG80" s="5" t="s">
        <v>1145</v>
      </c>
      <c r="AH80" s="5"/>
      <c r="AI80" s="5"/>
      <c r="AJ80" s="5"/>
      <c r="AK80" s="5"/>
      <c r="AL80" s="5" t="s">
        <v>1145</v>
      </c>
      <c r="AM80" s="5" t="s">
        <v>1145</v>
      </c>
      <c r="AN80" s="5"/>
      <c r="AO80" s="5"/>
      <c r="AP80" s="5"/>
      <c r="AQ80" s="5"/>
      <c r="AR80" s="5" t="s">
        <v>901</v>
      </c>
      <c r="AS80" s="5"/>
      <c r="AT80" s="5"/>
      <c r="AU80" s="5"/>
      <c r="AV80" s="5"/>
      <c r="AW80" s="5" t="s">
        <v>1146</v>
      </c>
    </row>
    <row r="81" customFormat="false" ht="225.35" hidden="false" customHeight="false" outlineLevel="0" collapsed="false">
      <c r="A81" s="5" t="s">
        <v>1147</v>
      </c>
      <c r="B81" s="5" t="s">
        <v>1148</v>
      </c>
      <c r="C81" s="5" t="s">
        <v>863</v>
      </c>
      <c r="D81" s="5" t="s">
        <v>864</v>
      </c>
      <c r="E81" s="5" t="s">
        <v>892</v>
      </c>
      <c r="F81" s="5" t="s">
        <v>1149</v>
      </c>
      <c r="G81" s="5" t="s">
        <v>1150</v>
      </c>
      <c r="H81" s="5" t="n">
        <v>6</v>
      </c>
      <c r="I81" s="5" t="s">
        <v>1084</v>
      </c>
      <c r="J81" s="5" t="s">
        <v>153</v>
      </c>
      <c r="K81" s="5"/>
      <c r="L81" s="5" t="s">
        <v>30</v>
      </c>
      <c r="M81" s="5" t="s">
        <v>155</v>
      </c>
      <c r="N81" s="5" t="s">
        <v>1030</v>
      </c>
      <c r="O81" s="5" t="s">
        <v>157</v>
      </c>
      <c r="P81" s="5" t="s">
        <v>158</v>
      </c>
      <c r="Q81" s="5" t="s">
        <v>519</v>
      </c>
      <c r="R81" s="5" t="s">
        <v>869</v>
      </c>
      <c r="S81" s="5" t="s">
        <v>870</v>
      </c>
      <c r="T81" s="5" t="s">
        <v>606</v>
      </c>
      <c r="U81" s="5" t="n">
        <v>365</v>
      </c>
      <c r="V81" s="5" t="s">
        <v>871</v>
      </c>
      <c r="W81" s="5" t="s">
        <v>872</v>
      </c>
      <c r="X81" s="5" t="s">
        <v>1151</v>
      </c>
      <c r="Y81" s="5" t="s">
        <v>1152</v>
      </c>
      <c r="Z81" s="5" t="s">
        <v>1153</v>
      </c>
      <c r="AA81" s="5"/>
      <c r="AB81" s="5"/>
      <c r="AC81" s="5"/>
      <c r="AD81" s="5"/>
      <c r="AE81" s="5"/>
      <c r="AF81" s="5" t="s">
        <v>1154</v>
      </c>
      <c r="AG81" s="5" t="s">
        <v>1155</v>
      </c>
      <c r="AH81" s="5"/>
      <c r="AI81" s="5"/>
      <c r="AJ81" s="5"/>
      <c r="AK81" s="5"/>
      <c r="AL81" s="5" t="s">
        <v>1154</v>
      </c>
      <c r="AM81" s="5" t="s">
        <v>1155</v>
      </c>
      <c r="AN81" s="5"/>
      <c r="AO81" s="5"/>
      <c r="AP81" s="5"/>
      <c r="AQ81" s="5"/>
      <c r="AR81" s="5" t="s">
        <v>901</v>
      </c>
      <c r="AS81" s="5"/>
      <c r="AT81" s="5"/>
      <c r="AU81" s="5"/>
      <c r="AV81" s="5"/>
      <c r="AW81" s="5" t="s">
        <v>1156</v>
      </c>
    </row>
    <row r="82" customFormat="false" ht="158.2" hidden="false" customHeight="false" outlineLevel="0" collapsed="false">
      <c r="A82" s="5" t="s">
        <v>1157</v>
      </c>
      <c r="B82" s="5" t="s">
        <v>1158</v>
      </c>
      <c r="C82" s="5" t="s">
        <v>863</v>
      </c>
      <c r="D82" s="5" t="s">
        <v>864</v>
      </c>
      <c r="E82" s="5" t="s">
        <v>892</v>
      </c>
      <c r="F82" s="5" t="s">
        <v>1159</v>
      </c>
      <c r="G82" s="5" t="s">
        <v>1160</v>
      </c>
      <c r="H82" s="5" t="n">
        <v>6</v>
      </c>
      <c r="I82" s="5" t="s">
        <v>1084</v>
      </c>
      <c r="J82" s="5" t="s">
        <v>153</v>
      </c>
      <c r="K82" s="5" t="s">
        <v>1141</v>
      </c>
      <c r="L82" s="5" t="s">
        <v>30</v>
      </c>
      <c r="M82" s="5" t="s">
        <v>155</v>
      </c>
      <c r="N82" s="5" t="s">
        <v>1030</v>
      </c>
      <c r="O82" s="5" t="s">
        <v>157</v>
      </c>
      <c r="P82" s="5" t="s">
        <v>158</v>
      </c>
      <c r="Q82" s="5" t="s">
        <v>519</v>
      </c>
      <c r="R82" s="5" t="s">
        <v>869</v>
      </c>
      <c r="S82" s="5" t="s">
        <v>870</v>
      </c>
      <c r="T82" s="5" t="s">
        <v>606</v>
      </c>
      <c r="U82" s="5" t="n">
        <v>365</v>
      </c>
      <c r="V82" s="5" t="s">
        <v>871</v>
      </c>
      <c r="W82" s="5" t="s">
        <v>872</v>
      </c>
      <c r="X82" s="5" t="s">
        <v>1161</v>
      </c>
      <c r="Y82" s="5" t="s">
        <v>1162</v>
      </c>
      <c r="Z82" s="5" t="s">
        <v>1163</v>
      </c>
      <c r="AA82" s="5"/>
      <c r="AB82" s="5"/>
      <c r="AC82" s="5"/>
      <c r="AD82" s="5"/>
      <c r="AE82" s="5"/>
      <c r="AF82" s="5" t="s">
        <v>1164</v>
      </c>
      <c r="AG82" s="5" t="s">
        <v>1164</v>
      </c>
      <c r="AH82" s="5"/>
      <c r="AI82" s="5"/>
      <c r="AJ82" s="5"/>
      <c r="AK82" s="5"/>
      <c r="AL82" s="5" t="s">
        <v>1164</v>
      </c>
      <c r="AM82" s="5" t="s">
        <v>1164</v>
      </c>
      <c r="AN82" s="5"/>
      <c r="AO82" s="5"/>
      <c r="AP82" s="5"/>
      <c r="AQ82" s="5"/>
      <c r="AR82" s="5" t="s">
        <v>901</v>
      </c>
      <c r="AS82" s="5"/>
      <c r="AT82" s="5"/>
      <c r="AU82" s="5"/>
      <c r="AV82" s="5"/>
      <c r="AW82" s="5" t="s">
        <v>1146</v>
      </c>
    </row>
    <row r="83" customFormat="false" ht="191.75" hidden="false" customHeight="false" outlineLevel="0" collapsed="false">
      <c r="A83" s="5" t="s">
        <v>1165</v>
      </c>
      <c r="B83" s="5" t="s">
        <v>1166</v>
      </c>
      <c r="C83" s="5" t="s">
        <v>863</v>
      </c>
      <c r="D83" s="5" t="s">
        <v>864</v>
      </c>
      <c r="E83" s="5" t="s">
        <v>626</v>
      </c>
      <c r="F83" s="5" t="s">
        <v>1167</v>
      </c>
      <c r="G83" s="5" t="s">
        <v>1168</v>
      </c>
      <c r="H83" s="5" t="n">
        <v>10</v>
      </c>
      <c r="I83" s="5" t="s">
        <v>603</v>
      </c>
      <c r="J83" s="5" t="s">
        <v>557</v>
      </c>
      <c r="K83" s="5" t="s">
        <v>1169</v>
      </c>
      <c r="L83" s="5" t="s">
        <v>30</v>
      </c>
      <c r="M83" s="5" t="s">
        <v>155</v>
      </c>
      <c r="N83" s="5" t="s">
        <v>1170</v>
      </c>
      <c r="O83" s="5" t="s">
        <v>570</v>
      </c>
      <c r="P83" s="5" t="s">
        <v>158</v>
      </c>
      <c r="Q83" s="5" t="s">
        <v>440</v>
      </c>
      <c r="R83" s="5" t="s">
        <v>869</v>
      </c>
      <c r="S83" s="5" t="s">
        <v>870</v>
      </c>
      <c r="T83" s="5" t="s">
        <v>606</v>
      </c>
      <c r="U83" s="5" t="n">
        <v>90</v>
      </c>
      <c r="V83" s="5" t="s">
        <v>871</v>
      </c>
      <c r="W83" s="5" t="s">
        <v>1171</v>
      </c>
      <c r="X83" s="5" t="s">
        <v>1172</v>
      </c>
      <c r="Y83" s="5" t="s">
        <v>1173</v>
      </c>
      <c r="Z83" s="5" t="s">
        <v>1174</v>
      </c>
      <c r="AA83" s="5" t="s">
        <v>1175</v>
      </c>
      <c r="AB83" s="5" t="s">
        <v>1176</v>
      </c>
      <c r="AC83" s="5"/>
      <c r="AD83" s="5" t="s">
        <v>1177</v>
      </c>
      <c r="AE83" s="5"/>
      <c r="AF83" s="5" t="s">
        <v>1178</v>
      </c>
      <c r="AG83" s="5" t="s">
        <v>1179</v>
      </c>
      <c r="AH83" s="5" t="s">
        <v>1180</v>
      </c>
      <c r="AI83" s="5" t="s">
        <v>1181</v>
      </c>
      <c r="AJ83" s="5" t="s">
        <v>1182</v>
      </c>
      <c r="AK83" s="5" t="s">
        <v>1183</v>
      </c>
      <c r="AL83" s="5" t="s">
        <v>1178</v>
      </c>
      <c r="AM83" s="5"/>
      <c r="AN83" s="5"/>
      <c r="AO83" s="5"/>
      <c r="AP83" s="5" t="s">
        <v>1184</v>
      </c>
      <c r="AQ83" s="5" t="s">
        <v>1185</v>
      </c>
      <c r="AR83" s="5" t="s">
        <v>1186</v>
      </c>
      <c r="AS83" s="5"/>
      <c r="AT83" s="5" t="s">
        <v>1187</v>
      </c>
      <c r="AU83" s="5"/>
      <c r="AV83" s="5" t="s">
        <v>178</v>
      </c>
      <c r="AW83" s="5" t="s">
        <v>1188</v>
      </c>
    </row>
    <row r="84" customFormat="false" ht="135.8" hidden="false" customHeight="false" outlineLevel="0" collapsed="false">
      <c r="A84" s="5" t="s">
        <v>1189</v>
      </c>
      <c r="B84" s="5" t="s">
        <v>1190</v>
      </c>
      <c r="C84" s="5" t="s">
        <v>863</v>
      </c>
      <c r="D84" s="5" t="s">
        <v>864</v>
      </c>
      <c r="E84" s="5" t="s">
        <v>892</v>
      </c>
      <c r="F84" s="5" t="s">
        <v>1191</v>
      </c>
      <c r="G84" s="5" t="s">
        <v>1192</v>
      </c>
      <c r="H84" s="5" t="n">
        <v>9</v>
      </c>
      <c r="I84" s="5" t="s">
        <v>152</v>
      </c>
      <c r="J84" s="5" t="s">
        <v>153</v>
      </c>
      <c r="K84" s="5" t="s">
        <v>1193</v>
      </c>
      <c r="L84" s="5" t="s">
        <v>30</v>
      </c>
      <c r="M84" s="5" t="s">
        <v>155</v>
      </c>
      <c r="N84" s="5" t="s">
        <v>1194</v>
      </c>
      <c r="O84" s="5" t="s">
        <v>570</v>
      </c>
      <c r="P84" s="5" t="s">
        <v>158</v>
      </c>
      <c r="Q84" s="5" t="s">
        <v>440</v>
      </c>
      <c r="R84" s="5" t="s">
        <v>869</v>
      </c>
      <c r="S84" s="5" t="s">
        <v>870</v>
      </c>
      <c r="T84" s="5" t="s">
        <v>162</v>
      </c>
      <c r="U84" s="5" t="n">
        <v>365</v>
      </c>
      <c r="V84" s="5" t="s">
        <v>871</v>
      </c>
      <c r="W84" s="5" t="s">
        <v>1171</v>
      </c>
      <c r="X84" s="5" t="s">
        <v>1195</v>
      </c>
      <c r="Y84" s="5" t="s">
        <v>1196</v>
      </c>
      <c r="Z84" s="5" t="s">
        <v>1197</v>
      </c>
      <c r="AA84" s="5"/>
      <c r="AB84" s="5"/>
      <c r="AC84" s="5"/>
      <c r="AD84" s="5" t="s">
        <v>1198</v>
      </c>
      <c r="AE84" s="5"/>
      <c r="AF84" s="5" t="s">
        <v>1199</v>
      </c>
      <c r="AG84" s="5" t="s">
        <v>1199</v>
      </c>
      <c r="AH84" s="5" t="s">
        <v>1200</v>
      </c>
      <c r="AI84" s="5" t="s">
        <v>1181</v>
      </c>
      <c r="AJ84" s="5" t="s">
        <v>1201</v>
      </c>
      <c r="AK84" s="5" t="s">
        <v>1183</v>
      </c>
      <c r="AL84" s="5" t="s">
        <v>1199</v>
      </c>
      <c r="AM84" s="5" t="s">
        <v>1199</v>
      </c>
      <c r="AN84" s="5"/>
      <c r="AO84" s="5"/>
      <c r="AP84" s="5"/>
      <c r="AQ84" s="5"/>
      <c r="AR84" s="5" t="s">
        <v>901</v>
      </c>
      <c r="AS84" s="5"/>
      <c r="AT84" s="5" t="s">
        <v>1187</v>
      </c>
      <c r="AU84" s="5"/>
      <c r="AV84" s="5" t="s">
        <v>178</v>
      </c>
      <c r="AW84" s="5" t="s">
        <v>1202</v>
      </c>
    </row>
    <row r="85" customFormat="false" ht="147" hidden="false" customHeight="false" outlineLevel="0" collapsed="false">
      <c r="A85" s="5" t="s">
        <v>1203</v>
      </c>
      <c r="B85" s="5" t="s">
        <v>1204</v>
      </c>
      <c r="C85" s="5" t="s">
        <v>863</v>
      </c>
      <c r="D85" s="5" t="s">
        <v>864</v>
      </c>
      <c r="E85" s="5" t="s">
        <v>626</v>
      </c>
      <c r="F85" s="5" t="s">
        <v>1205</v>
      </c>
      <c r="G85" s="5" t="s">
        <v>1206</v>
      </c>
      <c r="H85" s="5" t="n">
        <v>8</v>
      </c>
      <c r="I85" s="5" t="s">
        <v>152</v>
      </c>
      <c r="J85" s="5" t="s">
        <v>153</v>
      </c>
      <c r="K85" s="5" t="s">
        <v>1207</v>
      </c>
      <c r="L85" s="5" t="s">
        <v>30</v>
      </c>
      <c r="M85" s="5" t="s">
        <v>155</v>
      </c>
      <c r="N85" s="5" t="s">
        <v>1208</v>
      </c>
      <c r="O85" s="5" t="s">
        <v>157</v>
      </c>
      <c r="P85" s="5" t="s">
        <v>158</v>
      </c>
      <c r="Q85" s="5" t="s">
        <v>519</v>
      </c>
      <c r="R85" s="5" t="s">
        <v>869</v>
      </c>
      <c r="S85" s="5" t="s">
        <v>870</v>
      </c>
      <c r="T85" s="5" t="s">
        <v>162</v>
      </c>
      <c r="U85" s="5" t="n">
        <v>365</v>
      </c>
      <c r="V85" s="5" t="s">
        <v>871</v>
      </c>
      <c r="W85" s="5" t="s">
        <v>1171</v>
      </c>
      <c r="X85" s="5" t="s">
        <v>1209</v>
      </c>
      <c r="Y85" s="5" t="s">
        <v>1210</v>
      </c>
      <c r="Z85" s="5" t="s">
        <v>1211</v>
      </c>
      <c r="AA85" s="5" t="s">
        <v>1212</v>
      </c>
      <c r="AB85" s="5" t="s">
        <v>1213</v>
      </c>
      <c r="AC85" s="5"/>
      <c r="AD85" s="5"/>
      <c r="AE85" s="5"/>
      <c r="AF85" s="5" t="s">
        <v>1214</v>
      </c>
      <c r="AG85" s="5"/>
      <c r="AH85" s="5"/>
      <c r="AI85" s="5" t="s">
        <v>1181</v>
      </c>
      <c r="AJ85" s="5" t="s">
        <v>1215</v>
      </c>
      <c r="AK85" s="5"/>
      <c r="AL85" s="5" t="s">
        <v>1214</v>
      </c>
      <c r="AM85" s="5"/>
      <c r="AN85" s="5"/>
      <c r="AO85" s="5"/>
      <c r="AP85" s="5"/>
      <c r="AQ85" s="5"/>
      <c r="AR85" s="5" t="s">
        <v>901</v>
      </c>
      <c r="AS85" s="5"/>
      <c r="AT85" s="5" t="s">
        <v>1187</v>
      </c>
      <c r="AU85" s="5"/>
      <c r="AV85" s="5"/>
      <c r="AW85" s="5" t="s">
        <v>1216</v>
      </c>
    </row>
    <row r="86" customFormat="false" ht="147" hidden="false" customHeight="false" outlineLevel="0" collapsed="false">
      <c r="A86" s="5" t="s">
        <v>1217</v>
      </c>
      <c r="B86" s="5" t="s">
        <v>1218</v>
      </c>
      <c r="C86" s="5" t="s">
        <v>863</v>
      </c>
      <c r="D86" s="5" t="s">
        <v>864</v>
      </c>
      <c r="E86" s="5" t="s">
        <v>626</v>
      </c>
      <c r="F86" s="5" t="s">
        <v>1219</v>
      </c>
      <c r="G86" s="5" t="s">
        <v>1220</v>
      </c>
      <c r="H86" s="5" t="n">
        <v>9</v>
      </c>
      <c r="I86" s="5" t="s">
        <v>1221</v>
      </c>
      <c r="J86" s="5" t="s">
        <v>153</v>
      </c>
      <c r="K86" s="5" t="s">
        <v>1222</v>
      </c>
      <c r="L86" s="5" t="s">
        <v>30</v>
      </c>
      <c r="M86" s="5" t="s">
        <v>155</v>
      </c>
      <c r="N86" s="5" t="s">
        <v>1223</v>
      </c>
      <c r="O86" s="5" t="s">
        <v>157</v>
      </c>
      <c r="P86" s="5" t="s">
        <v>158</v>
      </c>
      <c r="Q86" s="5" t="s">
        <v>440</v>
      </c>
      <c r="R86" s="5" t="s">
        <v>869</v>
      </c>
      <c r="S86" s="5" t="s">
        <v>870</v>
      </c>
      <c r="T86" s="5" t="s">
        <v>277</v>
      </c>
      <c r="U86" s="5" t="n">
        <v>365</v>
      </c>
      <c r="V86" s="5" t="s">
        <v>871</v>
      </c>
      <c r="W86" s="5" t="s">
        <v>1171</v>
      </c>
      <c r="X86" s="5" t="s">
        <v>1224</v>
      </c>
      <c r="Y86" s="5" t="s">
        <v>1225</v>
      </c>
      <c r="Z86" s="5" t="s">
        <v>1226</v>
      </c>
      <c r="AA86" s="5" t="s">
        <v>1212</v>
      </c>
      <c r="AB86" s="5"/>
      <c r="AC86" s="5"/>
      <c r="AD86" s="5"/>
      <c r="AE86" s="5"/>
      <c r="AF86" s="5" t="s">
        <v>1227</v>
      </c>
      <c r="AG86" s="5" t="s">
        <v>1227</v>
      </c>
      <c r="AH86" s="5"/>
      <c r="AI86" s="5"/>
      <c r="AJ86" s="5" t="s">
        <v>1228</v>
      </c>
      <c r="AK86" s="5"/>
      <c r="AL86" s="5" t="s">
        <v>1227</v>
      </c>
      <c r="AM86" s="5" t="s">
        <v>1227</v>
      </c>
      <c r="AN86" s="5"/>
      <c r="AO86" s="5"/>
      <c r="AP86" s="5"/>
      <c r="AQ86" s="5" t="s">
        <v>1229</v>
      </c>
      <c r="AR86" s="5" t="s">
        <v>1186</v>
      </c>
      <c r="AS86" s="5"/>
      <c r="AT86" s="5" t="s">
        <v>1187</v>
      </c>
      <c r="AU86" s="5"/>
      <c r="AV86" s="5" t="s">
        <v>178</v>
      </c>
      <c r="AW86" s="5" t="s">
        <v>1230</v>
      </c>
    </row>
    <row r="87" customFormat="false" ht="124.6" hidden="false" customHeight="false" outlineLevel="0" collapsed="false">
      <c r="A87" s="5" t="s">
        <v>1231</v>
      </c>
      <c r="B87" s="5" t="s">
        <v>1232</v>
      </c>
      <c r="C87" s="5" t="s">
        <v>863</v>
      </c>
      <c r="D87" s="5" t="s">
        <v>864</v>
      </c>
      <c r="E87" s="5" t="s">
        <v>626</v>
      </c>
      <c r="F87" s="5" t="s">
        <v>1233</v>
      </c>
      <c r="G87" s="5" t="s">
        <v>1234</v>
      </c>
      <c r="H87" s="5" t="n">
        <v>5</v>
      </c>
      <c r="I87" s="5" t="s">
        <v>1221</v>
      </c>
      <c r="J87" s="5" t="s">
        <v>153</v>
      </c>
      <c r="K87" s="5" t="s">
        <v>1235</v>
      </c>
      <c r="L87" s="5" t="s">
        <v>30</v>
      </c>
      <c r="M87" s="5" t="s">
        <v>155</v>
      </c>
      <c r="N87" s="5" t="s">
        <v>1236</v>
      </c>
      <c r="O87" s="5" t="s">
        <v>157</v>
      </c>
      <c r="P87" s="5" t="s">
        <v>158</v>
      </c>
      <c r="Q87" s="5" t="s">
        <v>451</v>
      </c>
      <c r="R87" s="5" t="s">
        <v>869</v>
      </c>
      <c r="S87" s="5" t="s">
        <v>870</v>
      </c>
      <c r="T87" s="5" t="s">
        <v>277</v>
      </c>
      <c r="U87" s="5" t="n">
        <v>365</v>
      </c>
      <c r="V87" s="5" t="s">
        <v>871</v>
      </c>
      <c r="W87" s="5" t="s">
        <v>1171</v>
      </c>
      <c r="X87" s="5" t="s">
        <v>1237</v>
      </c>
      <c r="Y87" s="5" t="s">
        <v>1238</v>
      </c>
      <c r="Z87" s="5" t="s">
        <v>1239</v>
      </c>
      <c r="AA87" s="5" t="s">
        <v>1240</v>
      </c>
      <c r="AB87" s="5" t="s">
        <v>1241</v>
      </c>
      <c r="AC87" s="5"/>
      <c r="AD87" s="5"/>
      <c r="AE87" s="5"/>
      <c r="AF87" s="5" t="s">
        <v>1242</v>
      </c>
      <c r="AG87" s="5"/>
      <c r="AH87" s="5"/>
      <c r="AI87" s="5"/>
      <c r="AJ87" s="5"/>
      <c r="AK87" s="5" t="s">
        <v>1183</v>
      </c>
      <c r="AL87" s="5" t="s">
        <v>1242</v>
      </c>
      <c r="AM87" s="5"/>
      <c r="AN87" s="5"/>
      <c r="AO87" s="5"/>
      <c r="AP87" s="5"/>
      <c r="AQ87" s="5"/>
      <c r="AR87" s="5" t="s">
        <v>901</v>
      </c>
      <c r="AS87" s="5"/>
      <c r="AT87" s="5"/>
      <c r="AU87" s="5"/>
      <c r="AV87" s="5" t="s">
        <v>178</v>
      </c>
      <c r="AW87" s="5" t="s">
        <v>1202</v>
      </c>
    </row>
    <row r="88" customFormat="false" ht="135.8" hidden="false" customHeight="false" outlineLevel="0" collapsed="false">
      <c r="A88" s="5" t="s">
        <v>1243</v>
      </c>
      <c r="B88" s="5" t="s">
        <v>1244</v>
      </c>
      <c r="C88" s="5" t="s">
        <v>863</v>
      </c>
      <c r="D88" s="5" t="s">
        <v>864</v>
      </c>
      <c r="E88" s="5" t="s">
        <v>626</v>
      </c>
      <c r="F88" s="5" t="s">
        <v>1245</v>
      </c>
      <c r="G88" s="5" t="s">
        <v>1246</v>
      </c>
      <c r="H88" s="5" t="n">
        <v>5</v>
      </c>
      <c r="I88" s="5" t="s">
        <v>152</v>
      </c>
      <c r="J88" s="5" t="s">
        <v>153</v>
      </c>
      <c r="K88" s="5" t="s">
        <v>1247</v>
      </c>
      <c r="L88" s="5" t="s">
        <v>55</v>
      </c>
      <c r="M88" s="5" t="s">
        <v>185</v>
      </c>
      <c r="N88" s="5" t="s">
        <v>54</v>
      </c>
      <c r="O88" s="5" t="s">
        <v>187</v>
      </c>
      <c r="P88" s="5" t="s">
        <v>158</v>
      </c>
      <c r="Q88" s="5" t="s">
        <v>440</v>
      </c>
      <c r="R88" s="5" t="s">
        <v>869</v>
      </c>
      <c r="S88" s="5" t="s">
        <v>870</v>
      </c>
      <c r="T88" s="5" t="s">
        <v>162</v>
      </c>
      <c r="U88" s="5" t="n">
        <v>365</v>
      </c>
      <c r="V88" s="5" t="s">
        <v>871</v>
      </c>
      <c r="W88" s="5" t="s">
        <v>1171</v>
      </c>
      <c r="X88" s="5" t="s">
        <v>1248</v>
      </c>
      <c r="Y88" s="5" t="s">
        <v>1249</v>
      </c>
      <c r="Z88" s="5" t="s">
        <v>1250</v>
      </c>
      <c r="AA88" s="5"/>
      <c r="AB88" s="5"/>
      <c r="AC88" s="5"/>
      <c r="AD88" s="5"/>
      <c r="AE88" s="5"/>
      <c r="AF88" s="5" t="s">
        <v>1251</v>
      </c>
      <c r="AG88" s="5"/>
      <c r="AH88" s="5"/>
      <c r="AI88" s="5"/>
      <c r="AJ88" s="5"/>
      <c r="AK88" s="5" t="s">
        <v>1183</v>
      </c>
      <c r="AL88" s="5" t="s">
        <v>1251</v>
      </c>
      <c r="AM88" s="5"/>
      <c r="AN88" s="5"/>
      <c r="AO88" s="5"/>
      <c r="AP88" s="5"/>
      <c r="AQ88" s="5"/>
      <c r="AR88" s="5" t="s">
        <v>901</v>
      </c>
      <c r="AS88" s="5"/>
      <c r="AT88" s="5"/>
      <c r="AU88" s="5"/>
      <c r="AV88" s="5" t="s">
        <v>178</v>
      </c>
      <c r="AW88" s="5" t="s">
        <v>1252</v>
      </c>
    </row>
    <row r="89" customFormat="false" ht="124.6" hidden="false" customHeight="false" outlineLevel="0" collapsed="false">
      <c r="A89" s="5" t="s">
        <v>1253</v>
      </c>
      <c r="B89" s="5" t="s">
        <v>1254</v>
      </c>
      <c r="C89" s="5" t="s">
        <v>863</v>
      </c>
      <c r="D89" s="5" t="s">
        <v>864</v>
      </c>
      <c r="E89" s="5" t="s">
        <v>626</v>
      </c>
      <c r="F89" s="5" t="s">
        <v>1255</v>
      </c>
      <c r="G89" s="5" t="s">
        <v>1256</v>
      </c>
      <c r="H89" s="5" t="n">
        <v>9</v>
      </c>
      <c r="I89" s="5" t="s">
        <v>1221</v>
      </c>
      <c r="J89" s="5" t="s">
        <v>153</v>
      </c>
      <c r="K89" s="5"/>
      <c r="L89" s="5" t="s">
        <v>55</v>
      </c>
      <c r="M89" s="5" t="s">
        <v>185</v>
      </c>
      <c r="N89" s="5" t="s">
        <v>439</v>
      </c>
      <c r="O89" s="5" t="s">
        <v>187</v>
      </c>
      <c r="P89" s="5" t="s">
        <v>215</v>
      </c>
      <c r="Q89" s="5" t="s">
        <v>440</v>
      </c>
      <c r="R89" s="5" t="s">
        <v>869</v>
      </c>
      <c r="S89" s="5" t="s">
        <v>870</v>
      </c>
      <c r="T89" s="5" t="s">
        <v>277</v>
      </c>
      <c r="U89" s="5" t="n">
        <v>365</v>
      </c>
      <c r="V89" s="5" t="s">
        <v>871</v>
      </c>
      <c r="W89" s="5" t="s">
        <v>1171</v>
      </c>
      <c r="X89" s="5" t="s">
        <v>1257</v>
      </c>
      <c r="Y89" s="5" t="s">
        <v>1258</v>
      </c>
      <c r="Z89" s="5" t="s">
        <v>1259</v>
      </c>
      <c r="AA89" s="5"/>
      <c r="AB89" s="5"/>
      <c r="AC89" s="5"/>
      <c r="AD89" s="5"/>
      <c r="AE89" s="5"/>
      <c r="AF89" s="5"/>
      <c r="AG89" s="5"/>
      <c r="AH89" s="5"/>
      <c r="AI89" s="5"/>
      <c r="AJ89" s="5" t="s">
        <v>1228</v>
      </c>
      <c r="AK89" s="5"/>
      <c r="AL89" s="5"/>
      <c r="AM89" s="5"/>
      <c r="AN89" s="5"/>
      <c r="AO89" s="5"/>
      <c r="AP89" s="5"/>
      <c r="AQ89" s="5"/>
      <c r="AR89" s="5"/>
      <c r="AS89" s="5"/>
      <c r="AT89" s="5"/>
      <c r="AU89" s="5"/>
      <c r="AV89" s="5"/>
      <c r="AW89" s="5" t="s">
        <v>1260</v>
      </c>
    </row>
    <row r="90" customFormat="false" ht="169.4" hidden="false" customHeight="false" outlineLevel="0" collapsed="false">
      <c r="A90" s="5" t="s">
        <v>1261</v>
      </c>
      <c r="B90" s="5" t="s">
        <v>1262</v>
      </c>
      <c r="C90" s="5" t="s">
        <v>863</v>
      </c>
      <c r="D90" s="5" t="s">
        <v>864</v>
      </c>
      <c r="E90" s="5" t="s">
        <v>626</v>
      </c>
      <c r="F90" s="5" t="s">
        <v>1263</v>
      </c>
      <c r="G90" s="5" t="s">
        <v>1264</v>
      </c>
      <c r="H90" s="5" t="n">
        <v>9</v>
      </c>
      <c r="I90" s="5" t="s">
        <v>603</v>
      </c>
      <c r="J90" s="5" t="s">
        <v>153</v>
      </c>
      <c r="K90" s="5" t="s">
        <v>1235</v>
      </c>
      <c r="L90" s="5" t="s">
        <v>30</v>
      </c>
      <c r="M90" s="5" t="s">
        <v>155</v>
      </c>
      <c r="N90" s="5" t="s">
        <v>1265</v>
      </c>
      <c r="O90" s="5" t="s">
        <v>570</v>
      </c>
      <c r="P90" s="5" t="s">
        <v>158</v>
      </c>
      <c r="Q90" s="5" t="s">
        <v>399</v>
      </c>
      <c r="R90" s="5" t="s">
        <v>869</v>
      </c>
      <c r="S90" s="5" t="s">
        <v>870</v>
      </c>
      <c r="T90" s="5" t="s">
        <v>606</v>
      </c>
      <c r="U90" s="5" t="n">
        <v>365</v>
      </c>
      <c r="V90" s="5" t="s">
        <v>871</v>
      </c>
      <c r="W90" s="5" t="s">
        <v>1171</v>
      </c>
      <c r="X90" s="5" t="s">
        <v>1266</v>
      </c>
      <c r="Y90" s="5" t="s">
        <v>1267</v>
      </c>
      <c r="Z90" s="5" t="s">
        <v>1268</v>
      </c>
      <c r="AA90" s="5" t="s">
        <v>1269</v>
      </c>
      <c r="AB90" s="5" t="s">
        <v>1270</v>
      </c>
      <c r="AC90" s="5"/>
      <c r="AD90" s="5" t="s">
        <v>1271</v>
      </c>
      <c r="AE90" s="5"/>
      <c r="AF90" s="5" t="s">
        <v>924</v>
      </c>
      <c r="AG90" s="5" t="s">
        <v>924</v>
      </c>
      <c r="AH90" s="5"/>
      <c r="AI90" s="5"/>
      <c r="AJ90" s="5"/>
      <c r="AK90" s="5" t="s">
        <v>1272</v>
      </c>
      <c r="AL90" s="5" t="s">
        <v>924</v>
      </c>
      <c r="AM90" s="5"/>
      <c r="AN90" s="5"/>
      <c r="AO90" s="5" t="s">
        <v>1273</v>
      </c>
      <c r="AP90" s="5"/>
      <c r="AQ90" s="5" t="s">
        <v>924</v>
      </c>
      <c r="AR90" s="5" t="s">
        <v>901</v>
      </c>
      <c r="AS90" s="5"/>
      <c r="AT90" s="5"/>
      <c r="AU90" s="5"/>
      <c r="AV90" s="5" t="s">
        <v>178</v>
      </c>
      <c r="AW90" s="5" t="s">
        <v>1274</v>
      </c>
    </row>
    <row r="91" customFormat="false" ht="147" hidden="false" customHeight="false" outlineLevel="0" collapsed="false">
      <c r="A91" s="5" t="s">
        <v>1275</v>
      </c>
      <c r="B91" s="5" t="s">
        <v>1276</v>
      </c>
      <c r="C91" s="5" t="s">
        <v>863</v>
      </c>
      <c r="D91" s="5" t="s">
        <v>864</v>
      </c>
      <c r="E91" s="5" t="s">
        <v>892</v>
      </c>
      <c r="F91" s="5" t="s">
        <v>1277</v>
      </c>
      <c r="G91" s="5" t="s">
        <v>1278</v>
      </c>
      <c r="H91" s="5" t="n">
        <v>9</v>
      </c>
      <c r="I91" s="5" t="s">
        <v>603</v>
      </c>
      <c r="J91" s="5" t="s">
        <v>652</v>
      </c>
      <c r="K91" s="5"/>
      <c r="L91" s="5" t="s">
        <v>30</v>
      </c>
      <c r="M91" s="5" t="s">
        <v>155</v>
      </c>
      <c r="N91" s="5" t="s">
        <v>1030</v>
      </c>
      <c r="O91" s="5" t="s">
        <v>157</v>
      </c>
      <c r="P91" s="5" t="s">
        <v>158</v>
      </c>
      <c r="Q91" s="5" t="s">
        <v>399</v>
      </c>
      <c r="R91" s="5" t="s">
        <v>869</v>
      </c>
      <c r="S91" s="5" t="s">
        <v>870</v>
      </c>
      <c r="T91" s="5" t="s">
        <v>606</v>
      </c>
      <c r="U91" s="5" t="n">
        <v>180</v>
      </c>
      <c r="V91" s="5" t="s">
        <v>871</v>
      </c>
      <c r="W91" s="5" t="s">
        <v>1171</v>
      </c>
      <c r="X91" s="5" t="s">
        <v>1279</v>
      </c>
      <c r="Y91" s="5" t="s">
        <v>1280</v>
      </c>
      <c r="Z91" s="5" t="s">
        <v>1281</v>
      </c>
      <c r="AA91" s="5"/>
      <c r="AB91" s="5"/>
      <c r="AC91" s="5"/>
      <c r="AD91" s="5"/>
      <c r="AE91" s="5"/>
      <c r="AF91" s="5" t="s">
        <v>1282</v>
      </c>
      <c r="AG91" s="5" t="s">
        <v>1282</v>
      </c>
      <c r="AH91" s="5"/>
      <c r="AI91" s="5"/>
      <c r="AJ91" s="5"/>
      <c r="AK91" s="5"/>
      <c r="AL91" s="5" t="s">
        <v>1282</v>
      </c>
      <c r="AM91" s="5" t="s">
        <v>1282</v>
      </c>
      <c r="AN91" s="5"/>
      <c r="AO91" s="5"/>
      <c r="AP91" s="5"/>
      <c r="AQ91" s="5"/>
      <c r="AR91" s="5" t="s">
        <v>901</v>
      </c>
      <c r="AS91" s="5"/>
      <c r="AT91" s="5"/>
      <c r="AU91" s="5"/>
      <c r="AV91" s="5"/>
      <c r="AW91" s="5" t="s">
        <v>956</v>
      </c>
    </row>
    <row r="92" customFormat="false" ht="158.2" hidden="false" customHeight="false" outlineLevel="0" collapsed="false">
      <c r="A92" s="5" t="s">
        <v>1283</v>
      </c>
      <c r="B92" s="5" t="s">
        <v>1284</v>
      </c>
      <c r="C92" s="5" t="s">
        <v>863</v>
      </c>
      <c r="D92" s="5" t="s">
        <v>864</v>
      </c>
      <c r="E92" s="5" t="s">
        <v>892</v>
      </c>
      <c r="F92" s="5" t="s">
        <v>1285</v>
      </c>
      <c r="G92" s="5" t="s">
        <v>1286</v>
      </c>
      <c r="H92" s="5" t="n">
        <v>8</v>
      </c>
      <c r="I92" s="5" t="s">
        <v>603</v>
      </c>
      <c r="J92" s="5" t="s">
        <v>153</v>
      </c>
      <c r="K92" s="5"/>
      <c r="L92" s="5" t="s">
        <v>30</v>
      </c>
      <c r="M92" s="5" t="s">
        <v>155</v>
      </c>
      <c r="N92" s="5" t="s">
        <v>1287</v>
      </c>
      <c r="O92" s="5" t="s">
        <v>570</v>
      </c>
      <c r="P92" s="5" t="s">
        <v>158</v>
      </c>
      <c r="Q92" s="5" t="s">
        <v>399</v>
      </c>
      <c r="R92" s="5" t="s">
        <v>869</v>
      </c>
      <c r="S92" s="5" t="s">
        <v>870</v>
      </c>
      <c r="T92" s="5" t="s">
        <v>606</v>
      </c>
      <c r="U92" s="5" t="n">
        <v>365</v>
      </c>
      <c r="V92" s="5" t="s">
        <v>871</v>
      </c>
      <c r="W92" s="5" t="s">
        <v>1171</v>
      </c>
      <c r="X92" s="5" t="s">
        <v>1288</v>
      </c>
      <c r="Y92" s="5" t="s">
        <v>1289</v>
      </c>
      <c r="Z92" s="5" t="s">
        <v>1290</v>
      </c>
      <c r="AA92" s="5"/>
      <c r="AB92" s="5"/>
      <c r="AC92" s="5"/>
      <c r="AD92" s="5" t="s">
        <v>1291</v>
      </c>
      <c r="AE92" s="5"/>
      <c r="AF92" s="5" t="s">
        <v>1292</v>
      </c>
      <c r="AG92" s="5"/>
      <c r="AH92" s="5"/>
      <c r="AI92" s="5"/>
      <c r="AJ92" s="5"/>
      <c r="AK92" s="5"/>
      <c r="AL92" s="5" t="s">
        <v>1292</v>
      </c>
      <c r="AM92" s="5"/>
      <c r="AN92" s="5"/>
      <c r="AO92" s="5" t="s">
        <v>1023</v>
      </c>
      <c r="AP92" s="5" t="s">
        <v>1293</v>
      </c>
      <c r="AQ92" s="5" t="s">
        <v>1292</v>
      </c>
      <c r="AR92" s="5" t="s">
        <v>1294</v>
      </c>
      <c r="AS92" s="5"/>
      <c r="AT92" s="5"/>
      <c r="AU92" s="5"/>
      <c r="AV92" s="5"/>
      <c r="AW92" s="5" t="s">
        <v>1295</v>
      </c>
    </row>
    <row r="93" customFormat="false" ht="135.8" hidden="false" customHeight="false" outlineLevel="0" collapsed="false">
      <c r="A93" s="5" t="s">
        <v>1296</v>
      </c>
      <c r="B93" s="5" t="s">
        <v>1297</v>
      </c>
      <c r="C93" s="5" t="s">
        <v>863</v>
      </c>
      <c r="D93" s="5" t="s">
        <v>864</v>
      </c>
      <c r="E93" s="5" t="s">
        <v>1298</v>
      </c>
      <c r="F93" s="5" t="s">
        <v>1299</v>
      </c>
      <c r="G93" s="5" t="s">
        <v>1300</v>
      </c>
      <c r="H93" s="5" t="n">
        <v>5</v>
      </c>
      <c r="I93" s="5" t="s">
        <v>603</v>
      </c>
      <c r="J93" s="5" t="s">
        <v>153</v>
      </c>
      <c r="K93" s="5"/>
      <c r="L93" s="5" t="s">
        <v>30</v>
      </c>
      <c r="M93" s="5" t="s">
        <v>155</v>
      </c>
      <c r="N93" s="5" t="s">
        <v>124</v>
      </c>
      <c r="O93" s="5" t="s">
        <v>157</v>
      </c>
      <c r="P93" s="5" t="s">
        <v>215</v>
      </c>
      <c r="Q93" s="5" t="s">
        <v>440</v>
      </c>
      <c r="R93" s="5" t="s">
        <v>869</v>
      </c>
      <c r="S93" s="5" t="s">
        <v>870</v>
      </c>
      <c r="T93" s="5" t="s">
        <v>606</v>
      </c>
      <c r="U93" s="5" t="n">
        <v>365</v>
      </c>
      <c r="V93" s="5" t="s">
        <v>871</v>
      </c>
      <c r="W93" s="5" t="s">
        <v>1171</v>
      </c>
      <c r="X93" s="5" t="s">
        <v>1301</v>
      </c>
      <c r="Y93" s="5" t="s">
        <v>1302</v>
      </c>
      <c r="Z93" s="5" t="s">
        <v>1303</v>
      </c>
      <c r="AA93" s="5" t="s">
        <v>1304</v>
      </c>
      <c r="AB93" s="5"/>
      <c r="AC93" s="5"/>
      <c r="AD93" s="5"/>
      <c r="AE93" s="5"/>
      <c r="AF93" s="5" t="s">
        <v>1305</v>
      </c>
      <c r="AG93" s="5"/>
      <c r="AH93" s="5"/>
      <c r="AI93" s="5"/>
      <c r="AJ93" s="5"/>
      <c r="AK93" s="5"/>
      <c r="AL93" s="5" t="s">
        <v>1305</v>
      </c>
      <c r="AM93" s="5"/>
      <c r="AN93" s="5"/>
      <c r="AO93" s="5"/>
      <c r="AP93" s="5"/>
      <c r="AQ93" s="5"/>
      <c r="AR93" s="5" t="s">
        <v>901</v>
      </c>
      <c r="AS93" s="5"/>
      <c r="AT93" s="5"/>
      <c r="AU93" s="5"/>
      <c r="AV93" s="5"/>
      <c r="AW93" s="5" t="s">
        <v>1306</v>
      </c>
    </row>
    <row r="94" customFormat="false" ht="147" hidden="false" customHeight="false" outlineLevel="0" collapsed="false">
      <c r="A94" s="5" t="s">
        <v>1307</v>
      </c>
      <c r="B94" s="5" t="s">
        <v>1308</v>
      </c>
      <c r="C94" s="5" t="s">
        <v>863</v>
      </c>
      <c r="D94" s="5" t="s">
        <v>864</v>
      </c>
      <c r="E94" s="5" t="s">
        <v>626</v>
      </c>
      <c r="F94" s="5" t="s">
        <v>1309</v>
      </c>
      <c r="G94" s="5" t="s">
        <v>1310</v>
      </c>
      <c r="H94" s="5" t="n">
        <v>8</v>
      </c>
      <c r="I94" s="5" t="s">
        <v>603</v>
      </c>
      <c r="J94" s="5" t="s">
        <v>153</v>
      </c>
      <c r="K94" s="5" t="s">
        <v>1311</v>
      </c>
      <c r="L94" s="5" t="s">
        <v>30</v>
      </c>
      <c r="M94" s="5" t="s">
        <v>155</v>
      </c>
      <c r="N94" s="5" t="s">
        <v>1312</v>
      </c>
      <c r="O94" s="5" t="s">
        <v>157</v>
      </c>
      <c r="P94" s="5" t="s">
        <v>158</v>
      </c>
      <c r="Q94" s="5" t="s">
        <v>519</v>
      </c>
      <c r="R94" s="5" t="s">
        <v>869</v>
      </c>
      <c r="S94" s="5" t="s">
        <v>870</v>
      </c>
      <c r="T94" s="5" t="s">
        <v>606</v>
      </c>
      <c r="U94" s="5" t="n">
        <v>365</v>
      </c>
      <c r="V94" s="5" t="s">
        <v>871</v>
      </c>
      <c r="W94" s="5" t="s">
        <v>872</v>
      </c>
      <c r="X94" s="5" t="s">
        <v>1313</v>
      </c>
      <c r="Y94" s="5" t="s">
        <v>1314</v>
      </c>
      <c r="Z94" s="5" t="s">
        <v>1315</v>
      </c>
      <c r="AA94" s="5"/>
      <c r="AB94" s="5"/>
      <c r="AC94" s="5"/>
      <c r="AD94" s="5"/>
      <c r="AE94" s="5"/>
      <c r="AF94" s="5" t="s">
        <v>1316</v>
      </c>
      <c r="AG94" s="5" t="s">
        <v>1316</v>
      </c>
      <c r="AH94" s="5"/>
      <c r="AI94" s="5"/>
      <c r="AJ94" s="5"/>
      <c r="AK94" s="5" t="s">
        <v>1317</v>
      </c>
      <c r="AL94" s="5" t="s">
        <v>1316</v>
      </c>
      <c r="AM94" s="5"/>
      <c r="AN94" s="5"/>
      <c r="AO94" s="5"/>
      <c r="AP94" s="5"/>
      <c r="AQ94" s="5"/>
      <c r="AR94" s="5" t="s">
        <v>901</v>
      </c>
      <c r="AS94" s="5"/>
      <c r="AT94" s="5"/>
      <c r="AU94" s="5"/>
      <c r="AV94" s="5" t="s">
        <v>178</v>
      </c>
      <c r="AW94" s="5" t="s">
        <v>1260</v>
      </c>
    </row>
    <row r="95" customFormat="false" ht="135.8" hidden="false" customHeight="false" outlineLevel="0" collapsed="false">
      <c r="A95" s="5" t="s">
        <v>1318</v>
      </c>
      <c r="B95" s="5" t="s">
        <v>1319</v>
      </c>
      <c r="C95" s="5" t="s">
        <v>863</v>
      </c>
      <c r="D95" s="5" t="s">
        <v>864</v>
      </c>
      <c r="E95" s="5" t="s">
        <v>149</v>
      </c>
      <c r="F95" s="5" t="s">
        <v>1320</v>
      </c>
      <c r="G95" s="5" t="s">
        <v>1321</v>
      </c>
      <c r="H95" s="5" t="n">
        <v>7</v>
      </c>
      <c r="I95" s="5" t="s">
        <v>603</v>
      </c>
      <c r="J95" s="5" t="s">
        <v>153</v>
      </c>
      <c r="K95" s="5" t="s">
        <v>1311</v>
      </c>
      <c r="L95" s="5" t="s">
        <v>55</v>
      </c>
      <c r="M95" s="5" t="s">
        <v>185</v>
      </c>
      <c r="N95" s="5" t="s">
        <v>54</v>
      </c>
      <c r="O95" s="5" t="s">
        <v>187</v>
      </c>
      <c r="P95" s="5" t="s">
        <v>215</v>
      </c>
      <c r="Q95" s="5" t="s">
        <v>440</v>
      </c>
      <c r="R95" s="5" t="s">
        <v>869</v>
      </c>
      <c r="S95" s="5" t="s">
        <v>870</v>
      </c>
      <c r="T95" s="5" t="s">
        <v>606</v>
      </c>
      <c r="U95" s="5" t="n">
        <v>365</v>
      </c>
      <c r="V95" s="5" t="s">
        <v>871</v>
      </c>
      <c r="W95" s="5" t="s">
        <v>872</v>
      </c>
      <c r="X95" s="5" t="s">
        <v>1322</v>
      </c>
      <c r="Y95" s="5" t="s">
        <v>1323</v>
      </c>
      <c r="Z95" s="5" t="s">
        <v>1324</v>
      </c>
      <c r="AA95" s="5"/>
      <c r="AB95" s="5"/>
      <c r="AC95" s="5"/>
      <c r="AD95" s="5"/>
      <c r="AE95" s="5"/>
      <c r="AF95" s="5"/>
      <c r="AG95" s="5"/>
      <c r="AH95" s="5"/>
      <c r="AI95" s="5"/>
      <c r="AJ95" s="5"/>
      <c r="AK95" s="5" t="s">
        <v>1317</v>
      </c>
      <c r="AL95" s="5"/>
      <c r="AM95" s="5"/>
      <c r="AN95" s="5"/>
      <c r="AO95" s="5"/>
      <c r="AP95" s="5"/>
      <c r="AQ95" s="5"/>
      <c r="AR95" s="5"/>
      <c r="AS95" s="5"/>
      <c r="AT95" s="5"/>
      <c r="AU95" s="5"/>
      <c r="AV95" s="5" t="s">
        <v>178</v>
      </c>
      <c r="AW95" s="5" t="s">
        <v>956</v>
      </c>
    </row>
    <row r="96" customFormat="false" ht="147" hidden="false" customHeight="false" outlineLevel="0" collapsed="false">
      <c r="A96" s="5" t="s">
        <v>1325</v>
      </c>
      <c r="B96" s="5" t="s">
        <v>1326</v>
      </c>
      <c r="C96" s="5" t="s">
        <v>863</v>
      </c>
      <c r="D96" s="5" t="s">
        <v>864</v>
      </c>
      <c r="E96" s="5" t="s">
        <v>892</v>
      </c>
      <c r="F96" s="5" t="s">
        <v>1327</v>
      </c>
      <c r="G96" s="5" t="s">
        <v>1328</v>
      </c>
      <c r="H96" s="5" t="n">
        <v>7</v>
      </c>
      <c r="I96" s="5" t="s">
        <v>603</v>
      </c>
      <c r="J96" s="5" t="s">
        <v>153</v>
      </c>
      <c r="K96" s="5"/>
      <c r="L96" s="5" t="s">
        <v>55</v>
      </c>
      <c r="M96" s="5" t="s">
        <v>185</v>
      </c>
      <c r="N96" s="5" t="s">
        <v>439</v>
      </c>
      <c r="O96" s="5" t="s">
        <v>187</v>
      </c>
      <c r="P96" s="5" t="s">
        <v>215</v>
      </c>
      <c r="Q96" s="5" t="s">
        <v>440</v>
      </c>
      <c r="R96" s="5" t="s">
        <v>869</v>
      </c>
      <c r="S96" s="5" t="s">
        <v>870</v>
      </c>
      <c r="T96" s="5" t="s">
        <v>606</v>
      </c>
      <c r="U96" s="5" t="n">
        <v>365</v>
      </c>
      <c r="V96" s="5" t="s">
        <v>871</v>
      </c>
      <c r="W96" s="5" t="s">
        <v>872</v>
      </c>
      <c r="X96" s="5" t="s">
        <v>1329</v>
      </c>
      <c r="Y96" s="5" t="s">
        <v>1330</v>
      </c>
      <c r="Z96" s="5" t="s">
        <v>1331</v>
      </c>
      <c r="AA96" s="5"/>
      <c r="AB96" s="5"/>
      <c r="AC96" s="5"/>
      <c r="AD96" s="5"/>
      <c r="AE96" s="5"/>
      <c r="AF96" s="5"/>
      <c r="AG96" s="5"/>
      <c r="AH96" s="5"/>
      <c r="AI96" s="5"/>
      <c r="AJ96" s="5" t="s">
        <v>1332</v>
      </c>
      <c r="AK96" s="5"/>
      <c r="AL96" s="5"/>
      <c r="AM96" s="5"/>
      <c r="AN96" s="5"/>
      <c r="AO96" s="5"/>
      <c r="AP96" s="5"/>
      <c r="AQ96" s="5"/>
      <c r="AR96" s="5"/>
      <c r="AS96" s="5"/>
      <c r="AT96" s="5"/>
      <c r="AU96" s="5"/>
      <c r="AV96" s="5"/>
      <c r="AW96" s="5" t="s">
        <v>1333</v>
      </c>
    </row>
    <row r="97" customFormat="false" ht="169.4" hidden="false" customHeight="false" outlineLevel="0" collapsed="false">
      <c r="A97" s="5" t="s">
        <v>1334</v>
      </c>
      <c r="B97" s="5" t="s">
        <v>1335</v>
      </c>
      <c r="C97" s="5" t="s">
        <v>1336</v>
      </c>
      <c r="D97" s="5" t="s">
        <v>1337</v>
      </c>
      <c r="E97" s="5" t="s">
        <v>149</v>
      </c>
      <c r="F97" s="5" t="s">
        <v>1338</v>
      </c>
      <c r="G97" s="5" t="s">
        <v>1339</v>
      </c>
      <c r="H97" s="5" t="n">
        <v>8</v>
      </c>
      <c r="I97" s="5" t="s">
        <v>152</v>
      </c>
      <c r="J97" s="5" t="s">
        <v>153</v>
      </c>
      <c r="K97" s="5" t="s">
        <v>1340</v>
      </c>
      <c r="L97" s="5" t="s">
        <v>30</v>
      </c>
      <c r="M97" s="5" t="s">
        <v>155</v>
      </c>
      <c r="N97" s="5" t="s">
        <v>1341</v>
      </c>
      <c r="O97" s="5" t="s">
        <v>570</v>
      </c>
      <c r="P97" s="5" t="s">
        <v>158</v>
      </c>
      <c r="Q97" s="5" t="s">
        <v>440</v>
      </c>
      <c r="R97" s="5" t="s">
        <v>1342</v>
      </c>
      <c r="S97" s="5" t="s">
        <v>1343</v>
      </c>
      <c r="T97" s="5" t="s">
        <v>162</v>
      </c>
      <c r="U97" s="5" t="n">
        <v>365</v>
      </c>
      <c r="V97" s="5" t="s">
        <v>1344</v>
      </c>
      <c r="W97" s="5" t="s">
        <v>1345</v>
      </c>
      <c r="X97" s="5" t="s">
        <v>1346</v>
      </c>
      <c r="Y97" s="5" t="s">
        <v>1347</v>
      </c>
      <c r="Z97" s="5" t="s">
        <v>1348</v>
      </c>
      <c r="AA97" s="5" t="s">
        <v>1349</v>
      </c>
      <c r="AB97" s="5" t="s">
        <v>1350</v>
      </c>
      <c r="AC97" s="5"/>
      <c r="AD97" s="5" t="s">
        <v>1351</v>
      </c>
      <c r="AE97" s="5"/>
      <c r="AF97" s="5" t="s">
        <v>1352</v>
      </c>
      <c r="AG97" s="5" t="s">
        <v>1353</v>
      </c>
      <c r="AH97" s="5"/>
      <c r="AI97" s="5"/>
      <c r="AJ97" s="5" t="s">
        <v>1354</v>
      </c>
      <c r="AK97" s="5" t="s">
        <v>1355</v>
      </c>
      <c r="AL97" s="5" t="s">
        <v>1352</v>
      </c>
      <c r="AM97" s="5"/>
      <c r="AN97" s="5"/>
      <c r="AO97" s="5" t="s">
        <v>1356</v>
      </c>
      <c r="AP97" s="5" t="s">
        <v>1357</v>
      </c>
      <c r="AQ97" s="5" t="s">
        <v>1353</v>
      </c>
      <c r="AR97" s="5" t="s">
        <v>646</v>
      </c>
      <c r="AS97" s="5"/>
      <c r="AT97" s="5" t="s">
        <v>1358</v>
      </c>
      <c r="AU97" s="5"/>
      <c r="AV97" s="5" t="s">
        <v>178</v>
      </c>
      <c r="AW97" s="5" t="s">
        <v>1359</v>
      </c>
    </row>
    <row r="98" customFormat="false" ht="124.6" hidden="false" customHeight="false" outlineLevel="0" collapsed="false">
      <c r="A98" s="5" t="s">
        <v>1360</v>
      </c>
      <c r="B98" s="5" t="s">
        <v>1361</v>
      </c>
      <c r="C98" s="5" t="s">
        <v>1336</v>
      </c>
      <c r="D98" s="5" t="s">
        <v>1337</v>
      </c>
      <c r="E98" s="5" t="s">
        <v>626</v>
      </c>
      <c r="F98" s="5" t="s">
        <v>1362</v>
      </c>
      <c r="G98" s="5" t="s">
        <v>1363</v>
      </c>
      <c r="H98" s="5" t="n">
        <v>8</v>
      </c>
      <c r="I98" s="5" t="s">
        <v>603</v>
      </c>
      <c r="J98" s="5" t="s">
        <v>153</v>
      </c>
      <c r="K98" s="5" t="s">
        <v>1364</v>
      </c>
      <c r="L98" s="5" t="s">
        <v>30</v>
      </c>
      <c r="M98" s="5" t="s">
        <v>155</v>
      </c>
      <c r="N98" s="5" t="s">
        <v>1365</v>
      </c>
      <c r="O98" s="5" t="s">
        <v>570</v>
      </c>
      <c r="P98" s="5" t="s">
        <v>158</v>
      </c>
      <c r="Q98" s="5" t="s">
        <v>440</v>
      </c>
      <c r="R98" s="5" t="s">
        <v>1342</v>
      </c>
      <c r="S98" s="5" t="s">
        <v>1343</v>
      </c>
      <c r="T98" s="5" t="s">
        <v>606</v>
      </c>
      <c r="U98" s="5" t="n">
        <v>365</v>
      </c>
      <c r="V98" s="5" t="s">
        <v>1344</v>
      </c>
      <c r="W98" s="5" t="s">
        <v>1345</v>
      </c>
      <c r="X98" s="5" t="s">
        <v>1366</v>
      </c>
      <c r="Y98" s="5" t="s">
        <v>1367</v>
      </c>
      <c r="Z98" s="5" t="s">
        <v>1368</v>
      </c>
      <c r="AA98" s="5"/>
      <c r="AB98" s="5"/>
      <c r="AC98" s="5"/>
      <c r="AD98" s="5"/>
      <c r="AE98" s="5"/>
      <c r="AF98" s="5" t="s">
        <v>1369</v>
      </c>
      <c r="AG98" s="5" t="s">
        <v>1353</v>
      </c>
      <c r="AH98" s="5"/>
      <c r="AI98" s="5"/>
      <c r="AJ98" s="5"/>
      <c r="AK98" s="5" t="s">
        <v>1355</v>
      </c>
      <c r="AL98" s="5" t="s">
        <v>1369</v>
      </c>
      <c r="AM98" s="5"/>
      <c r="AN98" s="5"/>
      <c r="AO98" s="5" t="s">
        <v>1370</v>
      </c>
      <c r="AP98" s="5"/>
      <c r="AQ98" s="5" t="s">
        <v>1371</v>
      </c>
      <c r="AR98" s="5" t="s">
        <v>646</v>
      </c>
      <c r="AS98" s="5"/>
      <c r="AT98" s="5"/>
      <c r="AU98" s="5"/>
      <c r="AV98" s="5" t="s">
        <v>178</v>
      </c>
      <c r="AW98" s="5" t="s">
        <v>1372</v>
      </c>
    </row>
    <row r="99" customFormat="false" ht="124.6" hidden="false" customHeight="false" outlineLevel="0" collapsed="false">
      <c r="A99" s="5" t="s">
        <v>1373</v>
      </c>
      <c r="B99" s="5" t="s">
        <v>1374</v>
      </c>
      <c r="C99" s="5" t="s">
        <v>1336</v>
      </c>
      <c r="D99" s="5" t="s">
        <v>1337</v>
      </c>
      <c r="E99" s="5" t="s">
        <v>626</v>
      </c>
      <c r="F99" s="5" t="s">
        <v>1375</v>
      </c>
      <c r="G99" s="5" t="s">
        <v>1376</v>
      </c>
      <c r="H99" s="5" t="n">
        <v>8</v>
      </c>
      <c r="I99" s="5" t="s">
        <v>152</v>
      </c>
      <c r="J99" s="5" t="s">
        <v>153</v>
      </c>
      <c r="K99" s="5" t="s">
        <v>1340</v>
      </c>
      <c r="L99" s="5" t="s">
        <v>30</v>
      </c>
      <c r="M99" s="5" t="s">
        <v>155</v>
      </c>
      <c r="N99" s="5" t="s">
        <v>1377</v>
      </c>
      <c r="O99" s="5" t="s">
        <v>157</v>
      </c>
      <c r="P99" s="5" t="s">
        <v>158</v>
      </c>
      <c r="Q99" s="5" t="s">
        <v>440</v>
      </c>
      <c r="R99" s="5" t="s">
        <v>1342</v>
      </c>
      <c r="S99" s="5" t="s">
        <v>1343</v>
      </c>
      <c r="T99" s="5" t="s">
        <v>162</v>
      </c>
      <c r="U99" s="5" t="n">
        <v>365</v>
      </c>
      <c r="V99" s="5" t="s">
        <v>1344</v>
      </c>
      <c r="W99" s="5" t="s">
        <v>1345</v>
      </c>
      <c r="X99" s="5" t="s">
        <v>1378</v>
      </c>
      <c r="Y99" s="5" t="s">
        <v>1379</v>
      </c>
      <c r="Z99" s="5" t="s">
        <v>1380</v>
      </c>
      <c r="AA99" s="5"/>
      <c r="AB99" s="5"/>
      <c r="AC99" s="5"/>
      <c r="AD99" s="5"/>
      <c r="AE99" s="5"/>
      <c r="AF99" s="5" t="s">
        <v>1381</v>
      </c>
      <c r="AG99" s="5" t="s">
        <v>1353</v>
      </c>
      <c r="AH99" s="5"/>
      <c r="AI99" s="5"/>
      <c r="AJ99" s="5"/>
      <c r="AK99" s="5" t="s">
        <v>1355</v>
      </c>
      <c r="AL99" s="5" t="s">
        <v>1381</v>
      </c>
      <c r="AM99" s="5"/>
      <c r="AN99" s="5"/>
      <c r="AO99" s="5"/>
      <c r="AP99" s="5" t="s">
        <v>1357</v>
      </c>
      <c r="AQ99" s="5" t="s">
        <v>1371</v>
      </c>
      <c r="AR99" s="5" t="s">
        <v>1186</v>
      </c>
      <c r="AS99" s="5"/>
      <c r="AT99" s="5" t="s">
        <v>1358</v>
      </c>
      <c r="AU99" s="5"/>
      <c r="AV99" s="5" t="s">
        <v>178</v>
      </c>
      <c r="AW99" s="5" t="s">
        <v>1372</v>
      </c>
    </row>
    <row r="100" customFormat="false" ht="102.2" hidden="false" customHeight="false" outlineLevel="0" collapsed="false">
      <c r="A100" s="5" t="s">
        <v>1382</v>
      </c>
      <c r="B100" s="5" t="s">
        <v>1383</v>
      </c>
      <c r="C100" s="5" t="s">
        <v>1336</v>
      </c>
      <c r="D100" s="5" t="s">
        <v>1337</v>
      </c>
      <c r="E100" s="5" t="s">
        <v>600</v>
      </c>
      <c r="F100" s="5" t="s">
        <v>1384</v>
      </c>
      <c r="G100" s="5" t="s">
        <v>1385</v>
      </c>
      <c r="H100" s="5" t="n">
        <v>7</v>
      </c>
      <c r="I100" s="5" t="s">
        <v>603</v>
      </c>
      <c r="J100" s="5" t="s">
        <v>557</v>
      </c>
      <c r="K100" s="5" t="s">
        <v>1386</v>
      </c>
      <c r="L100" s="5" t="s">
        <v>55</v>
      </c>
      <c r="M100" s="5" t="s">
        <v>185</v>
      </c>
      <c r="N100" s="5" t="s">
        <v>804</v>
      </c>
      <c r="O100" s="5" t="s">
        <v>666</v>
      </c>
      <c r="P100" s="5" t="s">
        <v>158</v>
      </c>
      <c r="Q100" s="5" t="s">
        <v>399</v>
      </c>
      <c r="R100" s="5" t="s">
        <v>1342</v>
      </c>
      <c r="S100" s="5" t="s">
        <v>1343</v>
      </c>
      <c r="T100" s="5" t="s">
        <v>606</v>
      </c>
      <c r="U100" s="5" t="n">
        <v>90</v>
      </c>
      <c r="V100" s="5" t="s">
        <v>1344</v>
      </c>
      <c r="W100" s="5" t="s">
        <v>1345</v>
      </c>
      <c r="X100" s="5" t="s">
        <v>1387</v>
      </c>
      <c r="Y100" s="5" t="s">
        <v>1388</v>
      </c>
      <c r="Z100" s="5" t="s">
        <v>1389</v>
      </c>
      <c r="AA100" s="5"/>
      <c r="AB100" s="5"/>
      <c r="AC100" s="5"/>
      <c r="AD100" s="5"/>
      <c r="AE100" s="5"/>
      <c r="AF100" s="5"/>
      <c r="AG100" s="5"/>
      <c r="AH100" s="5"/>
      <c r="AI100" s="5"/>
      <c r="AJ100" s="5"/>
      <c r="AK100" s="5" t="s">
        <v>1355</v>
      </c>
      <c r="AL100" s="5"/>
      <c r="AM100" s="5"/>
      <c r="AN100" s="5"/>
      <c r="AO100" s="5" t="s">
        <v>1356</v>
      </c>
      <c r="AP100" s="5"/>
      <c r="AQ100" s="5"/>
      <c r="AR100" s="5"/>
      <c r="AS100" s="5"/>
      <c r="AT100" s="5"/>
      <c r="AU100" s="5"/>
      <c r="AV100" s="5" t="s">
        <v>178</v>
      </c>
      <c r="AW100" s="5" t="s">
        <v>1359</v>
      </c>
    </row>
    <row r="101" customFormat="false" ht="113.4" hidden="false" customHeight="false" outlineLevel="0" collapsed="false">
      <c r="A101" s="5" t="s">
        <v>1390</v>
      </c>
      <c r="B101" s="5" t="s">
        <v>1391</v>
      </c>
      <c r="C101" s="5" t="s">
        <v>1336</v>
      </c>
      <c r="D101" s="5" t="s">
        <v>1337</v>
      </c>
      <c r="E101" s="5" t="s">
        <v>149</v>
      </c>
      <c r="F101" s="5" t="s">
        <v>1392</v>
      </c>
      <c r="G101" s="5" t="s">
        <v>1393</v>
      </c>
      <c r="H101" s="5" t="n">
        <v>5</v>
      </c>
      <c r="I101" s="5" t="s">
        <v>603</v>
      </c>
      <c r="J101" s="5" t="s">
        <v>153</v>
      </c>
      <c r="K101" s="5" t="s">
        <v>1394</v>
      </c>
      <c r="L101" s="5" t="s">
        <v>55</v>
      </c>
      <c r="M101" s="5" t="s">
        <v>185</v>
      </c>
      <c r="N101" s="5" t="s">
        <v>54</v>
      </c>
      <c r="O101" s="5" t="s">
        <v>187</v>
      </c>
      <c r="P101" s="5" t="s">
        <v>215</v>
      </c>
      <c r="Q101" s="5" t="s">
        <v>440</v>
      </c>
      <c r="R101" s="5" t="s">
        <v>1342</v>
      </c>
      <c r="S101" s="5" t="s">
        <v>1343</v>
      </c>
      <c r="T101" s="5" t="s">
        <v>606</v>
      </c>
      <c r="U101" s="5" t="n">
        <v>365</v>
      </c>
      <c r="V101" s="5" t="s">
        <v>1344</v>
      </c>
      <c r="W101" s="5" t="s">
        <v>1345</v>
      </c>
      <c r="X101" s="5" t="s">
        <v>1395</v>
      </c>
      <c r="Y101" s="5" t="s">
        <v>1396</v>
      </c>
      <c r="Z101" s="5" t="s">
        <v>1397</v>
      </c>
      <c r="AA101" s="5"/>
      <c r="AB101" s="5"/>
      <c r="AC101" s="5"/>
      <c r="AD101" s="5"/>
      <c r="AE101" s="5"/>
      <c r="AF101" s="5"/>
      <c r="AG101" s="5"/>
      <c r="AH101" s="5"/>
      <c r="AI101" s="5"/>
      <c r="AJ101" s="5"/>
      <c r="AK101" s="5" t="s">
        <v>1355</v>
      </c>
      <c r="AL101" s="5"/>
      <c r="AM101" s="5"/>
      <c r="AN101" s="5"/>
      <c r="AO101" s="5"/>
      <c r="AP101" s="5"/>
      <c r="AQ101" s="5"/>
      <c r="AR101" s="5"/>
      <c r="AS101" s="5"/>
      <c r="AT101" s="5"/>
      <c r="AU101" s="5"/>
      <c r="AV101" s="5" t="s">
        <v>178</v>
      </c>
      <c r="AW101" s="5" t="s">
        <v>1372</v>
      </c>
    </row>
    <row r="102" customFormat="false" ht="113.4" hidden="false" customHeight="false" outlineLevel="0" collapsed="false">
      <c r="A102" s="5" t="s">
        <v>1398</v>
      </c>
      <c r="B102" s="5" t="s">
        <v>1399</v>
      </c>
      <c r="C102" s="5" t="s">
        <v>1336</v>
      </c>
      <c r="D102" s="5" t="s">
        <v>1337</v>
      </c>
      <c r="E102" s="5" t="s">
        <v>149</v>
      </c>
      <c r="F102" s="5" t="s">
        <v>1400</v>
      </c>
      <c r="G102" s="5" t="s">
        <v>1401</v>
      </c>
      <c r="H102" s="5" t="n">
        <v>1</v>
      </c>
      <c r="I102" s="5" t="s">
        <v>603</v>
      </c>
      <c r="J102" s="5" t="s">
        <v>153</v>
      </c>
      <c r="K102" s="5"/>
      <c r="L102" s="5" t="s">
        <v>68</v>
      </c>
      <c r="M102" s="5" t="s">
        <v>185</v>
      </c>
      <c r="N102" s="5" t="s">
        <v>72</v>
      </c>
      <c r="O102" s="5" t="s">
        <v>666</v>
      </c>
      <c r="P102" s="5" t="s">
        <v>215</v>
      </c>
      <c r="Q102" s="5" t="s">
        <v>440</v>
      </c>
      <c r="R102" s="5" t="s">
        <v>1342</v>
      </c>
      <c r="S102" s="5" t="s">
        <v>1343</v>
      </c>
      <c r="T102" s="5" t="s">
        <v>606</v>
      </c>
      <c r="U102" s="5" t="n">
        <v>365</v>
      </c>
      <c r="V102" s="5" t="s">
        <v>1344</v>
      </c>
      <c r="W102" s="5" t="s">
        <v>1345</v>
      </c>
      <c r="X102" s="5" t="s">
        <v>1402</v>
      </c>
      <c r="Y102" s="5" t="s">
        <v>1403</v>
      </c>
      <c r="Z102" s="5" t="s">
        <v>1404</v>
      </c>
      <c r="AA102" s="5"/>
      <c r="AB102" s="5"/>
      <c r="AC102" s="5"/>
      <c r="AD102" s="5"/>
      <c r="AE102" s="5"/>
      <c r="AF102" s="5"/>
      <c r="AG102" s="5"/>
      <c r="AH102" s="5"/>
      <c r="AI102" s="5"/>
      <c r="AJ102" s="5"/>
      <c r="AK102" s="5"/>
      <c r="AL102" s="5"/>
      <c r="AM102" s="5"/>
      <c r="AN102" s="5"/>
      <c r="AO102" s="5" t="s">
        <v>1405</v>
      </c>
      <c r="AP102" s="5"/>
      <c r="AQ102" s="5"/>
      <c r="AR102" s="5"/>
      <c r="AS102" s="5"/>
      <c r="AT102" s="5"/>
      <c r="AU102" s="5"/>
      <c r="AV102" s="5" t="s">
        <v>178</v>
      </c>
      <c r="AW102" s="5" t="s">
        <v>1372</v>
      </c>
    </row>
    <row r="103" customFormat="false" ht="214.15" hidden="false" customHeight="false" outlineLevel="0" collapsed="false">
      <c r="A103" s="5" t="s">
        <v>1406</v>
      </c>
      <c r="B103" s="5" t="s">
        <v>1407</v>
      </c>
      <c r="C103" s="5" t="s">
        <v>1408</v>
      </c>
      <c r="D103" s="5" t="s">
        <v>1409</v>
      </c>
      <c r="E103" s="5" t="s">
        <v>626</v>
      </c>
      <c r="F103" s="5" t="s">
        <v>1410</v>
      </c>
      <c r="G103" s="5" t="s">
        <v>1411</v>
      </c>
      <c r="H103" s="5" t="n">
        <v>10</v>
      </c>
      <c r="I103" s="5" t="s">
        <v>152</v>
      </c>
      <c r="J103" s="5" t="s">
        <v>153</v>
      </c>
      <c r="K103" s="5" t="s">
        <v>1412</v>
      </c>
      <c r="L103" s="5" t="s">
        <v>30</v>
      </c>
      <c r="M103" s="5" t="s">
        <v>155</v>
      </c>
      <c r="N103" s="5" t="s">
        <v>1413</v>
      </c>
      <c r="O103" s="5" t="s">
        <v>157</v>
      </c>
      <c r="P103" s="5" t="s">
        <v>158</v>
      </c>
      <c r="Q103" s="5" t="s">
        <v>451</v>
      </c>
      <c r="R103" s="5" t="s">
        <v>1414</v>
      </c>
      <c r="S103" s="5" t="s">
        <v>1415</v>
      </c>
      <c r="T103" s="5" t="s">
        <v>162</v>
      </c>
      <c r="U103" s="5" t="n">
        <v>365</v>
      </c>
      <c r="V103" s="5" t="s">
        <v>1416</v>
      </c>
      <c r="W103" s="5" t="s">
        <v>1417</v>
      </c>
      <c r="X103" s="5" t="s">
        <v>1418</v>
      </c>
      <c r="Y103" s="5" t="s">
        <v>1419</v>
      </c>
      <c r="Z103" s="5" t="s">
        <v>1420</v>
      </c>
      <c r="AA103" s="5" t="s">
        <v>1421</v>
      </c>
      <c r="AB103" s="5"/>
      <c r="AC103" s="5"/>
      <c r="AD103" s="5"/>
      <c r="AE103" s="5"/>
      <c r="AF103" s="5" t="s">
        <v>1422</v>
      </c>
      <c r="AG103" s="5" t="s">
        <v>1422</v>
      </c>
      <c r="AH103" s="5" t="s">
        <v>1423</v>
      </c>
      <c r="AI103" s="5" t="s">
        <v>1424</v>
      </c>
      <c r="AJ103" s="5" t="s">
        <v>1425</v>
      </c>
      <c r="AK103" s="5" t="s">
        <v>251</v>
      </c>
      <c r="AL103" s="5" t="s">
        <v>1422</v>
      </c>
      <c r="AM103" s="5" t="s">
        <v>1422</v>
      </c>
      <c r="AN103" s="5"/>
      <c r="AO103" s="5" t="s">
        <v>1426</v>
      </c>
      <c r="AP103" s="5" t="s">
        <v>1427</v>
      </c>
      <c r="AQ103" s="5" t="s">
        <v>1422</v>
      </c>
      <c r="AR103" s="5" t="s">
        <v>596</v>
      </c>
      <c r="AS103" s="5" t="s">
        <v>1428</v>
      </c>
      <c r="AT103" s="5" t="s">
        <v>1429</v>
      </c>
      <c r="AU103" s="5" t="s">
        <v>1430</v>
      </c>
      <c r="AV103" s="5" t="s">
        <v>178</v>
      </c>
      <c r="AW103" s="5" t="s">
        <v>1431</v>
      </c>
    </row>
    <row r="104" customFormat="false" ht="169.4" hidden="false" customHeight="false" outlineLevel="0" collapsed="false">
      <c r="A104" s="5" t="s">
        <v>1432</v>
      </c>
      <c r="B104" s="5" t="s">
        <v>1433</v>
      </c>
      <c r="C104" s="5" t="s">
        <v>1408</v>
      </c>
      <c r="D104" s="5" t="s">
        <v>1409</v>
      </c>
      <c r="E104" s="5" t="s">
        <v>626</v>
      </c>
      <c r="F104" s="5" t="s">
        <v>1434</v>
      </c>
      <c r="G104" s="5" t="s">
        <v>1435</v>
      </c>
      <c r="H104" s="5" t="n">
        <v>8</v>
      </c>
      <c r="I104" s="5" t="s">
        <v>152</v>
      </c>
      <c r="J104" s="5" t="s">
        <v>153</v>
      </c>
      <c r="K104" s="5" t="s">
        <v>1436</v>
      </c>
      <c r="L104" s="5" t="s">
        <v>30</v>
      </c>
      <c r="M104" s="5" t="s">
        <v>155</v>
      </c>
      <c r="N104" s="5" t="s">
        <v>1437</v>
      </c>
      <c r="O104" s="5" t="s">
        <v>157</v>
      </c>
      <c r="P104" s="5" t="s">
        <v>158</v>
      </c>
      <c r="Q104" s="5" t="s">
        <v>451</v>
      </c>
      <c r="R104" s="5" t="s">
        <v>1414</v>
      </c>
      <c r="S104" s="5" t="s">
        <v>1415</v>
      </c>
      <c r="T104" s="5" t="s">
        <v>162</v>
      </c>
      <c r="U104" s="5" t="n">
        <v>365</v>
      </c>
      <c r="V104" s="5" t="s">
        <v>1416</v>
      </c>
      <c r="W104" s="5" t="s">
        <v>1417</v>
      </c>
      <c r="X104" s="5" t="s">
        <v>1438</v>
      </c>
      <c r="Y104" s="5" t="s">
        <v>1439</v>
      </c>
      <c r="Z104" s="5" t="s">
        <v>1440</v>
      </c>
      <c r="AA104" s="5" t="s">
        <v>1441</v>
      </c>
      <c r="AB104" s="5"/>
      <c r="AC104" s="5"/>
      <c r="AD104" s="5"/>
      <c r="AE104" s="5"/>
      <c r="AF104" s="5" t="s">
        <v>1442</v>
      </c>
      <c r="AG104" s="5" t="s">
        <v>1422</v>
      </c>
      <c r="AH104" s="5"/>
      <c r="AI104" s="5"/>
      <c r="AJ104" s="5" t="s">
        <v>1443</v>
      </c>
      <c r="AK104" s="5" t="s">
        <v>251</v>
      </c>
      <c r="AL104" s="5" t="s">
        <v>1442</v>
      </c>
      <c r="AM104" s="5" t="s">
        <v>1422</v>
      </c>
      <c r="AN104" s="5"/>
      <c r="AO104" s="5" t="s">
        <v>1444</v>
      </c>
      <c r="AP104" s="5" t="s">
        <v>1427</v>
      </c>
      <c r="AQ104" s="5" t="s">
        <v>1442</v>
      </c>
      <c r="AR104" s="5" t="s">
        <v>1445</v>
      </c>
      <c r="AS104" s="5"/>
      <c r="AT104" s="5" t="s">
        <v>1429</v>
      </c>
      <c r="AU104" s="5" t="s">
        <v>1430</v>
      </c>
      <c r="AV104" s="5" t="s">
        <v>178</v>
      </c>
      <c r="AW104" s="5" t="s">
        <v>1446</v>
      </c>
    </row>
    <row r="105" customFormat="false" ht="225.35" hidden="false" customHeight="false" outlineLevel="0" collapsed="false">
      <c r="A105" s="5" t="s">
        <v>1447</v>
      </c>
      <c r="B105" s="5" t="s">
        <v>1448</v>
      </c>
      <c r="C105" s="5" t="s">
        <v>1408</v>
      </c>
      <c r="D105" s="5" t="s">
        <v>1409</v>
      </c>
      <c r="E105" s="5" t="s">
        <v>626</v>
      </c>
      <c r="F105" s="5" t="s">
        <v>1449</v>
      </c>
      <c r="G105" s="5" t="s">
        <v>1450</v>
      </c>
      <c r="H105" s="5" t="n">
        <v>10</v>
      </c>
      <c r="I105" s="5" t="s">
        <v>152</v>
      </c>
      <c r="J105" s="5" t="s">
        <v>153</v>
      </c>
      <c r="K105" s="5" t="s">
        <v>1412</v>
      </c>
      <c r="L105" s="5" t="s">
        <v>55</v>
      </c>
      <c r="M105" s="5" t="s">
        <v>185</v>
      </c>
      <c r="N105" s="5" t="s">
        <v>804</v>
      </c>
      <c r="O105" s="5" t="s">
        <v>187</v>
      </c>
      <c r="P105" s="5" t="s">
        <v>158</v>
      </c>
      <c r="Q105" s="5" t="s">
        <v>440</v>
      </c>
      <c r="R105" s="5" t="s">
        <v>1414</v>
      </c>
      <c r="S105" s="5" t="s">
        <v>1415</v>
      </c>
      <c r="T105" s="5" t="s">
        <v>162</v>
      </c>
      <c r="U105" s="5" t="n">
        <v>365</v>
      </c>
      <c r="V105" s="5" t="s">
        <v>1416</v>
      </c>
      <c r="W105" s="5" t="s">
        <v>1417</v>
      </c>
      <c r="X105" s="5" t="s">
        <v>1451</v>
      </c>
      <c r="Y105" s="5" t="s">
        <v>1452</v>
      </c>
      <c r="Z105" s="5" t="s">
        <v>1453</v>
      </c>
      <c r="AA105" s="5"/>
      <c r="AB105" s="5"/>
      <c r="AC105" s="5"/>
      <c r="AD105" s="5"/>
      <c r="AE105" s="5"/>
      <c r="AF105" s="5" t="s">
        <v>1454</v>
      </c>
      <c r="AG105" s="5"/>
      <c r="AH105" s="5"/>
      <c r="AI105" s="5"/>
      <c r="AJ105" s="5"/>
      <c r="AK105" s="5" t="s">
        <v>251</v>
      </c>
      <c r="AL105" s="5" t="s">
        <v>1454</v>
      </c>
      <c r="AM105" s="5"/>
      <c r="AN105" s="5"/>
      <c r="AO105" s="5" t="s">
        <v>1455</v>
      </c>
      <c r="AP105" s="5"/>
      <c r="AQ105" s="5"/>
      <c r="AR105" s="5" t="s">
        <v>596</v>
      </c>
      <c r="AS105" s="5"/>
      <c r="AT105" s="5"/>
      <c r="AU105" s="5" t="s">
        <v>1430</v>
      </c>
      <c r="AV105" s="5" t="s">
        <v>178</v>
      </c>
      <c r="AW105" s="5" t="s">
        <v>1456</v>
      </c>
    </row>
    <row r="106" customFormat="false" ht="191.75" hidden="false" customHeight="false" outlineLevel="0" collapsed="false">
      <c r="A106" s="5" t="s">
        <v>1457</v>
      </c>
      <c r="B106" s="5" t="s">
        <v>1458</v>
      </c>
      <c r="C106" s="5" t="s">
        <v>1408</v>
      </c>
      <c r="D106" s="5" t="s">
        <v>1409</v>
      </c>
      <c r="E106" s="5" t="s">
        <v>626</v>
      </c>
      <c r="F106" s="5" t="s">
        <v>1459</v>
      </c>
      <c r="G106" s="5" t="s">
        <v>1460</v>
      </c>
      <c r="H106" s="5" t="n">
        <v>9</v>
      </c>
      <c r="I106" s="5" t="s">
        <v>152</v>
      </c>
      <c r="J106" s="5" t="s">
        <v>153</v>
      </c>
      <c r="K106" s="5" t="s">
        <v>1461</v>
      </c>
      <c r="L106" s="5" t="s">
        <v>30</v>
      </c>
      <c r="M106" s="5" t="s">
        <v>155</v>
      </c>
      <c r="N106" s="5" t="s">
        <v>1462</v>
      </c>
      <c r="O106" s="5" t="s">
        <v>157</v>
      </c>
      <c r="P106" s="5" t="s">
        <v>158</v>
      </c>
      <c r="Q106" s="5" t="s">
        <v>399</v>
      </c>
      <c r="R106" s="5" t="s">
        <v>1414</v>
      </c>
      <c r="S106" s="5" t="s">
        <v>1415</v>
      </c>
      <c r="T106" s="5" t="s">
        <v>162</v>
      </c>
      <c r="U106" s="5" t="n">
        <v>365</v>
      </c>
      <c r="V106" s="5" t="s">
        <v>1416</v>
      </c>
      <c r="W106" s="5" t="s">
        <v>1417</v>
      </c>
      <c r="X106" s="5" t="s">
        <v>1463</v>
      </c>
      <c r="Y106" s="5" t="s">
        <v>1464</v>
      </c>
      <c r="Z106" s="5" t="s">
        <v>1465</v>
      </c>
      <c r="AA106" s="5" t="s">
        <v>1466</v>
      </c>
      <c r="AB106" s="5" t="s">
        <v>1467</v>
      </c>
      <c r="AC106" s="5"/>
      <c r="AD106" s="5"/>
      <c r="AE106" s="5"/>
      <c r="AF106" s="5" t="s">
        <v>1468</v>
      </c>
      <c r="AG106" s="5"/>
      <c r="AH106" s="5" t="s">
        <v>1469</v>
      </c>
      <c r="AI106" s="5"/>
      <c r="AJ106" s="5" t="s">
        <v>1470</v>
      </c>
      <c r="AK106" s="5" t="s">
        <v>251</v>
      </c>
      <c r="AL106" s="5" t="s">
        <v>1468</v>
      </c>
      <c r="AM106" s="5" t="s">
        <v>1471</v>
      </c>
      <c r="AN106" s="5"/>
      <c r="AO106" s="5" t="s">
        <v>1472</v>
      </c>
      <c r="AP106" s="5"/>
      <c r="AQ106" s="5" t="s">
        <v>1473</v>
      </c>
      <c r="AR106" s="5" t="s">
        <v>1445</v>
      </c>
      <c r="AS106" s="5"/>
      <c r="AT106" s="5" t="s">
        <v>1429</v>
      </c>
      <c r="AU106" s="5"/>
      <c r="AV106" s="5" t="s">
        <v>178</v>
      </c>
      <c r="AW106" s="5" t="s">
        <v>1474</v>
      </c>
    </row>
    <row r="107" customFormat="false" ht="169.4" hidden="false" customHeight="false" outlineLevel="0" collapsed="false">
      <c r="A107" s="5" t="s">
        <v>1475</v>
      </c>
      <c r="B107" s="5" t="s">
        <v>1476</v>
      </c>
      <c r="C107" s="5" t="s">
        <v>1408</v>
      </c>
      <c r="D107" s="5" t="s">
        <v>1409</v>
      </c>
      <c r="E107" s="5" t="s">
        <v>626</v>
      </c>
      <c r="F107" s="5" t="s">
        <v>1477</v>
      </c>
      <c r="G107" s="5" t="s">
        <v>1478</v>
      </c>
      <c r="H107" s="5" t="n">
        <v>7</v>
      </c>
      <c r="I107" s="5" t="s">
        <v>152</v>
      </c>
      <c r="J107" s="5" t="s">
        <v>153</v>
      </c>
      <c r="K107" s="5" t="s">
        <v>1479</v>
      </c>
      <c r="L107" s="5" t="s">
        <v>30</v>
      </c>
      <c r="M107" s="5" t="s">
        <v>155</v>
      </c>
      <c r="N107" s="5" t="s">
        <v>1480</v>
      </c>
      <c r="O107" s="5" t="s">
        <v>157</v>
      </c>
      <c r="P107" s="5" t="s">
        <v>158</v>
      </c>
      <c r="Q107" s="5" t="s">
        <v>335</v>
      </c>
      <c r="R107" s="5" t="s">
        <v>1414</v>
      </c>
      <c r="S107" s="5" t="s">
        <v>1415</v>
      </c>
      <c r="T107" s="5" t="s">
        <v>162</v>
      </c>
      <c r="U107" s="5" t="n">
        <v>365</v>
      </c>
      <c r="V107" s="5" t="s">
        <v>1416</v>
      </c>
      <c r="W107" s="5" t="s">
        <v>1417</v>
      </c>
      <c r="X107" s="5" t="s">
        <v>1481</v>
      </c>
      <c r="Y107" s="5" t="s">
        <v>1482</v>
      </c>
      <c r="Z107" s="5" t="s">
        <v>1483</v>
      </c>
      <c r="AA107" s="5"/>
      <c r="AB107" s="5"/>
      <c r="AC107" s="5"/>
      <c r="AD107" s="5"/>
      <c r="AE107" s="5"/>
      <c r="AF107" s="5" t="s">
        <v>1484</v>
      </c>
      <c r="AG107" s="5" t="s">
        <v>1484</v>
      </c>
      <c r="AH107" s="5"/>
      <c r="AI107" s="5"/>
      <c r="AJ107" s="5" t="s">
        <v>1485</v>
      </c>
      <c r="AK107" s="5"/>
      <c r="AL107" s="5" t="s">
        <v>1484</v>
      </c>
      <c r="AM107" s="5" t="s">
        <v>1484</v>
      </c>
      <c r="AN107" s="5"/>
      <c r="AO107" s="5" t="s">
        <v>1472</v>
      </c>
      <c r="AP107" s="5"/>
      <c r="AQ107" s="5"/>
      <c r="AR107" s="5" t="s">
        <v>596</v>
      </c>
      <c r="AS107" s="5"/>
      <c r="AT107" s="5"/>
      <c r="AU107" s="5"/>
      <c r="AV107" s="5" t="s">
        <v>178</v>
      </c>
      <c r="AW107" s="5" t="s">
        <v>1486</v>
      </c>
    </row>
    <row r="108" customFormat="false" ht="214.15" hidden="false" customHeight="false" outlineLevel="0" collapsed="false">
      <c r="A108" s="5" t="s">
        <v>1487</v>
      </c>
      <c r="B108" s="5" t="s">
        <v>1488</v>
      </c>
      <c r="C108" s="5" t="s">
        <v>1408</v>
      </c>
      <c r="D108" s="5" t="s">
        <v>1409</v>
      </c>
      <c r="E108" s="5" t="s">
        <v>626</v>
      </c>
      <c r="F108" s="5" t="s">
        <v>1489</v>
      </c>
      <c r="G108" s="5" t="s">
        <v>1490</v>
      </c>
      <c r="H108" s="5" t="n">
        <v>5</v>
      </c>
      <c r="I108" s="5" t="s">
        <v>603</v>
      </c>
      <c r="J108" s="5" t="s">
        <v>557</v>
      </c>
      <c r="K108" s="5"/>
      <c r="L108" s="5" t="s">
        <v>68</v>
      </c>
      <c r="M108" s="5" t="s">
        <v>185</v>
      </c>
      <c r="N108" s="5" t="s">
        <v>72</v>
      </c>
      <c r="O108" s="5" t="s">
        <v>666</v>
      </c>
      <c r="P108" s="5" t="s">
        <v>215</v>
      </c>
      <c r="Q108" s="5" t="s">
        <v>451</v>
      </c>
      <c r="R108" s="5" t="s">
        <v>1414</v>
      </c>
      <c r="S108" s="5" t="s">
        <v>1415</v>
      </c>
      <c r="T108" s="5" t="s">
        <v>606</v>
      </c>
      <c r="U108" s="5" t="n">
        <v>90</v>
      </c>
      <c r="V108" s="5" t="s">
        <v>1416</v>
      </c>
      <c r="W108" s="5" t="s">
        <v>1417</v>
      </c>
      <c r="X108" s="5" t="s">
        <v>1491</v>
      </c>
      <c r="Y108" s="5" t="s">
        <v>1492</v>
      </c>
      <c r="Z108" s="5" t="s">
        <v>1493</v>
      </c>
      <c r="AA108" s="5"/>
      <c r="AB108" s="5"/>
      <c r="AC108" s="5"/>
      <c r="AD108" s="5"/>
      <c r="AE108" s="5"/>
      <c r="AF108" s="5" t="s">
        <v>1494</v>
      </c>
      <c r="AG108" s="5"/>
      <c r="AH108" s="5"/>
      <c r="AI108" s="5"/>
      <c r="AJ108" s="5"/>
      <c r="AK108" s="5"/>
      <c r="AL108" s="5" t="s">
        <v>1494</v>
      </c>
      <c r="AM108" s="5"/>
      <c r="AN108" s="5"/>
      <c r="AO108" s="5" t="s">
        <v>1455</v>
      </c>
      <c r="AP108" s="5"/>
      <c r="AQ108" s="5"/>
      <c r="AR108" s="5" t="s">
        <v>596</v>
      </c>
      <c r="AS108" s="5"/>
      <c r="AT108" s="5"/>
      <c r="AU108" s="5" t="s">
        <v>1430</v>
      </c>
      <c r="AV108" s="5"/>
      <c r="AW108" s="5" t="s">
        <v>1495</v>
      </c>
    </row>
    <row r="109" customFormat="false" ht="147" hidden="false" customHeight="false" outlineLevel="0" collapsed="false">
      <c r="A109" s="5" t="s">
        <v>1496</v>
      </c>
      <c r="B109" s="5" t="s">
        <v>1497</v>
      </c>
      <c r="C109" s="5" t="s">
        <v>1408</v>
      </c>
      <c r="D109" s="5" t="s">
        <v>1409</v>
      </c>
      <c r="E109" s="5" t="s">
        <v>626</v>
      </c>
      <c r="F109" s="5" t="s">
        <v>1498</v>
      </c>
      <c r="G109" s="5" t="s">
        <v>1499</v>
      </c>
      <c r="H109" s="5" t="n">
        <v>9</v>
      </c>
      <c r="I109" s="5" t="s">
        <v>152</v>
      </c>
      <c r="J109" s="5" t="s">
        <v>153</v>
      </c>
      <c r="K109" s="5" t="s">
        <v>1479</v>
      </c>
      <c r="L109" s="5" t="s">
        <v>30</v>
      </c>
      <c r="M109" s="5" t="s">
        <v>155</v>
      </c>
      <c r="N109" s="5" t="s">
        <v>1500</v>
      </c>
      <c r="O109" s="5" t="s">
        <v>157</v>
      </c>
      <c r="P109" s="5" t="s">
        <v>158</v>
      </c>
      <c r="Q109" s="5" t="s">
        <v>335</v>
      </c>
      <c r="R109" s="5" t="s">
        <v>1414</v>
      </c>
      <c r="S109" s="5" t="s">
        <v>1415</v>
      </c>
      <c r="T109" s="5" t="s">
        <v>162</v>
      </c>
      <c r="U109" s="5" t="n">
        <v>365</v>
      </c>
      <c r="V109" s="5" t="s">
        <v>1416</v>
      </c>
      <c r="W109" s="5" t="s">
        <v>1417</v>
      </c>
      <c r="X109" s="5" t="s">
        <v>1501</v>
      </c>
      <c r="Y109" s="5" t="s">
        <v>1502</v>
      </c>
      <c r="Z109" s="5" t="s">
        <v>1503</v>
      </c>
      <c r="AA109" s="5"/>
      <c r="AB109" s="5"/>
      <c r="AC109" s="5"/>
      <c r="AD109" s="5"/>
      <c r="AE109" s="5"/>
      <c r="AF109" s="5" t="s">
        <v>1504</v>
      </c>
      <c r="AG109" s="5" t="s">
        <v>1504</v>
      </c>
      <c r="AH109" s="5"/>
      <c r="AI109" s="5"/>
      <c r="AJ109" s="5" t="s">
        <v>1505</v>
      </c>
      <c r="AK109" s="5" t="s">
        <v>251</v>
      </c>
      <c r="AL109" s="5" t="s">
        <v>1504</v>
      </c>
      <c r="AM109" s="5"/>
      <c r="AN109" s="5" t="s">
        <v>1506</v>
      </c>
      <c r="AO109" s="5"/>
      <c r="AP109" s="5"/>
      <c r="AQ109" s="5" t="s">
        <v>1504</v>
      </c>
      <c r="AR109" s="5" t="s">
        <v>596</v>
      </c>
      <c r="AS109" s="5"/>
      <c r="AT109" s="5"/>
      <c r="AU109" s="5"/>
      <c r="AV109" s="5" t="s">
        <v>178</v>
      </c>
      <c r="AW109" s="5" t="s">
        <v>1486</v>
      </c>
    </row>
    <row r="110" customFormat="false" ht="147" hidden="false" customHeight="false" outlineLevel="0" collapsed="false">
      <c r="A110" s="5" t="s">
        <v>1507</v>
      </c>
      <c r="B110" s="5" t="s">
        <v>1508</v>
      </c>
      <c r="C110" s="5" t="s">
        <v>1408</v>
      </c>
      <c r="D110" s="5" t="s">
        <v>1409</v>
      </c>
      <c r="E110" s="5" t="s">
        <v>626</v>
      </c>
      <c r="F110" s="5" t="s">
        <v>1509</v>
      </c>
      <c r="G110" s="5" t="s">
        <v>1510</v>
      </c>
      <c r="H110" s="5" t="n">
        <v>8</v>
      </c>
      <c r="I110" s="5" t="s">
        <v>152</v>
      </c>
      <c r="J110" s="5" t="s">
        <v>153</v>
      </c>
      <c r="K110" s="5" t="s">
        <v>1511</v>
      </c>
      <c r="L110" s="5" t="s">
        <v>30</v>
      </c>
      <c r="M110" s="5" t="s">
        <v>155</v>
      </c>
      <c r="N110" s="5" t="s">
        <v>1500</v>
      </c>
      <c r="O110" s="5" t="s">
        <v>157</v>
      </c>
      <c r="P110" s="5" t="s">
        <v>158</v>
      </c>
      <c r="Q110" s="5" t="s">
        <v>440</v>
      </c>
      <c r="R110" s="5" t="s">
        <v>1414</v>
      </c>
      <c r="S110" s="5" t="s">
        <v>1415</v>
      </c>
      <c r="T110" s="5" t="s">
        <v>162</v>
      </c>
      <c r="U110" s="5" t="n">
        <v>365</v>
      </c>
      <c r="V110" s="5" t="s">
        <v>1416</v>
      </c>
      <c r="W110" s="5" t="s">
        <v>1417</v>
      </c>
      <c r="X110" s="5" t="s">
        <v>1512</v>
      </c>
      <c r="Y110" s="5" t="s">
        <v>1513</v>
      </c>
      <c r="Z110" s="5" t="s">
        <v>1514</v>
      </c>
      <c r="AA110" s="5"/>
      <c r="AB110" s="5"/>
      <c r="AC110" s="5"/>
      <c r="AD110" s="5"/>
      <c r="AE110" s="5"/>
      <c r="AF110" s="5" t="s">
        <v>1515</v>
      </c>
      <c r="AG110" s="5" t="s">
        <v>1515</v>
      </c>
      <c r="AH110" s="5"/>
      <c r="AI110" s="5"/>
      <c r="AJ110" s="5" t="s">
        <v>1516</v>
      </c>
      <c r="AK110" s="5" t="s">
        <v>251</v>
      </c>
      <c r="AL110" s="5" t="s">
        <v>1515</v>
      </c>
      <c r="AM110" s="5"/>
      <c r="AN110" s="5" t="s">
        <v>1517</v>
      </c>
      <c r="AO110" s="5"/>
      <c r="AP110" s="5"/>
      <c r="AQ110" s="5" t="s">
        <v>1515</v>
      </c>
      <c r="AR110" s="5" t="s">
        <v>596</v>
      </c>
      <c r="AS110" s="5"/>
      <c r="AT110" s="5"/>
      <c r="AU110" s="5"/>
      <c r="AV110" s="5" t="s">
        <v>178</v>
      </c>
      <c r="AW110" s="5" t="s">
        <v>1518</v>
      </c>
    </row>
    <row r="111" customFormat="false" ht="169.4" hidden="false" customHeight="false" outlineLevel="0" collapsed="false">
      <c r="A111" s="5" t="s">
        <v>1519</v>
      </c>
      <c r="B111" s="5" t="s">
        <v>1520</v>
      </c>
      <c r="C111" s="5" t="s">
        <v>1408</v>
      </c>
      <c r="D111" s="5" t="s">
        <v>1409</v>
      </c>
      <c r="E111" s="5" t="s">
        <v>626</v>
      </c>
      <c r="F111" s="5" t="s">
        <v>1521</v>
      </c>
      <c r="G111" s="5" t="s">
        <v>1522</v>
      </c>
      <c r="H111" s="5" t="n">
        <v>3</v>
      </c>
      <c r="I111" s="5" t="s">
        <v>603</v>
      </c>
      <c r="J111" s="5" t="s">
        <v>153</v>
      </c>
      <c r="K111" s="5"/>
      <c r="L111" s="5" t="s">
        <v>30</v>
      </c>
      <c r="M111" s="5" t="s">
        <v>155</v>
      </c>
      <c r="N111" s="5" t="s">
        <v>127</v>
      </c>
      <c r="O111" s="5" t="s">
        <v>570</v>
      </c>
      <c r="P111" s="5" t="s">
        <v>215</v>
      </c>
      <c r="Q111" s="5" t="s">
        <v>451</v>
      </c>
      <c r="R111" s="5" t="s">
        <v>1414</v>
      </c>
      <c r="S111" s="5" t="s">
        <v>1415</v>
      </c>
      <c r="T111" s="5" t="s">
        <v>606</v>
      </c>
      <c r="U111" s="5" t="n">
        <v>365</v>
      </c>
      <c r="V111" s="5" t="s">
        <v>1416</v>
      </c>
      <c r="W111" s="5" t="s">
        <v>1417</v>
      </c>
      <c r="X111" s="5" t="s">
        <v>1523</v>
      </c>
      <c r="Y111" s="5" t="s">
        <v>1524</v>
      </c>
      <c r="Z111" s="5" t="s">
        <v>1525</v>
      </c>
      <c r="AA111" s="5"/>
      <c r="AB111" s="5"/>
      <c r="AC111" s="5"/>
      <c r="AD111" s="5" t="s">
        <v>1526</v>
      </c>
      <c r="AE111" s="5"/>
      <c r="AF111" s="5" t="s">
        <v>1527</v>
      </c>
      <c r="AG111" s="5"/>
      <c r="AH111" s="5"/>
      <c r="AI111" s="5"/>
      <c r="AJ111" s="5"/>
      <c r="AK111" s="5"/>
      <c r="AL111" s="5" t="s">
        <v>1527</v>
      </c>
      <c r="AM111" s="5"/>
      <c r="AN111" s="5"/>
      <c r="AO111" s="5"/>
      <c r="AP111" s="5"/>
      <c r="AQ111" s="5"/>
      <c r="AR111" s="5" t="s">
        <v>1528</v>
      </c>
      <c r="AS111" s="5"/>
      <c r="AT111" s="5"/>
      <c r="AU111" s="5"/>
      <c r="AV111" s="5"/>
      <c r="AW111" s="5" t="s">
        <v>1529</v>
      </c>
    </row>
    <row r="112" customFormat="false" ht="135.8" hidden="false" customHeight="false" outlineLevel="0" collapsed="false">
      <c r="A112" s="5" t="s">
        <v>1530</v>
      </c>
      <c r="B112" s="5" t="s">
        <v>1531</v>
      </c>
      <c r="C112" s="5" t="s">
        <v>1408</v>
      </c>
      <c r="D112" s="5" t="s">
        <v>1409</v>
      </c>
      <c r="E112" s="5" t="s">
        <v>626</v>
      </c>
      <c r="F112" s="5" t="s">
        <v>1532</v>
      </c>
      <c r="G112" s="5" t="s">
        <v>1533</v>
      </c>
      <c r="H112" s="5" t="n">
        <v>6</v>
      </c>
      <c r="I112" s="5" t="s">
        <v>152</v>
      </c>
      <c r="J112" s="5" t="s">
        <v>153</v>
      </c>
      <c r="K112" s="5"/>
      <c r="L112" s="5" t="s">
        <v>30</v>
      </c>
      <c r="M112" s="5" t="s">
        <v>155</v>
      </c>
      <c r="N112" s="5" t="s">
        <v>1534</v>
      </c>
      <c r="O112" s="5" t="s">
        <v>157</v>
      </c>
      <c r="P112" s="5" t="s">
        <v>215</v>
      </c>
      <c r="Q112" s="5" t="s">
        <v>451</v>
      </c>
      <c r="R112" s="5" t="s">
        <v>1414</v>
      </c>
      <c r="S112" s="5" t="s">
        <v>1415</v>
      </c>
      <c r="T112" s="5" t="s">
        <v>162</v>
      </c>
      <c r="U112" s="5" t="n">
        <v>365</v>
      </c>
      <c r="V112" s="5" t="s">
        <v>1416</v>
      </c>
      <c r="W112" s="5" t="s">
        <v>1417</v>
      </c>
      <c r="X112" s="5" t="s">
        <v>1535</v>
      </c>
      <c r="Y112" s="5" t="s">
        <v>1536</v>
      </c>
      <c r="Z112" s="5" t="s">
        <v>1537</v>
      </c>
      <c r="AA112" s="5" t="s">
        <v>1538</v>
      </c>
      <c r="AB112" s="5"/>
      <c r="AC112" s="5"/>
      <c r="AD112" s="5"/>
      <c r="AE112" s="5"/>
      <c r="AF112" s="5" t="s">
        <v>1539</v>
      </c>
      <c r="AG112" s="5" t="s">
        <v>1540</v>
      </c>
      <c r="AH112" s="5"/>
      <c r="AI112" s="5"/>
      <c r="AJ112" s="5"/>
      <c r="AK112" s="5"/>
      <c r="AL112" s="5" t="s">
        <v>1539</v>
      </c>
      <c r="AM112" s="5" t="s">
        <v>1540</v>
      </c>
      <c r="AN112" s="5"/>
      <c r="AO112" s="5"/>
      <c r="AP112" s="5"/>
      <c r="AQ112" s="5" t="s">
        <v>1540</v>
      </c>
      <c r="AR112" s="5" t="s">
        <v>1541</v>
      </c>
      <c r="AS112" s="5"/>
      <c r="AT112" s="5"/>
      <c r="AU112" s="5"/>
      <c r="AV112" s="5"/>
      <c r="AW112" s="5" t="s">
        <v>1542</v>
      </c>
    </row>
    <row r="113" customFormat="false" ht="180.55" hidden="false" customHeight="false" outlineLevel="0" collapsed="false">
      <c r="A113" s="5" t="s">
        <v>1543</v>
      </c>
      <c r="B113" s="5" t="s">
        <v>1544</v>
      </c>
      <c r="C113" s="5" t="s">
        <v>1408</v>
      </c>
      <c r="D113" s="5" t="s">
        <v>1409</v>
      </c>
      <c r="E113" s="5" t="s">
        <v>626</v>
      </c>
      <c r="F113" s="5" t="s">
        <v>1545</v>
      </c>
      <c r="G113" s="5" t="s">
        <v>1546</v>
      </c>
      <c r="H113" s="5" t="n">
        <v>6</v>
      </c>
      <c r="I113" s="5" t="s">
        <v>603</v>
      </c>
      <c r="J113" s="5" t="s">
        <v>153</v>
      </c>
      <c r="K113" s="5"/>
      <c r="L113" s="5" t="s">
        <v>55</v>
      </c>
      <c r="M113" s="5" t="s">
        <v>185</v>
      </c>
      <c r="N113" s="5" t="s">
        <v>439</v>
      </c>
      <c r="O113" s="5" t="s">
        <v>187</v>
      </c>
      <c r="P113" s="5" t="s">
        <v>158</v>
      </c>
      <c r="Q113" s="5" t="s">
        <v>519</v>
      </c>
      <c r="R113" s="5" t="s">
        <v>1414</v>
      </c>
      <c r="S113" s="5" t="s">
        <v>1415</v>
      </c>
      <c r="T113" s="5" t="s">
        <v>606</v>
      </c>
      <c r="U113" s="5" t="n">
        <v>365</v>
      </c>
      <c r="V113" s="5" t="s">
        <v>1416</v>
      </c>
      <c r="W113" s="5" t="s">
        <v>1417</v>
      </c>
      <c r="X113" s="5" t="s">
        <v>1547</v>
      </c>
      <c r="Y113" s="5" t="s">
        <v>1548</v>
      </c>
      <c r="Z113" s="5" t="s">
        <v>1549</v>
      </c>
      <c r="AA113" s="5"/>
      <c r="AB113" s="5"/>
      <c r="AC113" s="5"/>
      <c r="AD113" s="5"/>
      <c r="AE113" s="5"/>
      <c r="AF113" s="5" t="s">
        <v>1550</v>
      </c>
      <c r="AG113" s="5"/>
      <c r="AH113" s="5"/>
      <c r="AI113" s="5"/>
      <c r="AJ113" s="5" t="s">
        <v>1516</v>
      </c>
      <c r="AK113" s="5"/>
      <c r="AL113" s="5" t="s">
        <v>1550</v>
      </c>
      <c r="AM113" s="5"/>
      <c r="AN113" s="5"/>
      <c r="AO113" s="5"/>
      <c r="AP113" s="5"/>
      <c r="AQ113" s="5"/>
      <c r="AR113" s="5" t="s">
        <v>596</v>
      </c>
      <c r="AS113" s="5"/>
      <c r="AT113" s="5"/>
      <c r="AU113" s="5"/>
      <c r="AV113" s="5" t="s">
        <v>178</v>
      </c>
      <c r="AW113" s="5" t="s">
        <v>1551</v>
      </c>
    </row>
    <row r="114" customFormat="false" ht="147" hidden="false" customHeight="false" outlineLevel="0" collapsed="false">
      <c r="A114" s="5" t="s">
        <v>1552</v>
      </c>
      <c r="B114" s="5" t="s">
        <v>1553</v>
      </c>
      <c r="C114" s="5" t="s">
        <v>1408</v>
      </c>
      <c r="D114" s="5" t="s">
        <v>1409</v>
      </c>
      <c r="E114" s="5" t="s">
        <v>626</v>
      </c>
      <c r="F114" s="5" t="s">
        <v>1554</v>
      </c>
      <c r="G114" s="5" t="s">
        <v>1555</v>
      </c>
      <c r="H114" s="5" t="n">
        <v>9</v>
      </c>
      <c r="I114" s="5" t="s">
        <v>152</v>
      </c>
      <c r="J114" s="5" t="s">
        <v>153</v>
      </c>
      <c r="K114" s="5" t="s">
        <v>1556</v>
      </c>
      <c r="L114" s="5" t="s">
        <v>30</v>
      </c>
      <c r="M114" s="5" t="s">
        <v>155</v>
      </c>
      <c r="N114" s="5" t="s">
        <v>994</v>
      </c>
      <c r="O114" s="5" t="s">
        <v>157</v>
      </c>
      <c r="P114" s="5" t="s">
        <v>158</v>
      </c>
      <c r="Q114" s="5" t="s">
        <v>451</v>
      </c>
      <c r="R114" s="5" t="s">
        <v>1414</v>
      </c>
      <c r="S114" s="5" t="s">
        <v>1415</v>
      </c>
      <c r="T114" s="5" t="s">
        <v>162</v>
      </c>
      <c r="U114" s="5" t="n">
        <v>365</v>
      </c>
      <c r="V114" s="5" t="s">
        <v>1416</v>
      </c>
      <c r="W114" s="5" t="s">
        <v>1417</v>
      </c>
      <c r="X114" s="5" t="s">
        <v>1557</v>
      </c>
      <c r="Y114" s="5" t="s">
        <v>1558</v>
      </c>
      <c r="Z114" s="5" t="s">
        <v>1559</v>
      </c>
      <c r="AA114" s="5"/>
      <c r="AB114" s="5"/>
      <c r="AC114" s="5"/>
      <c r="AD114" s="5"/>
      <c r="AE114" s="5"/>
      <c r="AF114" s="5" t="s">
        <v>1560</v>
      </c>
      <c r="AG114" s="5" t="s">
        <v>1560</v>
      </c>
      <c r="AH114" s="5"/>
      <c r="AI114" s="5"/>
      <c r="AJ114" s="5"/>
      <c r="AK114" s="5"/>
      <c r="AL114" s="5" t="s">
        <v>1560</v>
      </c>
      <c r="AM114" s="5" t="s">
        <v>1560</v>
      </c>
      <c r="AN114" s="5"/>
      <c r="AO114" s="5"/>
      <c r="AP114" s="5"/>
      <c r="AQ114" s="5" t="s">
        <v>1560</v>
      </c>
      <c r="AR114" s="5" t="s">
        <v>596</v>
      </c>
      <c r="AS114" s="5"/>
      <c r="AT114" s="5"/>
      <c r="AU114" s="5"/>
      <c r="AV114" s="5" t="s">
        <v>178</v>
      </c>
      <c r="AW114" s="5" t="s">
        <v>1561</v>
      </c>
    </row>
    <row r="115" customFormat="false" ht="202.95" hidden="false" customHeight="false" outlineLevel="0" collapsed="false">
      <c r="A115" s="5" t="s">
        <v>1562</v>
      </c>
      <c r="B115" s="5" t="s">
        <v>1563</v>
      </c>
      <c r="C115" s="5" t="s">
        <v>1408</v>
      </c>
      <c r="D115" s="5" t="s">
        <v>1409</v>
      </c>
      <c r="E115" s="5" t="s">
        <v>626</v>
      </c>
      <c r="F115" s="5" t="s">
        <v>1564</v>
      </c>
      <c r="G115" s="5" t="s">
        <v>1565</v>
      </c>
      <c r="H115" s="5" t="n">
        <v>9</v>
      </c>
      <c r="I115" s="5" t="s">
        <v>152</v>
      </c>
      <c r="J115" s="5" t="s">
        <v>153</v>
      </c>
      <c r="K115" s="5"/>
      <c r="L115" s="5" t="s">
        <v>30</v>
      </c>
      <c r="M115" s="5" t="s">
        <v>155</v>
      </c>
      <c r="N115" s="5" t="s">
        <v>1566</v>
      </c>
      <c r="O115" s="5" t="s">
        <v>570</v>
      </c>
      <c r="P115" s="5" t="s">
        <v>215</v>
      </c>
      <c r="Q115" s="5" t="s">
        <v>451</v>
      </c>
      <c r="R115" s="5" t="s">
        <v>1414</v>
      </c>
      <c r="S115" s="5" t="s">
        <v>1415</v>
      </c>
      <c r="T115" s="5" t="s">
        <v>162</v>
      </c>
      <c r="U115" s="5" t="n">
        <v>365</v>
      </c>
      <c r="V115" s="5" t="s">
        <v>1416</v>
      </c>
      <c r="W115" s="5" t="s">
        <v>1417</v>
      </c>
      <c r="X115" s="5" t="s">
        <v>1567</v>
      </c>
      <c r="Y115" s="5" t="s">
        <v>1568</v>
      </c>
      <c r="Z115" s="5" t="s">
        <v>1569</v>
      </c>
      <c r="AA115" s="5"/>
      <c r="AB115" s="5" t="s">
        <v>1467</v>
      </c>
      <c r="AC115" s="5"/>
      <c r="AD115" s="5" t="s">
        <v>1570</v>
      </c>
      <c r="AE115" s="5"/>
      <c r="AF115" s="5" t="s">
        <v>1571</v>
      </c>
      <c r="AG115" s="5" t="s">
        <v>1471</v>
      </c>
      <c r="AH115" s="5"/>
      <c r="AI115" s="5"/>
      <c r="AJ115" s="5" t="s">
        <v>1516</v>
      </c>
      <c r="AK115" s="5"/>
      <c r="AL115" s="5" t="s">
        <v>1571</v>
      </c>
      <c r="AM115" s="5" t="s">
        <v>1471</v>
      </c>
      <c r="AN115" s="5"/>
      <c r="AO115" s="5"/>
      <c r="AP115" s="5"/>
      <c r="AQ115" s="5" t="s">
        <v>1473</v>
      </c>
      <c r="AR115" s="5" t="s">
        <v>1572</v>
      </c>
      <c r="AS115" s="5"/>
      <c r="AT115" s="5"/>
      <c r="AU115" s="5"/>
      <c r="AV115" s="5" t="s">
        <v>178</v>
      </c>
      <c r="AW115" s="5" t="s">
        <v>1573</v>
      </c>
    </row>
    <row r="116" customFormat="false" ht="135.8" hidden="false" customHeight="false" outlineLevel="0" collapsed="false">
      <c r="A116" s="5" t="s">
        <v>1574</v>
      </c>
      <c r="B116" s="5" t="s">
        <v>1575</v>
      </c>
      <c r="C116" s="5" t="s">
        <v>1408</v>
      </c>
      <c r="D116" s="5" t="s">
        <v>1409</v>
      </c>
      <c r="E116" s="5" t="s">
        <v>626</v>
      </c>
      <c r="F116" s="5" t="s">
        <v>1576</v>
      </c>
      <c r="G116" s="5" t="s">
        <v>1577</v>
      </c>
      <c r="H116" s="5" t="n">
        <v>9</v>
      </c>
      <c r="I116" s="5" t="s">
        <v>152</v>
      </c>
      <c r="J116" s="5" t="s">
        <v>153</v>
      </c>
      <c r="K116" s="5"/>
      <c r="L116" s="5" t="s">
        <v>55</v>
      </c>
      <c r="M116" s="5" t="s">
        <v>185</v>
      </c>
      <c r="N116" s="5" t="s">
        <v>439</v>
      </c>
      <c r="O116" s="5" t="s">
        <v>187</v>
      </c>
      <c r="P116" s="5" t="s">
        <v>215</v>
      </c>
      <c r="Q116" s="5" t="s">
        <v>451</v>
      </c>
      <c r="R116" s="5" t="s">
        <v>1414</v>
      </c>
      <c r="S116" s="5" t="s">
        <v>1415</v>
      </c>
      <c r="T116" s="5" t="s">
        <v>162</v>
      </c>
      <c r="U116" s="5" t="n">
        <v>365</v>
      </c>
      <c r="V116" s="5" t="s">
        <v>1416</v>
      </c>
      <c r="W116" s="5" t="s">
        <v>1417</v>
      </c>
      <c r="X116" s="5" t="s">
        <v>1578</v>
      </c>
      <c r="Y116" s="5" t="s">
        <v>1579</v>
      </c>
      <c r="Z116" s="5" t="s">
        <v>1580</v>
      </c>
      <c r="AA116" s="5"/>
      <c r="AB116" s="5"/>
      <c r="AC116" s="5"/>
      <c r="AD116" s="5"/>
      <c r="AE116" s="5"/>
      <c r="AF116" s="5"/>
      <c r="AG116" s="5"/>
      <c r="AH116" s="5"/>
      <c r="AI116" s="5"/>
      <c r="AJ116" s="5" t="s">
        <v>1581</v>
      </c>
      <c r="AK116" s="5"/>
      <c r="AL116" s="5"/>
      <c r="AM116" s="5"/>
      <c r="AN116" s="5"/>
      <c r="AO116" s="5"/>
      <c r="AP116" s="5"/>
      <c r="AQ116" s="5"/>
      <c r="AR116" s="5"/>
      <c r="AS116" s="5"/>
      <c r="AT116" s="5"/>
      <c r="AU116" s="5"/>
      <c r="AV116" s="5"/>
      <c r="AW116" s="5" t="s">
        <v>1582</v>
      </c>
    </row>
    <row r="117" customFormat="false" ht="147" hidden="false" customHeight="false" outlineLevel="0" collapsed="false">
      <c r="A117" s="5" t="s">
        <v>1583</v>
      </c>
      <c r="B117" s="5" t="s">
        <v>1584</v>
      </c>
      <c r="C117" s="5" t="s">
        <v>1585</v>
      </c>
      <c r="D117" s="5" t="s">
        <v>1409</v>
      </c>
      <c r="E117" s="5" t="s">
        <v>626</v>
      </c>
      <c r="F117" s="5" t="s">
        <v>1586</v>
      </c>
      <c r="G117" s="5" t="s">
        <v>1587</v>
      </c>
      <c r="H117" s="5" t="n">
        <v>9</v>
      </c>
      <c r="I117" s="5" t="s">
        <v>152</v>
      </c>
      <c r="J117" s="5" t="s">
        <v>153</v>
      </c>
      <c r="K117" s="5"/>
      <c r="L117" s="5" t="s">
        <v>30</v>
      </c>
      <c r="M117" s="5" t="s">
        <v>155</v>
      </c>
      <c r="N117" s="5" t="s">
        <v>127</v>
      </c>
      <c r="O117" s="5" t="s">
        <v>570</v>
      </c>
      <c r="P117" s="5" t="s">
        <v>215</v>
      </c>
      <c r="Q117" s="5" t="s">
        <v>451</v>
      </c>
      <c r="R117" s="5" t="s">
        <v>1414</v>
      </c>
      <c r="S117" s="5" t="s">
        <v>1415</v>
      </c>
      <c r="T117" s="5" t="s">
        <v>162</v>
      </c>
      <c r="U117" s="5" t="n">
        <v>365</v>
      </c>
      <c r="V117" s="5" t="s">
        <v>1416</v>
      </c>
      <c r="W117" s="5" t="s">
        <v>1417</v>
      </c>
      <c r="X117" s="5" t="s">
        <v>1588</v>
      </c>
      <c r="Y117" s="5" t="s">
        <v>1589</v>
      </c>
      <c r="Z117" s="5" t="s">
        <v>1590</v>
      </c>
      <c r="AA117" s="5"/>
      <c r="AB117" s="5"/>
      <c r="AC117" s="5"/>
      <c r="AD117" s="5" t="s">
        <v>1591</v>
      </c>
      <c r="AE117" s="5"/>
      <c r="AF117" s="5"/>
      <c r="AG117" s="5"/>
      <c r="AH117" s="5"/>
      <c r="AI117" s="5"/>
      <c r="AJ117" s="5"/>
      <c r="AK117" s="5"/>
      <c r="AL117" s="5"/>
      <c r="AM117" s="5"/>
      <c r="AN117" s="5"/>
      <c r="AO117" s="5"/>
      <c r="AP117" s="5"/>
      <c r="AQ117" s="5"/>
      <c r="AR117" s="5"/>
      <c r="AS117" s="5"/>
      <c r="AT117" s="5"/>
      <c r="AU117" s="5"/>
      <c r="AV117" s="5"/>
      <c r="AW117" s="5" t="s">
        <v>1592</v>
      </c>
    </row>
    <row r="118" customFormat="false" ht="169.4" hidden="false" customHeight="false" outlineLevel="0" collapsed="false">
      <c r="A118" s="5" t="s">
        <v>1593</v>
      </c>
      <c r="B118" s="5" t="s">
        <v>1594</v>
      </c>
      <c r="C118" s="5" t="s">
        <v>1595</v>
      </c>
      <c r="D118" s="5" t="s">
        <v>1596</v>
      </c>
      <c r="E118" s="5" t="s">
        <v>149</v>
      </c>
      <c r="F118" s="5" t="s">
        <v>1597</v>
      </c>
      <c r="G118" s="5" t="s">
        <v>1598</v>
      </c>
      <c r="H118" s="5" t="n">
        <v>10</v>
      </c>
      <c r="I118" s="5" t="s">
        <v>152</v>
      </c>
      <c r="J118" s="5" t="s">
        <v>153</v>
      </c>
      <c r="K118" s="5" t="s">
        <v>1599</v>
      </c>
      <c r="L118" s="5" t="s">
        <v>68</v>
      </c>
      <c r="M118" s="5" t="s">
        <v>185</v>
      </c>
      <c r="N118" s="5" t="s">
        <v>72</v>
      </c>
      <c r="O118" s="5" t="s">
        <v>187</v>
      </c>
      <c r="P118" s="5" t="s">
        <v>158</v>
      </c>
      <c r="Q118" s="5" t="s">
        <v>440</v>
      </c>
      <c r="R118" s="5" t="s">
        <v>1600</v>
      </c>
      <c r="S118" s="5" t="s">
        <v>1601</v>
      </c>
      <c r="T118" s="5" t="s">
        <v>162</v>
      </c>
      <c r="U118" s="5" t="n">
        <v>365</v>
      </c>
      <c r="V118" s="5" t="s">
        <v>1602</v>
      </c>
      <c r="W118" s="5" t="s">
        <v>1603</v>
      </c>
      <c r="X118" s="5" t="s">
        <v>1604</v>
      </c>
      <c r="Y118" s="5" t="s">
        <v>1605</v>
      </c>
      <c r="Z118" s="5" t="s">
        <v>1606</v>
      </c>
      <c r="AA118" s="5"/>
      <c r="AB118" s="5"/>
      <c r="AC118" s="5"/>
      <c r="AD118" s="5"/>
      <c r="AE118" s="5"/>
      <c r="AF118" s="5"/>
      <c r="AG118" s="5"/>
      <c r="AH118" s="5"/>
      <c r="AI118" s="5"/>
      <c r="AJ118" s="5"/>
      <c r="AK118" s="5"/>
      <c r="AL118" s="5"/>
      <c r="AM118" s="5"/>
      <c r="AN118" s="5"/>
      <c r="AO118" s="5" t="s">
        <v>1607</v>
      </c>
      <c r="AP118" s="5"/>
      <c r="AQ118" s="5"/>
      <c r="AR118" s="5"/>
      <c r="AS118" s="5"/>
      <c r="AT118" s="5" t="s">
        <v>1608</v>
      </c>
      <c r="AU118" s="5" t="s">
        <v>528</v>
      </c>
      <c r="AV118" s="5" t="s">
        <v>178</v>
      </c>
      <c r="AW118" s="5" t="s">
        <v>1609</v>
      </c>
    </row>
    <row r="119" customFormat="false" ht="113.4" hidden="false" customHeight="false" outlineLevel="0" collapsed="false">
      <c r="A119" s="5" t="s">
        <v>1610</v>
      </c>
      <c r="B119" s="5" t="s">
        <v>1611</v>
      </c>
      <c r="C119" s="5" t="s">
        <v>1595</v>
      </c>
      <c r="D119" s="5" t="s">
        <v>1596</v>
      </c>
      <c r="E119" s="5" t="s">
        <v>626</v>
      </c>
      <c r="F119" s="5" t="s">
        <v>1612</v>
      </c>
      <c r="G119" s="5" t="s">
        <v>1613</v>
      </c>
      <c r="H119" s="5" t="n">
        <v>8</v>
      </c>
      <c r="I119" s="5" t="s">
        <v>152</v>
      </c>
      <c r="J119" s="5" t="s">
        <v>153</v>
      </c>
      <c r="K119" s="5" t="s">
        <v>1614</v>
      </c>
      <c r="L119" s="5" t="s">
        <v>68</v>
      </c>
      <c r="M119" s="5" t="s">
        <v>185</v>
      </c>
      <c r="N119" s="5" t="s">
        <v>72</v>
      </c>
      <c r="O119" s="5" t="s">
        <v>187</v>
      </c>
      <c r="P119" s="5" t="s">
        <v>215</v>
      </c>
      <c r="Q119" s="5" t="s">
        <v>440</v>
      </c>
      <c r="R119" s="5" t="s">
        <v>1600</v>
      </c>
      <c r="S119" s="5" t="s">
        <v>1601</v>
      </c>
      <c r="T119" s="5" t="s">
        <v>162</v>
      </c>
      <c r="U119" s="5" t="n">
        <v>365</v>
      </c>
      <c r="V119" s="5" t="s">
        <v>1602</v>
      </c>
      <c r="W119" s="5" t="s">
        <v>1603</v>
      </c>
      <c r="X119" s="5" t="s">
        <v>1615</v>
      </c>
      <c r="Y119" s="5" t="s">
        <v>1616</v>
      </c>
      <c r="Z119" s="5" t="s">
        <v>1617</v>
      </c>
      <c r="AA119" s="5"/>
      <c r="AB119" s="5"/>
      <c r="AC119" s="5"/>
      <c r="AD119" s="5"/>
      <c r="AE119" s="5"/>
      <c r="AF119" s="5"/>
      <c r="AG119" s="5"/>
      <c r="AH119" s="5"/>
      <c r="AI119" s="5"/>
      <c r="AJ119" s="5"/>
      <c r="AK119" s="5"/>
      <c r="AL119" s="5"/>
      <c r="AM119" s="5"/>
      <c r="AN119" s="5"/>
      <c r="AO119" s="5" t="s">
        <v>1607</v>
      </c>
      <c r="AP119" s="5"/>
      <c r="AQ119" s="5"/>
      <c r="AR119" s="5"/>
      <c r="AS119" s="5"/>
      <c r="AT119" s="5" t="s">
        <v>1608</v>
      </c>
      <c r="AU119" s="5"/>
      <c r="AV119" s="5" t="s">
        <v>178</v>
      </c>
      <c r="AW119" s="5" t="s">
        <v>1618</v>
      </c>
    </row>
    <row r="120" customFormat="false" ht="124.6" hidden="false" customHeight="false" outlineLevel="0" collapsed="false">
      <c r="A120" s="5" t="s">
        <v>1619</v>
      </c>
      <c r="B120" s="5" t="s">
        <v>1620</v>
      </c>
      <c r="C120" s="5" t="s">
        <v>1595</v>
      </c>
      <c r="D120" s="5" t="s">
        <v>1596</v>
      </c>
      <c r="E120" s="5" t="s">
        <v>626</v>
      </c>
      <c r="F120" s="5" t="s">
        <v>1621</v>
      </c>
      <c r="G120" s="5" t="s">
        <v>1622</v>
      </c>
      <c r="H120" s="5" t="n">
        <v>6</v>
      </c>
      <c r="I120" s="5" t="s">
        <v>603</v>
      </c>
      <c r="J120" s="5" t="s">
        <v>153</v>
      </c>
      <c r="K120" s="5"/>
      <c r="L120" s="5" t="s">
        <v>30</v>
      </c>
      <c r="M120" s="5" t="s">
        <v>155</v>
      </c>
      <c r="N120" s="5" t="s">
        <v>398</v>
      </c>
      <c r="O120" s="5" t="s">
        <v>157</v>
      </c>
      <c r="P120" s="5" t="s">
        <v>641</v>
      </c>
      <c r="Q120" s="5" t="s">
        <v>440</v>
      </c>
      <c r="R120" s="5" t="s">
        <v>1600</v>
      </c>
      <c r="S120" s="5" t="s">
        <v>1601</v>
      </c>
      <c r="T120" s="5" t="s">
        <v>606</v>
      </c>
      <c r="U120" s="5" t="n">
        <v>365</v>
      </c>
      <c r="V120" s="5" t="s">
        <v>1602</v>
      </c>
      <c r="W120" s="5" t="s">
        <v>1603</v>
      </c>
      <c r="X120" s="5" t="s">
        <v>1623</v>
      </c>
      <c r="Y120" s="5" t="s">
        <v>1624</v>
      </c>
      <c r="Z120" s="5" t="s">
        <v>1625</v>
      </c>
      <c r="AA120" s="5"/>
      <c r="AB120" s="5"/>
      <c r="AC120" s="5"/>
      <c r="AD120" s="5"/>
      <c r="AE120" s="5"/>
      <c r="AF120" s="5" t="s">
        <v>1626</v>
      </c>
      <c r="AG120" s="5" t="s">
        <v>1626</v>
      </c>
      <c r="AH120" s="5"/>
      <c r="AI120" s="5"/>
      <c r="AJ120" s="5"/>
      <c r="AK120" s="5"/>
      <c r="AL120" s="5" t="s">
        <v>1626</v>
      </c>
      <c r="AM120" s="5"/>
      <c r="AN120" s="5"/>
      <c r="AO120" s="5"/>
      <c r="AP120" s="5"/>
      <c r="AQ120" s="5" t="s">
        <v>1626</v>
      </c>
      <c r="AR120" s="5" t="s">
        <v>646</v>
      </c>
      <c r="AS120" s="5"/>
      <c r="AT120" s="5"/>
      <c r="AU120" s="5"/>
      <c r="AV120" s="5"/>
      <c r="AW120" s="5" t="s">
        <v>1627</v>
      </c>
    </row>
    <row r="121" customFormat="false" ht="113.4" hidden="false" customHeight="false" outlineLevel="0" collapsed="false">
      <c r="A121" s="5" t="s">
        <v>1628</v>
      </c>
      <c r="B121" s="5" t="s">
        <v>1629</v>
      </c>
      <c r="C121" s="5" t="s">
        <v>1595</v>
      </c>
      <c r="D121" s="5" t="s">
        <v>1596</v>
      </c>
      <c r="E121" s="5" t="s">
        <v>626</v>
      </c>
      <c r="F121" s="5" t="s">
        <v>1630</v>
      </c>
      <c r="G121" s="5" t="s">
        <v>1631</v>
      </c>
      <c r="H121" s="5" t="n">
        <v>9</v>
      </c>
      <c r="I121" s="5" t="s">
        <v>603</v>
      </c>
      <c r="J121" s="5" t="s">
        <v>153</v>
      </c>
      <c r="K121" s="5"/>
      <c r="L121" s="5" t="s">
        <v>68</v>
      </c>
      <c r="M121" s="5" t="s">
        <v>185</v>
      </c>
      <c r="N121" s="5" t="s">
        <v>72</v>
      </c>
      <c r="O121" s="5" t="s">
        <v>666</v>
      </c>
      <c r="P121" s="5" t="s">
        <v>158</v>
      </c>
      <c r="Q121" s="5" t="s">
        <v>399</v>
      </c>
      <c r="R121" s="5" t="s">
        <v>1600</v>
      </c>
      <c r="S121" s="5" t="s">
        <v>1601</v>
      </c>
      <c r="T121" s="5" t="s">
        <v>606</v>
      </c>
      <c r="U121" s="5" t="n">
        <v>365</v>
      </c>
      <c r="V121" s="5" t="s">
        <v>1602</v>
      </c>
      <c r="W121" s="5" t="s">
        <v>1603</v>
      </c>
      <c r="X121" s="5" t="s">
        <v>1632</v>
      </c>
      <c r="Y121" s="5" t="s">
        <v>1633</v>
      </c>
      <c r="Z121" s="5" t="s">
        <v>1634</v>
      </c>
      <c r="AA121" s="5"/>
      <c r="AB121" s="5"/>
      <c r="AC121" s="5"/>
      <c r="AD121" s="5"/>
      <c r="AE121" s="5"/>
      <c r="AF121" s="5"/>
      <c r="AG121" s="5"/>
      <c r="AH121" s="5"/>
      <c r="AI121" s="5"/>
      <c r="AJ121" s="5"/>
      <c r="AK121" s="5"/>
      <c r="AL121" s="5"/>
      <c r="AM121" s="5"/>
      <c r="AN121" s="5"/>
      <c r="AO121" s="5" t="s">
        <v>1635</v>
      </c>
      <c r="AP121" s="5"/>
      <c r="AQ121" s="5"/>
      <c r="AR121" s="5"/>
      <c r="AS121" s="5"/>
      <c r="AT121" s="5" t="s">
        <v>1636</v>
      </c>
      <c r="AU121" s="5"/>
      <c r="AV121" s="5"/>
      <c r="AW121" s="5" t="s">
        <v>1627</v>
      </c>
    </row>
    <row r="122" customFormat="false" ht="124.6" hidden="false" customHeight="false" outlineLevel="0" collapsed="false">
      <c r="A122" s="5" t="s">
        <v>1637</v>
      </c>
      <c r="B122" s="5" t="s">
        <v>1638</v>
      </c>
      <c r="C122" s="5" t="s">
        <v>1595</v>
      </c>
      <c r="D122" s="5" t="s">
        <v>1596</v>
      </c>
      <c r="E122" s="5" t="s">
        <v>626</v>
      </c>
      <c r="F122" s="5" t="s">
        <v>1639</v>
      </c>
      <c r="G122" s="5" t="s">
        <v>1640</v>
      </c>
      <c r="H122" s="5" t="n">
        <v>10</v>
      </c>
      <c r="I122" s="5" t="s">
        <v>152</v>
      </c>
      <c r="J122" s="5" t="s">
        <v>652</v>
      </c>
      <c r="K122" s="5" t="s">
        <v>1641</v>
      </c>
      <c r="L122" s="5" t="s">
        <v>85</v>
      </c>
      <c r="M122" s="5" t="s">
        <v>185</v>
      </c>
      <c r="N122" s="5" t="s">
        <v>88</v>
      </c>
      <c r="O122" s="5" t="s">
        <v>214</v>
      </c>
      <c r="P122" s="5" t="s">
        <v>158</v>
      </c>
      <c r="Q122" s="5" t="s">
        <v>461</v>
      </c>
      <c r="R122" s="5" t="s">
        <v>1600</v>
      </c>
      <c r="S122" s="5" t="s">
        <v>1601</v>
      </c>
      <c r="T122" s="5" t="s">
        <v>162</v>
      </c>
      <c r="U122" s="5" t="n">
        <v>180</v>
      </c>
      <c r="V122" s="5" t="s">
        <v>1602</v>
      </c>
      <c r="W122" s="5" t="s">
        <v>1603</v>
      </c>
      <c r="X122" s="5" t="s">
        <v>1642</v>
      </c>
      <c r="Y122" s="5" t="s">
        <v>1643</v>
      </c>
      <c r="Z122" s="5" t="s">
        <v>1644</v>
      </c>
      <c r="AA122" s="5"/>
      <c r="AB122" s="5"/>
      <c r="AC122" s="5"/>
      <c r="AD122" s="5"/>
      <c r="AE122" s="5"/>
      <c r="AF122" s="5" t="s">
        <v>1645</v>
      </c>
      <c r="AG122" s="5"/>
      <c r="AH122" s="5"/>
      <c r="AI122" s="5"/>
      <c r="AJ122" s="5"/>
      <c r="AK122" s="5"/>
      <c r="AL122" s="5" t="s">
        <v>1645</v>
      </c>
      <c r="AM122" s="5"/>
      <c r="AN122" s="5"/>
      <c r="AO122" s="5"/>
      <c r="AP122" s="5"/>
      <c r="AQ122" s="5" t="s">
        <v>1645</v>
      </c>
      <c r="AR122" s="5" t="s">
        <v>687</v>
      </c>
      <c r="AS122" s="5"/>
      <c r="AT122" s="5" t="s">
        <v>1608</v>
      </c>
      <c r="AU122" s="5"/>
      <c r="AV122" s="5"/>
      <c r="AW122" s="5" t="s">
        <v>1646</v>
      </c>
    </row>
    <row r="123" customFormat="false" ht="102.2" hidden="false" customHeight="false" outlineLevel="0" collapsed="false">
      <c r="A123" s="5" t="s">
        <v>1647</v>
      </c>
      <c r="B123" s="5" t="s">
        <v>1648</v>
      </c>
      <c r="C123" s="5" t="s">
        <v>1595</v>
      </c>
      <c r="D123" s="5" t="s">
        <v>1596</v>
      </c>
      <c r="E123" s="5" t="s">
        <v>626</v>
      </c>
      <c r="F123" s="5" t="s">
        <v>1649</v>
      </c>
      <c r="G123" s="5" t="s">
        <v>1650</v>
      </c>
      <c r="H123" s="5" t="n">
        <v>7</v>
      </c>
      <c r="I123" s="5" t="s">
        <v>603</v>
      </c>
      <c r="J123" s="5" t="s">
        <v>153</v>
      </c>
      <c r="K123" s="5"/>
      <c r="L123" s="5" t="s">
        <v>68</v>
      </c>
      <c r="M123" s="5" t="s">
        <v>185</v>
      </c>
      <c r="N123" s="5" t="s">
        <v>72</v>
      </c>
      <c r="O123" s="5" t="s">
        <v>666</v>
      </c>
      <c r="P123" s="5" t="s">
        <v>158</v>
      </c>
      <c r="Q123" s="5" t="s">
        <v>440</v>
      </c>
      <c r="R123" s="5" t="s">
        <v>1600</v>
      </c>
      <c r="S123" s="5" t="s">
        <v>1601</v>
      </c>
      <c r="T123" s="5" t="s">
        <v>606</v>
      </c>
      <c r="U123" s="5" t="n">
        <v>365</v>
      </c>
      <c r="V123" s="5" t="s">
        <v>1602</v>
      </c>
      <c r="W123" s="5" t="s">
        <v>1603</v>
      </c>
      <c r="X123" s="5" t="s">
        <v>1651</v>
      </c>
      <c r="Y123" s="5" t="s">
        <v>1652</v>
      </c>
      <c r="Z123" s="5" t="s">
        <v>1653</v>
      </c>
      <c r="AA123" s="5"/>
      <c r="AB123" s="5"/>
      <c r="AC123" s="5"/>
      <c r="AD123" s="5"/>
      <c r="AE123" s="5"/>
      <c r="AF123" s="5"/>
      <c r="AG123" s="5"/>
      <c r="AH123" s="5"/>
      <c r="AI123" s="5"/>
      <c r="AJ123" s="5"/>
      <c r="AK123" s="5"/>
      <c r="AL123" s="5"/>
      <c r="AM123" s="5"/>
      <c r="AN123" s="5"/>
      <c r="AO123" s="5" t="s">
        <v>1654</v>
      </c>
      <c r="AP123" s="5"/>
      <c r="AQ123" s="5"/>
      <c r="AR123" s="5"/>
      <c r="AS123" s="5"/>
      <c r="AT123" s="5"/>
      <c r="AU123" s="5"/>
      <c r="AV123" s="5"/>
      <c r="AW123" s="5" t="s">
        <v>1655</v>
      </c>
    </row>
    <row r="124" customFormat="false" ht="102.2" hidden="false" customHeight="false" outlineLevel="0" collapsed="false">
      <c r="A124" s="5" t="s">
        <v>1656</v>
      </c>
      <c r="B124" s="5" t="s">
        <v>1657</v>
      </c>
      <c r="C124" s="5" t="s">
        <v>1595</v>
      </c>
      <c r="D124" s="5" t="s">
        <v>1596</v>
      </c>
      <c r="E124" s="5" t="s">
        <v>626</v>
      </c>
      <c r="F124" s="5" t="s">
        <v>1658</v>
      </c>
      <c r="G124" s="5" t="s">
        <v>1659</v>
      </c>
      <c r="H124" s="5" t="n">
        <v>3</v>
      </c>
      <c r="I124" s="5" t="s">
        <v>603</v>
      </c>
      <c r="J124" s="5" t="s">
        <v>153</v>
      </c>
      <c r="K124" s="5"/>
      <c r="L124" s="5" t="s">
        <v>68</v>
      </c>
      <c r="M124" s="5" t="s">
        <v>185</v>
      </c>
      <c r="N124" s="5" t="s">
        <v>72</v>
      </c>
      <c r="O124" s="5" t="s">
        <v>666</v>
      </c>
      <c r="P124" s="5" t="s">
        <v>215</v>
      </c>
      <c r="Q124" s="5" t="s">
        <v>440</v>
      </c>
      <c r="R124" s="5" t="s">
        <v>1600</v>
      </c>
      <c r="S124" s="5" t="s">
        <v>1601</v>
      </c>
      <c r="T124" s="5" t="s">
        <v>606</v>
      </c>
      <c r="U124" s="5" t="n">
        <v>365</v>
      </c>
      <c r="V124" s="5" t="s">
        <v>1602</v>
      </c>
      <c r="W124" s="5" t="s">
        <v>1603</v>
      </c>
      <c r="X124" s="5" t="s">
        <v>1660</v>
      </c>
      <c r="Y124" s="5" t="s">
        <v>1661</v>
      </c>
      <c r="Z124" s="5" t="s">
        <v>1662</v>
      </c>
      <c r="AA124" s="5"/>
      <c r="AB124" s="5"/>
      <c r="AC124" s="5"/>
      <c r="AD124" s="5"/>
      <c r="AE124" s="5"/>
      <c r="AF124" s="5"/>
      <c r="AG124" s="5"/>
      <c r="AH124" s="5"/>
      <c r="AI124" s="5"/>
      <c r="AJ124" s="5"/>
      <c r="AK124" s="5"/>
      <c r="AL124" s="5"/>
      <c r="AM124" s="5"/>
      <c r="AN124" s="5"/>
      <c r="AO124" s="5" t="s">
        <v>1663</v>
      </c>
      <c r="AP124" s="5"/>
      <c r="AQ124" s="5"/>
      <c r="AR124" s="5"/>
      <c r="AS124" s="5"/>
      <c r="AT124" s="5"/>
      <c r="AU124" s="5"/>
      <c r="AV124" s="5"/>
      <c r="AW124" s="5" t="s">
        <v>1664</v>
      </c>
    </row>
    <row r="125" customFormat="false" ht="180.55" hidden="false" customHeight="false" outlineLevel="0" collapsed="false">
      <c r="A125" s="5" t="s">
        <v>1665</v>
      </c>
      <c r="B125" s="5" t="s">
        <v>1666</v>
      </c>
      <c r="C125" s="5" t="s">
        <v>1667</v>
      </c>
      <c r="D125" s="5" t="s">
        <v>1668</v>
      </c>
      <c r="E125" s="5" t="s">
        <v>149</v>
      </c>
      <c r="F125" s="5" t="s">
        <v>1669</v>
      </c>
      <c r="G125" s="5" t="s">
        <v>1670</v>
      </c>
      <c r="H125" s="5" t="n">
        <v>10</v>
      </c>
      <c r="I125" s="5" t="s">
        <v>152</v>
      </c>
      <c r="J125" s="5" t="s">
        <v>652</v>
      </c>
      <c r="K125" s="5" t="s">
        <v>1671</v>
      </c>
      <c r="L125" s="5" t="s">
        <v>30</v>
      </c>
      <c r="M125" s="5" t="s">
        <v>155</v>
      </c>
      <c r="N125" s="5" t="s">
        <v>1672</v>
      </c>
      <c r="O125" s="5" t="s">
        <v>157</v>
      </c>
      <c r="P125" s="5" t="s">
        <v>158</v>
      </c>
      <c r="Q125" s="5" t="s">
        <v>1673</v>
      </c>
      <c r="R125" s="5" t="s">
        <v>1674</v>
      </c>
      <c r="S125" s="5" t="s">
        <v>1675</v>
      </c>
      <c r="T125" s="5" t="s">
        <v>162</v>
      </c>
      <c r="U125" s="5" t="n">
        <v>180</v>
      </c>
      <c r="V125" s="5" t="s">
        <v>1676</v>
      </c>
      <c r="W125" s="5" t="s">
        <v>1677</v>
      </c>
      <c r="X125" s="5" t="s">
        <v>1678</v>
      </c>
      <c r="Y125" s="5" t="s">
        <v>1679</v>
      </c>
      <c r="Z125" s="5" t="s">
        <v>1680</v>
      </c>
      <c r="AA125" s="5"/>
      <c r="AB125" s="5"/>
      <c r="AC125" s="5"/>
      <c r="AD125" s="5"/>
      <c r="AE125" s="5" t="s">
        <v>1681</v>
      </c>
      <c r="AF125" s="5" t="s">
        <v>1682</v>
      </c>
      <c r="AG125" s="5" t="s">
        <v>1682</v>
      </c>
      <c r="AH125" s="5" t="s">
        <v>1683</v>
      </c>
      <c r="AI125" s="5"/>
      <c r="AJ125" s="5" t="s">
        <v>1684</v>
      </c>
      <c r="AK125" s="5" t="s">
        <v>1685</v>
      </c>
      <c r="AL125" s="5" t="s">
        <v>1682</v>
      </c>
      <c r="AM125" s="5"/>
      <c r="AN125" s="5" t="s">
        <v>1686</v>
      </c>
      <c r="AO125" s="5" t="s">
        <v>1687</v>
      </c>
      <c r="AP125" s="5" t="s">
        <v>1688</v>
      </c>
      <c r="AQ125" s="5" t="s">
        <v>1682</v>
      </c>
      <c r="AR125" s="5" t="s">
        <v>290</v>
      </c>
      <c r="AS125" s="5" t="s">
        <v>1689</v>
      </c>
      <c r="AT125" s="5" t="s">
        <v>1690</v>
      </c>
      <c r="AU125" s="5"/>
      <c r="AV125" s="5" t="s">
        <v>178</v>
      </c>
      <c r="AW125" s="5" t="s">
        <v>1691</v>
      </c>
    </row>
    <row r="126" customFormat="false" ht="158.2" hidden="false" customHeight="false" outlineLevel="0" collapsed="false">
      <c r="A126" s="5" t="s">
        <v>1692</v>
      </c>
      <c r="B126" s="5" t="s">
        <v>1693</v>
      </c>
      <c r="C126" s="5" t="s">
        <v>1667</v>
      </c>
      <c r="D126" s="5" t="s">
        <v>1668</v>
      </c>
      <c r="E126" s="5" t="s">
        <v>1298</v>
      </c>
      <c r="F126" s="5" t="s">
        <v>1694</v>
      </c>
      <c r="G126" s="5" t="s">
        <v>1695</v>
      </c>
      <c r="H126" s="5" t="n">
        <v>9</v>
      </c>
      <c r="I126" s="5" t="s">
        <v>152</v>
      </c>
      <c r="J126" s="5" t="s">
        <v>652</v>
      </c>
      <c r="K126" s="5" t="s">
        <v>1696</v>
      </c>
      <c r="L126" s="5" t="s">
        <v>55</v>
      </c>
      <c r="M126" s="5" t="s">
        <v>185</v>
      </c>
      <c r="N126" s="5" t="s">
        <v>665</v>
      </c>
      <c r="O126" s="5" t="s">
        <v>187</v>
      </c>
      <c r="P126" s="5" t="s">
        <v>158</v>
      </c>
      <c r="Q126" s="5" t="s">
        <v>335</v>
      </c>
      <c r="R126" s="5" t="s">
        <v>1674</v>
      </c>
      <c r="S126" s="5" t="s">
        <v>1675</v>
      </c>
      <c r="T126" s="5" t="s">
        <v>162</v>
      </c>
      <c r="U126" s="5" t="n">
        <v>180</v>
      </c>
      <c r="V126" s="5" t="s">
        <v>1676</v>
      </c>
      <c r="W126" s="5" t="s">
        <v>1677</v>
      </c>
      <c r="X126" s="5" t="s">
        <v>1697</v>
      </c>
      <c r="Y126" s="5" t="s">
        <v>1698</v>
      </c>
      <c r="Z126" s="5" t="s">
        <v>1699</v>
      </c>
      <c r="AA126" s="5"/>
      <c r="AB126" s="5"/>
      <c r="AC126" s="5"/>
      <c r="AD126" s="5"/>
      <c r="AE126" s="5"/>
      <c r="AF126" s="5"/>
      <c r="AG126" s="5"/>
      <c r="AH126" s="5"/>
      <c r="AI126" s="5"/>
      <c r="AJ126" s="5" t="s">
        <v>1700</v>
      </c>
      <c r="AK126" s="5"/>
      <c r="AL126" s="5"/>
      <c r="AM126" s="5"/>
      <c r="AN126" s="5"/>
      <c r="AO126" s="5" t="s">
        <v>1701</v>
      </c>
      <c r="AP126" s="5"/>
      <c r="AQ126" s="5"/>
      <c r="AR126" s="5"/>
      <c r="AS126" s="5" t="s">
        <v>1702</v>
      </c>
      <c r="AT126" s="5"/>
      <c r="AU126" s="5"/>
      <c r="AV126" s="5" t="s">
        <v>178</v>
      </c>
      <c r="AW126" s="5" t="s">
        <v>1703</v>
      </c>
    </row>
    <row r="127" customFormat="false" ht="124.6" hidden="false" customHeight="false" outlineLevel="0" collapsed="false">
      <c r="A127" s="5" t="s">
        <v>1704</v>
      </c>
      <c r="B127" s="5" t="s">
        <v>1705</v>
      </c>
      <c r="C127" s="5" t="s">
        <v>1667</v>
      </c>
      <c r="D127" s="5" t="s">
        <v>1668</v>
      </c>
      <c r="E127" s="5" t="s">
        <v>514</v>
      </c>
      <c r="F127" s="5" t="s">
        <v>1706</v>
      </c>
      <c r="G127" s="5" t="s">
        <v>1707</v>
      </c>
      <c r="H127" s="5" t="n">
        <v>10</v>
      </c>
      <c r="I127" s="5" t="s">
        <v>152</v>
      </c>
      <c r="J127" s="5" t="s">
        <v>652</v>
      </c>
      <c r="K127" s="5" t="s">
        <v>1708</v>
      </c>
      <c r="L127" s="5" t="s">
        <v>30</v>
      </c>
      <c r="M127" s="5" t="s">
        <v>155</v>
      </c>
      <c r="N127" s="5" t="s">
        <v>1709</v>
      </c>
      <c r="O127" s="5" t="s">
        <v>157</v>
      </c>
      <c r="P127" s="5" t="s">
        <v>158</v>
      </c>
      <c r="Q127" s="5" t="s">
        <v>1673</v>
      </c>
      <c r="R127" s="5" t="s">
        <v>1674</v>
      </c>
      <c r="S127" s="5" t="s">
        <v>1675</v>
      </c>
      <c r="T127" s="5" t="s">
        <v>162</v>
      </c>
      <c r="U127" s="5" t="n">
        <v>180</v>
      </c>
      <c r="V127" s="5" t="s">
        <v>1676</v>
      </c>
      <c r="W127" s="5" t="s">
        <v>1677</v>
      </c>
      <c r="X127" s="5" t="s">
        <v>1710</v>
      </c>
      <c r="Y127" s="5" t="s">
        <v>1711</v>
      </c>
      <c r="Z127" s="5" t="s">
        <v>1712</v>
      </c>
      <c r="AA127" s="5"/>
      <c r="AB127" s="5"/>
      <c r="AC127" s="5" t="s">
        <v>1713</v>
      </c>
      <c r="AD127" s="5"/>
      <c r="AE127" s="5" t="s">
        <v>1681</v>
      </c>
      <c r="AF127" s="5"/>
      <c r="AG127" s="5"/>
      <c r="AH127" s="5"/>
      <c r="AI127" s="5"/>
      <c r="AJ127" s="5"/>
      <c r="AK127" s="5" t="s">
        <v>1714</v>
      </c>
      <c r="AL127" s="5"/>
      <c r="AM127" s="5"/>
      <c r="AN127" s="5"/>
      <c r="AO127" s="5"/>
      <c r="AP127" s="5"/>
      <c r="AQ127" s="5"/>
      <c r="AR127" s="5"/>
      <c r="AS127" s="5" t="s">
        <v>1715</v>
      </c>
      <c r="AT127" s="5"/>
      <c r="AU127" s="5"/>
      <c r="AV127" s="5" t="s">
        <v>178</v>
      </c>
      <c r="AW127" s="5" t="s">
        <v>744</v>
      </c>
    </row>
    <row r="128" customFormat="false" ht="124.6" hidden="false" customHeight="false" outlineLevel="0" collapsed="false">
      <c r="A128" s="5" t="s">
        <v>1716</v>
      </c>
      <c r="B128" s="5" t="s">
        <v>1717</v>
      </c>
      <c r="C128" s="5" t="s">
        <v>1667</v>
      </c>
      <c r="D128" s="5" t="s">
        <v>1668</v>
      </c>
      <c r="E128" s="5" t="s">
        <v>626</v>
      </c>
      <c r="F128" s="5" t="s">
        <v>1718</v>
      </c>
      <c r="G128" s="5" t="s">
        <v>1719</v>
      </c>
      <c r="H128" s="5" t="n">
        <v>8</v>
      </c>
      <c r="I128" s="5" t="s">
        <v>152</v>
      </c>
      <c r="J128" s="5" t="s">
        <v>153</v>
      </c>
      <c r="K128" s="5"/>
      <c r="L128" s="5" t="s">
        <v>55</v>
      </c>
      <c r="M128" s="5" t="s">
        <v>185</v>
      </c>
      <c r="N128" s="5" t="s">
        <v>439</v>
      </c>
      <c r="O128" s="5" t="s">
        <v>187</v>
      </c>
      <c r="P128" s="5" t="s">
        <v>215</v>
      </c>
      <c r="Q128" s="5" t="s">
        <v>1673</v>
      </c>
      <c r="R128" s="5" t="s">
        <v>1674</v>
      </c>
      <c r="S128" s="5" t="s">
        <v>1675</v>
      </c>
      <c r="T128" s="5" t="s">
        <v>162</v>
      </c>
      <c r="U128" s="5" t="n">
        <v>365</v>
      </c>
      <c r="V128" s="5" t="s">
        <v>1676</v>
      </c>
      <c r="W128" s="5" t="s">
        <v>1677</v>
      </c>
      <c r="X128" s="5" t="s">
        <v>1720</v>
      </c>
      <c r="Y128" s="5" t="s">
        <v>1721</v>
      </c>
      <c r="Z128" s="5" t="s">
        <v>1722</v>
      </c>
      <c r="AA128" s="5"/>
      <c r="AB128" s="5"/>
      <c r="AC128" s="5"/>
      <c r="AD128" s="5"/>
      <c r="AE128" s="5"/>
      <c r="AF128" s="5"/>
      <c r="AG128" s="5"/>
      <c r="AH128" s="5"/>
      <c r="AI128" s="5"/>
      <c r="AJ128" s="5" t="s">
        <v>1723</v>
      </c>
      <c r="AK128" s="5"/>
      <c r="AL128" s="5"/>
      <c r="AM128" s="5"/>
      <c r="AN128" s="5"/>
      <c r="AO128" s="5"/>
      <c r="AP128" s="5"/>
      <c r="AQ128" s="5"/>
      <c r="AR128" s="5"/>
      <c r="AS128" s="5"/>
      <c r="AT128" s="5"/>
      <c r="AU128" s="5"/>
      <c r="AV128" s="5"/>
      <c r="AW128" s="5" t="s">
        <v>1724</v>
      </c>
    </row>
    <row r="129" customFormat="false" ht="124.6" hidden="false" customHeight="false" outlineLevel="0" collapsed="false">
      <c r="A129" s="5" t="s">
        <v>1725</v>
      </c>
      <c r="B129" s="5" t="s">
        <v>1726</v>
      </c>
      <c r="C129" s="5" t="s">
        <v>1667</v>
      </c>
      <c r="D129" s="5" t="s">
        <v>1668</v>
      </c>
      <c r="E129" s="5" t="s">
        <v>149</v>
      </c>
      <c r="F129" s="5" t="s">
        <v>1727</v>
      </c>
      <c r="G129" s="5" t="s">
        <v>1728</v>
      </c>
      <c r="H129" s="5" t="n">
        <v>9</v>
      </c>
      <c r="I129" s="5" t="s">
        <v>152</v>
      </c>
      <c r="J129" s="5" t="s">
        <v>153</v>
      </c>
      <c r="K129" s="5"/>
      <c r="L129" s="5" t="s">
        <v>55</v>
      </c>
      <c r="M129" s="5" t="s">
        <v>185</v>
      </c>
      <c r="N129" s="5" t="s">
        <v>439</v>
      </c>
      <c r="O129" s="5" t="s">
        <v>187</v>
      </c>
      <c r="P129" s="5" t="s">
        <v>215</v>
      </c>
      <c r="Q129" s="5" t="s">
        <v>1673</v>
      </c>
      <c r="R129" s="5" t="s">
        <v>1674</v>
      </c>
      <c r="S129" s="5" t="s">
        <v>1675</v>
      </c>
      <c r="T129" s="5" t="s">
        <v>162</v>
      </c>
      <c r="U129" s="5" t="n">
        <v>365</v>
      </c>
      <c r="V129" s="5" t="s">
        <v>1676</v>
      </c>
      <c r="W129" s="5" t="s">
        <v>1677</v>
      </c>
      <c r="X129" s="5" t="s">
        <v>1729</v>
      </c>
      <c r="Y129" s="5" t="s">
        <v>1730</v>
      </c>
      <c r="Z129" s="5" t="s">
        <v>1722</v>
      </c>
      <c r="AA129" s="5"/>
      <c r="AB129" s="5"/>
      <c r="AC129" s="5"/>
      <c r="AD129" s="5"/>
      <c r="AE129" s="5"/>
      <c r="AF129" s="5"/>
      <c r="AG129" s="5"/>
      <c r="AH129" s="5"/>
      <c r="AI129" s="5"/>
      <c r="AJ129" s="5" t="s">
        <v>1723</v>
      </c>
      <c r="AK129" s="5"/>
      <c r="AL129" s="5"/>
      <c r="AM129" s="5"/>
      <c r="AN129" s="5"/>
      <c r="AO129" s="5"/>
      <c r="AP129" s="5"/>
      <c r="AQ129" s="5"/>
      <c r="AR129" s="5"/>
      <c r="AS129" s="5"/>
      <c r="AT129" s="5"/>
      <c r="AU129" s="5"/>
      <c r="AV129" s="5"/>
      <c r="AW129" s="5" t="s">
        <v>1724</v>
      </c>
    </row>
    <row r="130" customFormat="false" ht="169.4" hidden="false" customHeight="false" outlineLevel="0" collapsed="false">
      <c r="A130" s="5" t="s">
        <v>1731</v>
      </c>
      <c r="B130" s="5" t="s">
        <v>1732</v>
      </c>
      <c r="C130" s="5" t="s">
        <v>1667</v>
      </c>
      <c r="D130" s="5" t="s">
        <v>1668</v>
      </c>
      <c r="E130" s="5" t="s">
        <v>600</v>
      </c>
      <c r="F130" s="5" t="s">
        <v>1733</v>
      </c>
      <c r="G130" s="5" t="s">
        <v>1734</v>
      </c>
      <c r="H130" s="5" t="n">
        <v>10</v>
      </c>
      <c r="I130" s="5" t="s">
        <v>152</v>
      </c>
      <c r="J130" s="5" t="s">
        <v>153</v>
      </c>
      <c r="K130" s="5" t="s">
        <v>1735</v>
      </c>
      <c r="L130" s="5" t="s">
        <v>30</v>
      </c>
      <c r="M130" s="5" t="s">
        <v>155</v>
      </c>
      <c r="N130" s="5" t="s">
        <v>1736</v>
      </c>
      <c r="O130" s="5" t="s">
        <v>157</v>
      </c>
      <c r="P130" s="5" t="s">
        <v>158</v>
      </c>
      <c r="Q130" s="5" t="s">
        <v>159</v>
      </c>
      <c r="R130" s="5" t="s">
        <v>1674</v>
      </c>
      <c r="S130" s="5" t="s">
        <v>1675</v>
      </c>
      <c r="T130" s="5" t="s">
        <v>162</v>
      </c>
      <c r="U130" s="5" t="n">
        <v>365</v>
      </c>
      <c r="V130" s="5" t="s">
        <v>1676</v>
      </c>
      <c r="W130" s="5" t="s">
        <v>1677</v>
      </c>
      <c r="X130" s="5" t="s">
        <v>1737</v>
      </c>
      <c r="Y130" s="5" t="s">
        <v>1738</v>
      </c>
      <c r="Z130" s="5" t="s">
        <v>1739</v>
      </c>
      <c r="AA130" s="5"/>
      <c r="AB130" s="5"/>
      <c r="AC130" s="5"/>
      <c r="AD130" s="5"/>
      <c r="AE130" s="5"/>
      <c r="AF130" s="5" t="s">
        <v>1740</v>
      </c>
      <c r="AG130" s="5" t="s">
        <v>1741</v>
      </c>
      <c r="AH130" s="5"/>
      <c r="AI130" s="5"/>
      <c r="AJ130" s="5" t="s">
        <v>1742</v>
      </c>
      <c r="AK130" s="5" t="s">
        <v>1743</v>
      </c>
      <c r="AL130" s="5" t="s">
        <v>1740</v>
      </c>
      <c r="AM130" s="5" t="s">
        <v>1744</v>
      </c>
      <c r="AN130" s="5"/>
      <c r="AO130" s="5" t="s">
        <v>1745</v>
      </c>
      <c r="AP130" s="5" t="s">
        <v>1746</v>
      </c>
      <c r="AQ130" s="5" t="s">
        <v>1740</v>
      </c>
      <c r="AR130" s="5" t="s">
        <v>1747</v>
      </c>
      <c r="AS130" s="5" t="s">
        <v>1748</v>
      </c>
      <c r="AT130" s="5" t="s">
        <v>1749</v>
      </c>
      <c r="AU130" s="5"/>
      <c r="AV130" s="5" t="s">
        <v>178</v>
      </c>
      <c r="AW130" s="5" t="s">
        <v>1691</v>
      </c>
    </row>
    <row r="131" customFormat="false" ht="147" hidden="false" customHeight="false" outlineLevel="0" collapsed="false">
      <c r="A131" s="5" t="s">
        <v>1750</v>
      </c>
      <c r="B131" s="5" t="s">
        <v>1751</v>
      </c>
      <c r="C131" s="5" t="s">
        <v>1667</v>
      </c>
      <c r="D131" s="5" t="s">
        <v>1668</v>
      </c>
      <c r="E131" s="5" t="s">
        <v>600</v>
      </c>
      <c r="F131" s="5" t="s">
        <v>1752</v>
      </c>
      <c r="G131" s="5" t="s">
        <v>1753</v>
      </c>
      <c r="H131" s="5" t="n">
        <v>5</v>
      </c>
      <c r="I131" s="5" t="s">
        <v>152</v>
      </c>
      <c r="J131" s="5" t="s">
        <v>153</v>
      </c>
      <c r="K131" s="5" t="s">
        <v>1754</v>
      </c>
      <c r="L131" s="5" t="s">
        <v>68</v>
      </c>
      <c r="M131" s="5" t="s">
        <v>185</v>
      </c>
      <c r="N131" s="5" t="s">
        <v>72</v>
      </c>
      <c r="O131" s="5" t="s">
        <v>187</v>
      </c>
      <c r="P131" s="5" t="s">
        <v>158</v>
      </c>
      <c r="Q131" s="5" t="s">
        <v>1673</v>
      </c>
      <c r="R131" s="5" t="s">
        <v>1674</v>
      </c>
      <c r="S131" s="5" t="s">
        <v>1675</v>
      </c>
      <c r="T131" s="5" t="s">
        <v>162</v>
      </c>
      <c r="U131" s="5" t="n">
        <v>365</v>
      </c>
      <c r="V131" s="5" t="s">
        <v>1676</v>
      </c>
      <c r="W131" s="5" t="s">
        <v>1677</v>
      </c>
      <c r="X131" s="5" t="s">
        <v>1755</v>
      </c>
      <c r="Y131" s="5" t="s">
        <v>1756</v>
      </c>
      <c r="Z131" s="5" t="s">
        <v>1757</v>
      </c>
      <c r="AA131" s="5"/>
      <c r="AB131" s="5"/>
      <c r="AC131" s="5"/>
      <c r="AD131" s="5"/>
      <c r="AE131" s="5"/>
      <c r="AF131" s="5"/>
      <c r="AG131" s="5"/>
      <c r="AH131" s="5"/>
      <c r="AI131" s="5"/>
      <c r="AJ131" s="5"/>
      <c r="AK131" s="5"/>
      <c r="AL131" s="5"/>
      <c r="AM131" s="5"/>
      <c r="AN131" s="5"/>
      <c r="AO131" s="5" t="s">
        <v>1701</v>
      </c>
      <c r="AP131" s="5"/>
      <c r="AQ131" s="5"/>
      <c r="AR131" s="5"/>
      <c r="AS131" s="5" t="s">
        <v>1758</v>
      </c>
      <c r="AT131" s="5" t="s">
        <v>1759</v>
      </c>
      <c r="AU131" s="5"/>
      <c r="AV131" s="5" t="s">
        <v>178</v>
      </c>
      <c r="AW131" s="5" t="s">
        <v>1760</v>
      </c>
    </row>
    <row r="132" customFormat="false" ht="214.15" hidden="false" customHeight="false" outlineLevel="0" collapsed="false">
      <c r="A132" s="5" t="s">
        <v>1761</v>
      </c>
      <c r="B132" s="5" t="s">
        <v>1762</v>
      </c>
      <c r="C132" s="5" t="s">
        <v>1667</v>
      </c>
      <c r="D132" s="5" t="s">
        <v>1668</v>
      </c>
      <c r="E132" s="5" t="s">
        <v>600</v>
      </c>
      <c r="F132" s="5" t="s">
        <v>1763</v>
      </c>
      <c r="G132" s="5" t="s">
        <v>1764</v>
      </c>
      <c r="H132" s="5" t="n">
        <v>10</v>
      </c>
      <c r="I132" s="5" t="s">
        <v>152</v>
      </c>
      <c r="J132" s="5" t="s">
        <v>652</v>
      </c>
      <c r="K132" s="5" t="s">
        <v>1765</v>
      </c>
      <c r="L132" s="5" t="s">
        <v>30</v>
      </c>
      <c r="M132" s="5" t="s">
        <v>155</v>
      </c>
      <c r="N132" s="5" t="s">
        <v>1766</v>
      </c>
      <c r="O132" s="5" t="s">
        <v>157</v>
      </c>
      <c r="P132" s="5" t="s">
        <v>158</v>
      </c>
      <c r="Q132" s="5" t="s">
        <v>335</v>
      </c>
      <c r="R132" s="5" t="s">
        <v>1674</v>
      </c>
      <c r="S132" s="5" t="s">
        <v>1675</v>
      </c>
      <c r="T132" s="5" t="s">
        <v>162</v>
      </c>
      <c r="U132" s="5" t="n">
        <v>180</v>
      </c>
      <c r="V132" s="5" t="s">
        <v>1676</v>
      </c>
      <c r="W132" s="5" t="s">
        <v>1677</v>
      </c>
      <c r="X132" s="5" t="s">
        <v>1767</v>
      </c>
      <c r="Y132" s="5" t="s">
        <v>1768</v>
      </c>
      <c r="Z132" s="5" t="s">
        <v>1769</v>
      </c>
      <c r="AA132" s="5"/>
      <c r="AB132" s="5"/>
      <c r="AC132" s="5"/>
      <c r="AD132" s="5"/>
      <c r="AE132" s="5"/>
      <c r="AF132" s="5" t="s">
        <v>1770</v>
      </c>
      <c r="AG132" s="5" t="s">
        <v>1770</v>
      </c>
      <c r="AH132" s="5"/>
      <c r="AI132" s="5"/>
      <c r="AJ132" s="5"/>
      <c r="AK132" s="5" t="s">
        <v>1771</v>
      </c>
      <c r="AL132" s="5" t="s">
        <v>1770</v>
      </c>
      <c r="AM132" s="5"/>
      <c r="AN132" s="5" t="s">
        <v>1772</v>
      </c>
      <c r="AO132" s="5" t="s">
        <v>1701</v>
      </c>
      <c r="AP132" s="5" t="s">
        <v>1773</v>
      </c>
      <c r="AQ132" s="5" t="s">
        <v>1770</v>
      </c>
      <c r="AR132" s="5" t="s">
        <v>1774</v>
      </c>
      <c r="AS132" s="5" t="s">
        <v>1775</v>
      </c>
      <c r="AT132" s="5" t="s">
        <v>1776</v>
      </c>
      <c r="AU132" s="5"/>
      <c r="AV132" s="5" t="s">
        <v>178</v>
      </c>
      <c r="AW132" s="5" t="s">
        <v>1777</v>
      </c>
    </row>
    <row r="133" customFormat="false" ht="124.6" hidden="false" customHeight="false" outlineLevel="0" collapsed="false">
      <c r="A133" s="5" t="s">
        <v>1778</v>
      </c>
      <c r="B133" s="5" t="s">
        <v>1779</v>
      </c>
      <c r="C133" s="5" t="s">
        <v>1667</v>
      </c>
      <c r="D133" s="5" t="s">
        <v>1668</v>
      </c>
      <c r="E133" s="5" t="s">
        <v>600</v>
      </c>
      <c r="F133" s="5" t="s">
        <v>1780</v>
      </c>
      <c r="G133" s="5" t="s">
        <v>1781</v>
      </c>
      <c r="H133" s="5" t="n">
        <v>6</v>
      </c>
      <c r="I133" s="5" t="s">
        <v>152</v>
      </c>
      <c r="J133" s="5" t="s">
        <v>153</v>
      </c>
      <c r="K133" s="5" t="s">
        <v>1782</v>
      </c>
      <c r="L133" s="5" t="s">
        <v>30</v>
      </c>
      <c r="M133" s="5" t="s">
        <v>155</v>
      </c>
      <c r="N133" s="5" t="s">
        <v>994</v>
      </c>
      <c r="O133" s="5" t="s">
        <v>157</v>
      </c>
      <c r="P133" s="5" t="s">
        <v>641</v>
      </c>
      <c r="Q133" s="5" t="s">
        <v>335</v>
      </c>
      <c r="R133" s="5" t="s">
        <v>1674</v>
      </c>
      <c r="S133" s="5" t="s">
        <v>1675</v>
      </c>
      <c r="T133" s="5" t="s">
        <v>162</v>
      </c>
      <c r="U133" s="5" t="n">
        <v>365</v>
      </c>
      <c r="V133" s="5" t="s">
        <v>1676</v>
      </c>
      <c r="W133" s="5" t="s">
        <v>1677</v>
      </c>
      <c r="X133" s="5" t="s">
        <v>1783</v>
      </c>
      <c r="Y133" s="5" t="s">
        <v>1784</v>
      </c>
      <c r="Z133" s="5" t="s">
        <v>1785</v>
      </c>
      <c r="AA133" s="5"/>
      <c r="AB133" s="5"/>
      <c r="AC133" s="5"/>
      <c r="AD133" s="5"/>
      <c r="AE133" s="5"/>
      <c r="AF133" s="5" t="s">
        <v>1744</v>
      </c>
      <c r="AG133" s="5" t="s">
        <v>1744</v>
      </c>
      <c r="AH133" s="5"/>
      <c r="AI133" s="5"/>
      <c r="AJ133" s="5"/>
      <c r="AK133" s="5"/>
      <c r="AL133" s="5" t="s">
        <v>1744</v>
      </c>
      <c r="AM133" s="5" t="s">
        <v>1744</v>
      </c>
      <c r="AN133" s="5"/>
      <c r="AO133" s="5"/>
      <c r="AP133" s="5"/>
      <c r="AQ133" s="5" t="s">
        <v>1744</v>
      </c>
      <c r="AR133" s="5" t="s">
        <v>1774</v>
      </c>
      <c r="AS133" s="5"/>
      <c r="AT133" s="5" t="s">
        <v>1786</v>
      </c>
      <c r="AU133" s="5"/>
      <c r="AV133" s="5"/>
      <c r="AW133" s="5" t="s">
        <v>1573</v>
      </c>
    </row>
    <row r="134" customFormat="false" ht="147" hidden="false" customHeight="false" outlineLevel="0" collapsed="false">
      <c r="A134" s="5" t="s">
        <v>1787</v>
      </c>
      <c r="B134" s="5" t="s">
        <v>1788</v>
      </c>
      <c r="C134" s="5" t="s">
        <v>1667</v>
      </c>
      <c r="D134" s="5" t="s">
        <v>1668</v>
      </c>
      <c r="E134" s="5" t="s">
        <v>600</v>
      </c>
      <c r="F134" s="5" t="s">
        <v>1789</v>
      </c>
      <c r="G134" s="5" t="s">
        <v>1790</v>
      </c>
      <c r="H134" s="5" t="n">
        <v>8</v>
      </c>
      <c r="I134" s="5" t="s">
        <v>152</v>
      </c>
      <c r="J134" s="5" t="s">
        <v>557</v>
      </c>
      <c r="K134" s="5" t="s">
        <v>1791</v>
      </c>
      <c r="L134" s="5" t="s">
        <v>30</v>
      </c>
      <c r="M134" s="5" t="s">
        <v>155</v>
      </c>
      <c r="N134" s="5" t="s">
        <v>1792</v>
      </c>
      <c r="O134" s="5" t="s">
        <v>157</v>
      </c>
      <c r="P134" s="5" t="s">
        <v>158</v>
      </c>
      <c r="Q134" s="5" t="s">
        <v>335</v>
      </c>
      <c r="R134" s="5" t="s">
        <v>1674</v>
      </c>
      <c r="S134" s="5" t="s">
        <v>1675</v>
      </c>
      <c r="T134" s="5" t="s">
        <v>162</v>
      </c>
      <c r="U134" s="5" t="n">
        <v>90</v>
      </c>
      <c r="V134" s="5" t="s">
        <v>1676</v>
      </c>
      <c r="W134" s="5" t="s">
        <v>1677</v>
      </c>
      <c r="X134" s="5" t="s">
        <v>1793</v>
      </c>
      <c r="Y134" s="5" t="s">
        <v>1794</v>
      </c>
      <c r="Z134" s="5" t="s">
        <v>1795</v>
      </c>
      <c r="AA134" s="5"/>
      <c r="AB134" s="5"/>
      <c r="AC134" s="5"/>
      <c r="AD134" s="5"/>
      <c r="AE134" s="5"/>
      <c r="AF134" s="5" t="s">
        <v>1796</v>
      </c>
      <c r="AG134" s="5" t="s">
        <v>1796</v>
      </c>
      <c r="AH134" s="5" t="s">
        <v>1797</v>
      </c>
      <c r="AI134" s="5"/>
      <c r="AJ134" s="5" t="s">
        <v>1798</v>
      </c>
      <c r="AK134" s="5" t="s">
        <v>1771</v>
      </c>
      <c r="AL134" s="5" t="s">
        <v>1796</v>
      </c>
      <c r="AM134" s="5"/>
      <c r="AN134" s="5" t="s">
        <v>1799</v>
      </c>
      <c r="AO134" s="5" t="s">
        <v>1701</v>
      </c>
      <c r="AP134" s="5" t="s">
        <v>1800</v>
      </c>
      <c r="AQ134" s="5" t="s">
        <v>1796</v>
      </c>
      <c r="AR134" s="5" t="s">
        <v>1801</v>
      </c>
      <c r="AS134" s="5"/>
      <c r="AT134" s="5" t="s">
        <v>1802</v>
      </c>
      <c r="AU134" s="5"/>
      <c r="AV134" s="5" t="s">
        <v>178</v>
      </c>
      <c r="AW134" s="5" t="s">
        <v>1803</v>
      </c>
    </row>
    <row r="135" customFormat="false" ht="236.55" hidden="false" customHeight="false" outlineLevel="0" collapsed="false">
      <c r="A135" s="5" t="s">
        <v>1804</v>
      </c>
      <c r="B135" s="5" t="s">
        <v>1805</v>
      </c>
      <c r="C135" s="5" t="s">
        <v>1806</v>
      </c>
      <c r="D135" s="5" t="s">
        <v>1807</v>
      </c>
      <c r="E135" s="5" t="s">
        <v>149</v>
      </c>
      <c r="F135" s="5" t="s">
        <v>1808</v>
      </c>
      <c r="G135" s="5" t="s">
        <v>1809</v>
      </c>
      <c r="H135" s="5" t="n">
        <v>9</v>
      </c>
      <c r="I135" s="5" t="s">
        <v>152</v>
      </c>
      <c r="J135" s="5" t="s">
        <v>153</v>
      </c>
      <c r="K135" s="5" t="s">
        <v>1810</v>
      </c>
      <c r="L135" s="5" t="s">
        <v>30</v>
      </c>
      <c r="M135" s="5" t="s">
        <v>155</v>
      </c>
      <c r="N135" s="5" t="s">
        <v>1811</v>
      </c>
      <c r="O135" s="5" t="s">
        <v>157</v>
      </c>
      <c r="P135" s="5" t="s">
        <v>158</v>
      </c>
      <c r="Q135" s="5" t="s">
        <v>159</v>
      </c>
      <c r="R135" s="5" t="s">
        <v>1812</v>
      </c>
      <c r="S135" s="5" t="s">
        <v>1813</v>
      </c>
      <c r="T135" s="5" t="s">
        <v>162</v>
      </c>
      <c r="U135" s="5" t="n">
        <v>365</v>
      </c>
      <c r="V135" s="5" t="s">
        <v>1814</v>
      </c>
      <c r="W135" s="5" t="s">
        <v>1815</v>
      </c>
      <c r="X135" s="5" t="s">
        <v>1816</v>
      </c>
      <c r="Y135" s="5" t="s">
        <v>1817</v>
      </c>
      <c r="Z135" s="5" t="s">
        <v>1818</v>
      </c>
      <c r="AA135" s="5"/>
      <c r="AB135" s="5"/>
      <c r="AC135" s="5"/>
      <c r="AD135" s="5"/>
      <c r="AE135" s="5"/>
      <c r="AF135" s="5" t="s">
        <v>1819</v>
      </c>
      <c r="AG135" s="5" t="s">
        <v>1819</v>
      </c>
      <c r="AH135" s="5" t="s">
        <v>1820</v>
      </c>
      <c r="AI135" s="5" t="s">
        <v>1821</v>
      </c>
      <c r="AJ135" s="5"/>
      <c r="AK135" s="5" t="s">
        <v>1822</v>
      </c>
      <c r="AL135" s="5" t="s">
        <v>1819</v>
      </c>
      <c r="AM135" s="5" t="s">
        <v>1560</v>
      </c>
      <c r="AN135" s="5" t="s">
        <v>1823</v>
      </c>
      <c r="AO135" s="5" t="s">
        <v>1824</v>
      </c>
      <c r="AP135" s="5" t="s">
        <v>1825</v>
      </c>
      <c r="AQ135" s="5" t="s">
        <v>1819</v>
      </c>
      <c r="AR135" s="5" t="s">
        <v>596</v>
      </c>
      <c r="AS135" s="5"/>
      <c r="AT135" s="5" t="s">
        <v>1826</v>
      </c>
      <c r="AU135" s="5" t="s">
        <v>1430</v>
      </c>
      <c r="AV135" s="5" t="s">
        <v>178</v>
      </c>
      <c r="AW135" s="5" t="s">
        <v>1827</v>
      </c>
    </row>
    <row r="136" customFormat="false" ht="258.95" hidden="false" customHeight="false" outlineLevel="0" collapsed="false">
      <c r="A136" s="5" t="s">
        <v>1828</v>
      </c>
      <c r="B136" s="5" t="s">
        <v>1829</v>
      </c>
      <c r="C136" s="5" t="s">
        <v>1806</v>
      </c>
      <c r="D136" s="5" t="s">
        <v>1807</v>
      </c>
      <c r="E136" s="5" t="s">
        <v>626</v>
      </c>
      <c r="F136" s="5" t="s">
        <v>1830</v>
      </c>
      <c r="G136" s="5" t="s">
        <v>1831</v>
      </c>
      <c r="H136" s="5" t="n">
        <v>10</v>
      </c>
      <c r="I136" s="5" t="s">
        <v>152</v>
      </c>
      <c r="J136" s="5" t="s">
        <v>153</v>
      </c>
      <c r="K136" s="5" t="s">
        <v>1832</v>
      </c>
      <c r="L136" s="5" t="s">
        <v>30</v>
      </c>
      <c r="M136" s="5" t="s">
        <v>155</v>
      </c>
      <c r="N136" s="5" t="s">
        <v>1833</v>
      </c>
      <c r="O136" s="5" t="s">
        <v>570</v>
      </c>
      <c r="P136" s="5" t="s">
        <v>158</v>
      </c>
      <c r="Q136" s="5" t="s">
        <v>440</v>
      </c>
      <c r="R136" s="5" t="s">
        <v>1812</v>
      </c>
      <c r="S136" s="5" t="s">
        <v>1813</v>
      </c>
      <c r="T136" s="5" t="s">
        <v>162</v>
      </c>
      <c r="U136" s="5" t="n">
        <v>365</v>
      </c>
      <c r="V136" s="5" t="s">
        <v>1814</v>
      </c>
      <c r="W136" s="5" t="s">
        <v>1815</v>
      </c>
      <c r="X136" s="5" t="s">
        <v>1834</v>
      </c>
      <c r="Y136" s="5" t="s">
        <v>1835</v>
      </c>
      <c r="Z136" s="5" t="s">
        <v>1836</v>
      </c>
      <c r="AA136" s="5" t="s">
        <v>1837</v>
      </c>
      <c r="AB136" s="5" t="s">
        <v>1838</v>
      </c>
      <c r="AC136" s="5"/>
      <c r="AD136" s="5" t="s">
        <v>1839</v>
      </c>
      <c r="AE136" s="5"/>
      <c r="AF136" s="5" t="s">
        <v>1840</v>
      </c>
      <c r="AG136" s="5" t="s">
        <v>1841</v>
      </c>
      <c r="AH136" s="5" t="s">
        <v>1842</v>
      </c>
      <c r="AI136" s="5" t="s">
        <v>1843</v>
      </c>
      <c r="AJ136" s="5" t="s">
        <v>1844</v>
      </c>
      <c r="AK136" s="5" t="s">
        <v>1845</v>
      </c>
      <c r="AL136" s="5" t="s">
        <v>1840</v>
      </c>
      <c r="AM136" s="5"/>
      <c r="AN136" s="5" t="s">
        <v>1846</v>
      </c>
      <c r="AO136" s="5" t="s">
        <v>1847</v>
      </c>
      <c r="AP136" s="5" t="s">
        <v>1848</v>
      </c>
      <c r="AQ136" s="5" t="s">
        <v>1849</v>
      </c>
      <c r="AR136" s="5" t="s">
        <v>1850</v>
      </c>
      <c r="AS136" s="5"/>
      <c r="AT136" s="5" t="s">
        <v>1851</v>
      </c>
      <c r="AU136" s="5" t="s">
        <v>1430</v>
      </c>
      <c r="AV136" s="5" t="s">
        <v>178</v>
      </c>
      <c r="AW136" s="5" t="s">
        <v>1852</v>
      </c>
    </row>
    <row r="137" customFormat="false" ht="202.95" hidden="false" customHeight="false" outlineLevel="0" collapsed="false">
      <c r="A137" s="5" t="s">
        <v>1853</v>
      </c>
      <c r="B137" s="5" t="s">
        <v>1854</v>
      </c>
      <c r="C137" s="5" t="s">
        <v>1806</v>
      </c>
      <c r="D137" s="5" t="s">
        <v>1807</v>
      </c>
      <c r="E137" s="5" t="s">
        <v>600</v>
      </c>
      <c r="F137" s="5" t="s">
        <v>1855</v>
      </c>
      <c r="G137" s="5" t="s">
        <v>1856</v>
      </c>
      <c r="H137" s="5" t="n">
        <v>8</v>
      </c>
      <c r="I137" s="5" t="s">
        <v>152</v>
      </c>
      <c r="J137" s="5" t="s">
        <v>153</v>
      </c>
      <c r="K137" s="5" t="s">
        <v>1857</v>
      </c>
      <c r="L137" s="5" t="s">
        <v>30</v>
      </c>
      <c r="M137" s="5" t="s">
        <v>155</v>
      </c>
      <c r="N137" s="5" t="s">
        <v>1858</v>
      </c>
      <c r="O137" s="5" t="s">
        <v>157</v>
      </c>
      <c r="P137" s="5" t="s">
        <v>158</v>
      </c>
      <c r="Q137" s="5" t="s">
        <v>440</v>
      </c>
      <c r="R137" s="5" t="s">
        <v>1812</v>
      </c>
      <c r="S137" s="5" t="s">
        <v>1813</v>
      </c>
      <c r="T137" s="5" t="s">
        <v>162</v>
      </c>
      <c r="U137" s="5" t="n">
        <v>365</v>
      </c>
      <c r="V137" s="5" t="s">
        <v>1814</v>
      </c>
      <c r="W137" s="5" t="s">
        <v>1815</v>
      </c>
      <c r="X137" s="5" t="s">
        <v>1859</v>
      </c>
      <c r="Y137" s="5" t="s">
        <v>1860</v>
      </c>
      <c r="Z137" s="5" t="s">
        <v>1861</v>
      </c>
      <c r="AA137" s="5"/>
      <c r="AB137" s="5"/>
      <c r="AC137" s="5"/>
      <c r="AD137" s="5"/>
      <c r="AE137" s="5"/>
      <c r="AF137" s="5" t="s">
        <v>1862</v>
      </c>
      <c r="AG137" s="5" t="s">
        <v>1862</v>
      </c>
      <c r="AH137" s="5" t="s">
        <v>1863</v>
      </c>
      <c r="AI137" s="5" t="s">
        <v>1864</v>
      </c>
      <c r="AJ137" s="5" t="s">
        <v>1865</v>
      </c>
      <c r="AK137" s="5" t="s">
        <v>1866</v>
      </c>
      <c r="AL137" s="5" t="s">
        <v>1862</v>
      </c>
      <c r="AM137" s="5"/>
      <c r="AN137" s="5" t="s">
        <v>1867</v>
      </c>
      <c r="AO137" s="5"/>
      <c r="AP137" s="5"/>
      <c r="AQ137" s="5" t="s">
        <v>1862</v>
      </c>
      <c r="AR137" s="5" t="s">
        <v>596</v>
      </c>
      <c r="AS137" s="5"/>
      <c r="AT137" s="5" t="s">
        <v>672</v>
      </c>
      <c r="AU137" s="5" t="s">
        <v>1430</v>
      </c>
      <c r="AV137" s="5" t="s">
        <v>178</v>
      </c>
      <c r="AW137" s="5" t="s">
        <v>1827</v>
      </c>
    </row>
    <row r="138" customFormat="false" ht="191.75" hidden="false" customHeight="false" outlineLevel="0" collapsed="false">
      <c r="A138" s="5" t="s">
        <v>1868</v>
      </c>
      <c r="B138" s="5" t="s">
        <v>1869</v>
      </c>
      <c r="C138" s="5" t="s">
        <v>1806</v>
      </c>
      <c r="D138" s="5" t="s">
        <v>1807</v>
      </c>
      <c r="E138" s="5" t="s">
        <v>600</v>
      </c>
      <c r="F138" s="5" t="s">
        <v>1870</v>
      </c>
      <c r="G138" s="5" t="s">
        <v>1871</v>
      </c>
      <c r="H138" s="5" t="n">
        <v>7</v>
      </c>
      <c r="I138" s="5" t="s">
        <v>603</v>
      </c>
      <c r="J138" s="5" t="s">
        <v>557</v>
      </c>
      <c r="K138" s="5"/>
      <c r="L138" s="5" t="s">
        <v>30</v>
      </c>
      <c r="M138" s="5" t="s">
        <v>155</v>
      </c>
      <c r="N138" s="5" t="s">
        <v>1872</v>
      </c>
      <c r="O138" s="5" t="s">
        <v>570</v>
      </c>
      <c r="P138" s="5" t="s">
        <v>158</v>
      </c>
      <c r="Q138" s="5" t="s">
        <v>605</v>
      </c>
      <c r="R138" s="5" t="s">
        <v>1812</v>
      </c>
      <c r="S138" s="5" t="s">
        <v>1813</v>
      </c>
      <c r="T138" s="5" t="s">
        <v>606</v>
      </c>
      <c r="U138" s="5" t="n">
        <v>90</v>
      </c>
      <c r="V138" s="5" t="s">
        <v>1814</v>
      </c>
      <c r="W138" s="5" t="s">
        <v>1815</v>
      </c>
      <c r="X138" s="5" t="s">
        <v>1873</v>
      </c>
      <c r="Y138" s="5" t="s">
        <v>1874</v>
      </c>
      <c r="Z138" s="5" t="s">
        <v>1875</v>
      </c>
      <c r="AA138" s="5" t="s">
        <v>1876</v>
      </c>
      <c r="AB138" s="5" t="s">
        <v>1877</v>
      </c>
      <c r="AC138" s="5"/>
      <c r="AD138" s="5" t="s">
        <v>1878</v>
      </c>
      <c r="AE138" s="5"/>
      <c r="AF138" s="5" t="s">
        <v>1879</v>
      </c>
      <c r="AG138" s="5" t="s">
        <v>1880</v>
      </c>
      <c r="AH138" s="5"/>
      <c r="AI138" s="5"/>
      <c r="AJ138" s="5" t="s">
        <v>1881</v>
      </c>
      <c r="AK138" s="5"/>
      <c r="AL138" s="5" t="s">
        <v>1879</v>
      </c>
      <c r="AM138" s="5" t="s">
        <v>1880</v>
      </c>
      <c r="AN138" s="5"/>
      <c r="AO138" s="5" t="s">
        <v>1882</v>
      </c>
      <c r="AP138" s="5"/>
      <c r="AQ138" s="5"/>
      <c r="AR138" s="5" t="s">
        <v>596</v>
      </c>
      <c r="AS138" s="5"/>
      <c r="AT138" s="5"/>
      <c r="AU138" s="5" t="s">
        <v>1430</v>
      </c>
      <c r="AV138" s="5" t="s">
        <v>178</v>
      </c>
      <c r="AW138" s="5" t="s">
        <v>1883</v>
      </c>
    </row>
    <row r="139" customFormat="false" ht="135.8" hidden="false" customHeight="false" outlineLevel="0" collapsed="false">
      <c r="A139" s="5" t="s">
        <v>1884</v>
      </c>
      <c r="B139" s="5" t="s">
        <v>1885</v>
      </c>
      <c r="C139" s="5" t="s">
        <v>1806</v>
      </c>
      <c r="D139" s="5" t="s">
        <v>1807</v>
      </c>
      <c r="E139" s="5" t="s">
        <v>514</v>
      </c>
      <c r="F139" s="5" t="s">
        <v>1886</v>
      </c>
      <c r="G139" s="5" t="s">
        <v>1887</v>
      </c>
      <c r="H139" s="5" t="n">
        <v>3</v>
      </c>
      <c r="I139" s="5" t="s">
        <v>152</v>
      </c>
      <c r="J139" s="5" t="s">
        <v>153</v>
      </c>
      <c r="K139" s="5"/>
      <c r="L139" s="5" t="s">
        <v>30</v>
      </c>
      <c r="M139" s="5" t="s">
        <v>155</v>
      </c>
      <c r="N139" s="5" t="s">
        <v>1030</v>
      </c>
      <c r="O139" s="5" t="s">
        <v>157</v>
      </c>
      <c r="P139" s="5" t="s">
        <v>215</v>
      </c>
      <c r="Q139" s="5" t="s">
        <v>440</v>
      </c>
      <c r="R139" s="5" t="s">
        <v>1812</v>
      </c>
      <c r="S139" s="5" t="s">
        <v>1813</v>
      </c>
      <c r="T139" s="5" t="s">
        <v>162</v>
      </c>
      <c r="U139" s="5" t="n">
        <v>365</v>
      </c>
      <c r="V139" s="5" t="s">
        <v>1814</v>
      </c>
      <c r="W139" s="5" t="s">
        <v>1815</v>
      </c>
      <c r="X139" s="5" t="s">
        <v>1888</v>
      </c>
      <c r="Y139" s="5" t="s">
        <v>1889</v>
      </c>
      <c r="Z139" s="5" t="s">
        <v>1890</v>
      </c>
      <c r="AA139" s="5"/>
      <c r="AB139" s="5"/>
      <c r="AC139" s="5"/>
      <c r="AD139" s="5"/>
      <c r="AE139" s="5"/>
      <c r="AF139" s="5" t="s">
        <v>1891</v>
      </c>
      <c r="AG139" s="5" t="s">
        <v>1891</v>
      </c>
      <c r="AH139" s="5"/>
      <c r="AI139" s="5"/>
      <c r="AJ139" s="5"/>
      <c r="AK139" s="5"/>
      <c r="AL139" s="5" t="s">
        <v>1891</v>
      </c>
      <c r="AM139" s="5" t="s">
        <v>1891</v>
      </c>
      <c r="AN139" s="5"/>
      <c r="AO139" s="5"/>
      <c r="AP139" s="5"/>
      <c r="AQ139" s="5"/>
      <c r="AR139" s="5" t="s">
        <v>596</v>
      </c>
      <c r="AS139" s="5"/>
      <c r="AT139" s="5"/>
      <c r="AU139" s="5"/>
      <c r="AV139" s="5" t="s">
        <v>178</v>
      </c>
      <c r="AW139" s="5" t="s">
        <v>1892</v>
      </c>
    </row>
    <row r="140" customFormat="false" ht="180.55" hidden="false" customHeight="false" outlineLevel="0" collapsed="false">
      <c r="A140" s="5" t="s">
        <v>1893</v>
      </c>
      <c r="B140" s="5" t="s">
        <v>1894</v>
      </c>
      <c r="C140" s="5" t="s">
        <v>1806</v>
      </c>
      <c r="D140" s="5" t="s">
        <v>1807</v>
      </c>
      <c r="E140" s="5" t="s">
        <v>626</v>
      </c>
      <c r="F140" s="5" t="s">
        <v>1895</v>
      </c>
      <c r="G140" s="5" t="s">
        <v>1896</v>
      </c>
      <c r="H140" s="5" t="n">
        <v>8</v>
      </c>
      <c r="I140" s="5" t="s">
        <v>603</v>
      </c>
      <c r="J140" s="5" t="s">
        <v>153</v>
      </c>
      <c r="K140" s="5" t="s">
        <v>1897</v>
      </c>
      <c r="L140" s="5" t="s">
        <v>30</v>
      </c>
      <c r="M140" s="5" t="s">
        <v>155</v>
      </c>
      <c r="N140" s="5" t="s">
        <v>1898</v>
      </c>
      <c r="O140" s="5" t="s">
        <v>570</v>
      </c>
      <c r="P140" s="5" t="s">
        <v>215</v>
      </c>
      <c r="Q140" s="5" t="s">
        <v>440</v>
      </c>
      <c r="R140" s="5" t="s">
        <v>1812</v>
      </c>
      <c r="S140" s="5" t="s">
        <v>1813</v>
      </c>
      <c r="T140" s="5" t="s">
        <v>606</v>
      </c>
      <c r="U140" s="5" t="n">
        <v>365</v>
      </c>
      <c r="V140" s="5" t="s">
        <v>1814</v>
      </c>
      <c r="W140" s="5" t="s">
        <v>1815</v>
      </c>
      <c r="X140" s="5" t="s">
        <v>1899</v>
      </c>
      <c r="Y140" s="5" t="s">
        <v>1900</v>
      </c>
      <c r="Z140" s="5" t="s">
        <v>1901</v>
      </c>
      <c r="AA140" s="5"/>
      <c r="AB140" s="5"/>
      <c r="AC140" s="5"/>
      <c r="AD140" s="5"/>
      <c r="AE140" s="5"/>
      <c r="AF140" s="5" t="s">
        <v>1902</v>
      </c>
      <c r="AG140" s="5" t="s">
        <v>1903</v>
      </c>
      <c r="AH140" s="5"/>
      <c r="AI140" s="5" t="s">
        <v>1904</v>
      </c>
      <c r="AJ140" s="5" t="s">
        <v>1905</v>
      </c>
      <c r="AK140" s="5" t="s">
        <v>1866</v>
      </c>
      <c r="AL140" s="5" t="s">
        <v>1902</v>
      </c>
      <c r="AM140" s="5" t="s">
        <v>1903</v>
      </c>
      <c r="AN140" s="5"/>
      <c r="AO140" s="5" t="s">
        <v>1906</v>
      </c>
      <c r="AP140" s="5"/>
      <c r="AQ140" s="5"/>
      <c r="AR140" s="5" t="s">
        <v>596</v>
      </c>
      <c r="AS140" s="5"/>
      <c r="AT140" s="5" t="s">
        <v>1907</v>
      </c>
      <c r="AU140" s="5"/>
      <c r="AV140" s="5" t="s">
        <v>178</v>
      </c>
      <c r="AW140" s="5" t="s">
        <v>1852</v>
      </c>
    </row>
    <row r="141" customFormat="false" ht="236.55" hidden="false" customHeight="false" outlineLevel="0" collapsed="false">
      <c r="A141" s="5" t="s">
        <v>1908</v>
      </c>
      <c r="B141" s="5" t="s">
        <v>1909</v>
      </c>
      <c r="C141" s="5" t="s">
        <v>1806</v>
      </c>
      <c r="D141" s="5" t="s">
        <v>1807</v>
      </c>
      <c r="E141" s="5" t="s">
        <v>626</v>
      </c>
      <c r="F141" s="5" t="s">
        <v>1910</v>
      </c>
      <c r="G141" s="5" t="s">
        <v>1911</v>
      </c>
      <c r="H141" s="5" t="n">
        <v>9</v>
      </c>
      <c r="I141" s="5" t="s">
        <v>152</v>
      </c>
      <c r="J141" s="5" t="s">
        <v>153</v>
      </c>
      <c r="K141" s="5" t="s">
        <v>1912</v>
      </c>
      <c r="L141" s="5" t="s">
        <v>30</v>
      </c>
      <c r="M141" s="5" t="s">
        <v>155</v>
      </c>
      <c r="N141" s="5" t="s">
        <v>1913</v>
      </c>
      <c r="O141" s="5" t="s">
        <v>157</v>
      </c>
      <c r="P141" s="5" t="s">
        <v>215</v>
      </c>
      <c r="Q141" s="5" t="s">
        <v>440</v>
      </c>
      <c r="R141" s="5" t="s">
        <v>1812</v>
      </c>
      <c r="S141" s="5" t="s">
        <v>1813</v>
      </c>
      <c r="T141" s="5" t="s">
        <v>162</v>
      </c>
      <c r="U141" s="5" t="n">
        <v>365</v>
      </c>
      <c r="V141" s="5" t="s">
        <v>1814</v>
      </c>
      <c r="W141" s="5" t="s">
        <v>1815</v>
      </c>
      <c r="X141" s="5" t="s">
        <v>1914</v>
      </c>
      <c r="Y141" s="5" t="s">
        <v>1915</v>
      </c>
      <c r="Z141" s="5" t="s">
        <v>1916</v>
      </c>
      <c r="AA141" s="5"/>
      <c r="AB141" s="5"/>
      <c r="AC141" s="5"/>
      <c r="AD141" s="5"/>
      <c r="AE141" s="5"/>
      <c r="AF141" s="5" t="s">
        <v>1917</v>
      </c>
      <c r="AG141" s="5" t="s">
        <v>1917</v>
      </c>
      <c r="AH141" s="5" t="s">
        <v>1918</v>
      </c>
      <c r="AI141" s="5" t="s">
        <v>1919</v>
      </c>
      <c r="AJ141" s="5"/>
      <c r="AK141" s="5"/>
      <c r="AL141" s="5" t="s">
        <v>1917</v>
      </c>
      <c r="AM141" s="5"/>
      <c r="AN141" s="5" t="s">
        <v>1920</v>
      </c>
      <c r="AO141" s="5"/>
      <c r="AP141" s="5"/>
      <c r="AQ141" s="5" t="s">
        <v>1917</v>
      </c>
      <c r="AR141" s="5" t="s">
        <v>596</v>
      </c>
      <c r="AS141" s="5"/>
      <c r="AT141" s="5"/>
      <c r="AU141" s="5" t="s">
        <v>1430</v>
      </c>
      <c r="AV141" s="5" t="s">
        <v>178</v>
      </c>
      <c r="AW141" s="5" t="s">
        <v>1883</v>
      </c>
    </row>
    <row r="142" customFormat="false" ht="169.4" hidden="false" customHeight="false" outlineLevel="0" collapsed="false">
      <c r="A142" s="5" t="s">
        <v>1921</v>
      </c>
      <c r="B142" s="5" t="s">
        <v>1922</v>
      </c>
      <c r="C142" s="5" t="s">
        <v>1806</v>
      </c>
      <c r="D142" s="5" t="s">
        <v>1807</v>
      </c>
      <c r="E142" s="5" t="s">
        <v>626</v>
      </c>
      <c r="F142" s="5" t="s">
        <v>1923</v>
      </c>
      <c r="G142" s="5" t="s">
        <v>1924</v>
      </c>
      <c r="H142" s="5" t="n">
        <v>9</v>
      </c>
      <c r="I142" s="5" t="s">
        <v>603</v>
      </c>
      <c r="J142" s="5" t="s">
        <v>153</v>
      </c>
      <c r="K142" s="5" t="s">
        <v>1925</v>
      </c>
      <c r="L142" s="5" t="s">
        <v>30</v>
      </c>
      <c r="M142" s="5" t="s">
        <v>155</v>
      </c>
      <c r="N142" s="5" t="s">
        <v>1926</v>
      </c>
      <c r="O142" s="5" t="s">
        <v>157</v>
      </c>
      <c r="P142" s="5" t="s">
        <v>215</v>
      </c>
      <c r="Q142" s="5" t="s">
        <v>440</v>
      </c>
      <c r="R142" s="5" t="s">
        <v>1812</v>
      </c>
      <c r="S142" s="5" t="s">
        <v>1813</v>
      </c>
      <c r="T142" s="5" t="s">
        <v>606</v>
      </c>
      <c r="U142" s="5" t="n">
        <v>365</v>
      </c>
      <c r="V142" s="5" t="s">
        <v>1814</v>
      </c>
      <c r="W142" s="5" t="s">
        <v>1815</v>
      </c>
      <c r="X142" s="5" t="s">
        <v>1927</v>
      </c>
      <c r="Y142" s="5" t="s">
        <v>1928</v>
      </c>
      <c r="Z142" s="5" t="s">
        <v>1929</v>
      </c>
      <c r="AA142" s="5"/>
      <c r="AB142" s="5"/>
      <c r="AC142" s="5"/>
      <c r="AD142" s="5"/>
      <c r="AE142" s="5"/>
      <c r="AF142" s="5" t="s">
        <v>1930</v>
      </c>
      <c r="AG142" s="5" t="s">
        <v>1930</v>
      </c>
      <c r="AH142" s="5" t="s">
        <v>1931</v>
      </c>
      <c r="AI142" s="5"/>
      <c r="AJ142" s="5" t="s">
        <v>1932</v>
      </c>
      <c r="AK142" s="5"/>
      <c r="AL142" s="5" t="s">
        <v>1930</v>
      </c>
      <c r="AM142" s="5"/>
      <c r="AN142" s="5"/>
      <c r="AO142" s="5"/>
      <c r="AP142" s="5"/>
      <c r="AQ142" s="5"/>
      <c r="AR142" s="5" t="s">
        <v>1933</v>
      </c>
      <c r="AS142" s="5"/>
      <c r="AT142" s="5"/>
      <c r="AU142" s="5"/>
      <c r="AV142" s="5" t="s">
        <v>178</v>
      </c>
      <c r="AW142" s="5" t="s">
        <v>1852</v>
      </c>
    </row>
    <row r="143" customFormat="false" ht="180.55" hidden="false" customHeight="false" outlineLevel="0" collapsed="false">
      <c r="A143" s="5" t="s">
        <v>1934</v>
      </c>
      <c r="B143" s="5" t="s">
        <v>1935</v>
      </c>
      <c r="C143" s="5" t="s">
        <v>1806</v>
      </c>
      <c r="D143" s="5" t="s">
        <v>1807</v>
      </c>
      <c r="E143" s="5" t="s">
        <v>626</v>
      </c>
      <c r="F143" s="5" t="s">
        <v>1936</v>
      </c>
      <c r="G143" s="5" t="s">
        <v>1937</v>
      </c>
      <c r="H143" s="5" t="n">
        <v>10</v>
      </c>
      <c r="I143" s="5" t="s">
        <v>603</v>
      </c>
      <c r="J143" s="5" t="s">
        <v>153</v>
      </c>
      <c r="K143" s="5" t="s">
        <v>1832</v>
      </c>
      <c r="L143" s="5" t="s">
        <v>30</v>
      </c>
      <c r="M143" s="5" t="s">
        <v>155</v>
      </c>
      <c r="N143" s="5" t="s">
        <v>1938</v>
      </c>
      <c r="O143" s="5" t="s">
        <v>570</v>
      </c>
      <c r="P143" s="5" t="s">
        <v>158</v>
      </c>
      <c r="Q143" s="5" t="s">
        <v>440</v>
      </c>
      <c r="R143" s="5" t="s">
        <v>1812</v>
      </c>
      <c r="S143" s="5" t="s">
        <v>1813</v>
      </c>
      <c r="T143" s="5" t="s">
        <v>606</v>
      </c>
      <c r="U143" s="5" t="n">
        <v>365</v>
      </c>
      <c r="V143" s="5" t="s">
        <v>1814</v>
      </c>
      <c r="W143" s="5" t="s">
        <v>1815</v>
      </c>
      <c r="X143" s="5" t="s">
        <v>1939</v>
      </c>
      <c r="Y143" s="5" t="s">
        <v>1940</v>
      </c>
      <c r="Z143" s="5" t="s">
        <v>1941</v>
      </c>
      <c r="AA143" s="5"/>
      <c r="AB143" s="5" t="s">
        <v>1942</v>
      </c>
      <c r="AC143" s="5"/>
      <c r="AD143" s="5" t="s">
        <v>1943</v>
      </c>
      <c r="AE143" s="5"/>
      <c r="AF143" s="5" t="s">
        <v>1944</v>
      </c>
      <c r="AG143" s="5" t="s">
        <v>1944</v>
      </c>
      <c r="AH143" s="5" t="s">
        <v>1945</v>
      </c>
      <c r="AI143" s="5" t="s">
        <v>1946</v>
      </c>
      <c r="AJ143" s="5" t="s">
        <v>1947</v>
      </c>
      <c r="AK143" s="5" t="s">
        <v>1948</v>
      </c>
      <c r="AL143" s="5" t="s">
        <v>1944</v>
      </c>
      <c r="AM143" s="5"/>
      <c r="AN143" s="5" t="s">
        <v>1949</v>
      </c>
      <c r="AO143" s="5"/>
      <c r="AP143" s="5" t="s">
        <v>1950</v>
      </c>
      <c r="AQ143" s="5"/>
      <c r="AR143" s="5" t="s">
        <v>596</v>
      </c>
      <c r="AS143" s="5"/>
      <c r="AT143" s="5" t="s">
        <v>1826</v>
      </c>
      <c r="AU143" s="5"/>
      <c r="AV143" s="5" t="s">
        <v>178</v>
      </c>
      <c r="AW143" s="5" t="s">
        <v>1951</v>
      </c>
    </row>
    <row r="144" customFormat="false" ht="202.95" hidden="false" customHeight="false" outlineLevel="0" collapsed="false">
      <c r="A144" s="5" t="s">
        <v>1952</v>
      </c>
      <c r="B144" s="5" t="s">
        <v>1953</v>
      </c>
      <c r="C144" s="5" t="s">
        <v>1806</v>
      </c>
      <c r="D144" s="5" t="s">
        <v>1807</v>
      </c>
      <c r="E144" s="5" t="s">
        <v>600</v>
      </c>
      <c r="F144" s="5" t="s">
        <v>1954</v>
      </c>
      <c r="G144" s="5" t="s">
        <v>1955</v>
      </c>
      <c r="H144" s="5" t="n">
        <v>8</v>
      </c>
      <c r="I144" s="5" t="s">
        <v>152</v>
      </c>
      <c r="J144" s="5" t="s">
        <v>153</v>
      </c>
      <c r="K144" s="5"/>
      <c r="L144" s="5" t="s">
        <v>30</v>
      </c>
      <c r="M144" s="5" t="s">
        <v>155</v>
      </c>
      <c r="N144" s="5" t="s">
        <v>1030</v>
      </c>
      <c r="O144" s="5" t="s">
        <v>157</v>
      </c>
      <c r="P144" s="5" t="s">
        <v>158</v>
      </c>
      <c r="Q144" s="5" t="s">
        <v>440</v>
      </c>
      <c r="R144" s="5" t="s">
        <v>1812</v>
      </c>
      <c r="S144" s="5" t="s">
        <v>1813</v>
      </c>
      <c r="T144" s="5" t="s">
        <v>162</v>
      </c>
      <c r="U144" s="5" t="n">
        <v>365</v>
      </c>
      <c r="V144" s="5" t="s">
        <v>1814</v>
      </c>
      <c r="W144" s="5" t="s">
        <v>1815</v>
      </c>
      <c r="X144" s="5" t="s">
        <v>1956</v>
      </c>
      <c r="Y144" s="5" t="s">
        <v>1957</v>
      </c>
      <c r="Z144" s="5" t="s">
        <v>1958</v>
      </c>
      <c r="AA144" s="5"/>
      <c r="AB144" s="5"/>
      <c r="AC144" s="5"/>
      <c r="AD144" s="5"/>
      <c r="AE144" s="5"/>
      <c r="AF144" s="5" t="s">
        <v>1959</v>
      </c>
      <c r="AG144" s="5" t="s">
        <v>1959</v>
      </c>
      <c r="AH144" s="5"/>
      <c r="AI144" s="5"/>
      <c r="AJ144" s="5"/>
      <c r="AK144" s="5"/>
      <c r="AL144" s="5" t="s">
        <v>1959</v>
      </c>
      <c r="AM144" s="5" t="s">
        <v>1959</v>
      </c>
      <c r="AN144" s="5"/>
      <c r="AO144" s="5"/>
      <c r="AP144" s="5"/>
      <c r="AQ144" s="5"/>
      <c r="AR144" s="5" t="s">
        <v>596</v>
      </c>
      <c r="AS144" s="5"/>
      <c r="AT144" s="5" t="s">
        <v>1960</v>
      </c>
      <c r="AU144" s="5"/>
      <c r="AV144" s="5" t="s">
        <v>178</v>
      </c>
      <c r="AW144" s="5" t="s">
        <v>1827</v>
      </c>
    </row>
    <row r="145" customFormat="false" ht="147" hidden="false" customHeight="false" outlineLevel="0" collapsed="false">
      <c r="A145" s="5" t="s">
        <v>1961</v>
      </c>
      <c r="B145" s="5" t="s">
        <v>1962</v>
      </c>
      <c r="C145" s="5" t="s">
        <v>1806</v>
      </c>
      <c r="D145" s="5" t="s">
        <v>1807</v>
      </c>
      <c r="E145" s="5" t="s">
        <v>626</v>
      </c>
      <c r="F145" s="5" t="s">
        <v>1963</v>
      </c>
      <c r="G145" s="5" t="s">
        <v>1964</v>
      </c>
      <c r="H145" s="5" t="n">
        <v>7</v>
      </c>
      <c r="I145" s="5" t="s">
        <v>603</v>
      </c>
      <c r="J145" s="5" t="s">
        <v>153</v>
      </c>
      <c r="K145" s="5" t="s">
        <v>1965</v>
      </c>
      <c r="L145" s="5" t="s">
        <v>55</v>
      </c>
      <c r="M145" s="5" t="s">
        <v>185</v>
      </c>
      <c r="N145" s="5" t="s">
        <v>1966</v>
      </c>
      <c r="O145" s="5" t="s">
        <v>187</v>
      </c>
      <c r="P145" s="5" t="s">
        <v>641</v>
      </c>
      <c r="Q145" s="5" t="s">
        <v>605</v>
      </c>
      <c r="R145" s="5" t="s">
        <v>1812</v>
      </c>
      <c r="S145" s="5" t="s">
        <v>1813</v>
      </c>
      <c r="T145" s="5" t="s">
        <v>606</v>
      </c>
      <c r="U145" s="5" t="n">
        <v>365</v>
      </c>
      <c r="V145" s="5" t="s">
        <v>1814</v>
      </c>
      <c r="W145" s="5" t="s">
        <v>1815</v>
      </c>
      <c r="X145" s="5" t="s">
        <v>1967</v>
      </c>
      <c r="Y145" s="5" t="s">
        <v>1968</v>
      </c>
      <c r="Z145" s="5" t="s">
        <v>1969</v>
      </c>
      <c r="AA145" s="5"/>
      <c r="AB145" s="5"/>
      <c r="AC145" s="5"/>
      <c r="AD145" s="5"/>
      <c r="AE145" s="5"/>
      <c r="AF145" s="5" t="s">
        <v>1970</v>
      </c>
      <c r="AG145" s="5"/>
      <c r="AH145" s="5"/>
      <c r="AI145" s="5"/>
      <c r="AJ145" s="5"/>
      <c r="AK145" s="5" t="s">
        <v>1948</v>
      </c>
      <c r="AL145" s="5" t="s">
        <v>1970</v>
      </c>
      <c r="AM145" s="5" t="s">
        <v>1970</v>
      </c>
      <c r="AN145" s="5"/>
      <c r="AO145" s="5"/>
      <c r="AP145" s="5"/>
      <c r="AQ145" s="5" t="s">
        <v>1970</v>
      </c>
      <c r="AR145" s="5" t="s">
        <v>596</v>
      </c>
      <c r="AS145" s="5"/>
      <c r="AT145" s="5"/>
      <c r="AU145" s="5"/>
      <c r="AV145" s="5" t="s">
        <v>178</v>
      </c>
      <c r="AW145" s="5" t="s">
        <v>1971</v>
      </c>
    </row>
    <row r="146" customFormat="false" ht="225.35" hidden="false" customHeight="false" outlineLevel="0" collapsed="false">
      <c r="A146" s="5" t="s">
        <v>1972</v>
      </c>
      <c r="B146" s="5" t="s">
        <v>1973</v>
      </c>
      <c r="C146" s="5" t="s">
        <v>1806</v>
      </c>
      <c r="D146" s="5" t="s">
        <v>1807</v>
      </c>
      <c r="E146" s="5" t="s">
        <v>626</v>
      </c>
      <c r="F146" s="5" t="s">
        <v>1974</v>
      </c>
      <c r="G146" s="5" t="s">
        <v>1975</v>
      </c>
      <c r="H146" s="5" t="n">
        <v>5</v>
      </c>
      <c r="I146" s="5" t="s">
        <v>603</v>
      </c>
      <c r="J146" s="5" t="s">
        <v>153</v>
      </c>
      <c r="K146" s="5" t="s">
        <v>1976</v>
      </c>
      <c r="L146" s="5" t="s">
        <v>30</v>
      </c>
      <c r="M146" s="5" t="s">
        <v>155</v>
      </c>
      <c r="N146" s="5" t="s">
        <v>1977</v>
      </c>
      <c r="O146" s="5" t="s">
        <v>570</v>
      </c>
      <c r="P146" s="5" t="s">
        <v>641</v>
      </c>
      <c r="Q146" s="5" t="s">
        <v>605</v>
      </c>
      <c r="R146" s="5" t="s">
        <v>1812</v>
      </c>
      <c r="S146" s="5" t="s">
        <v>1813</v>
      </c>
      <c r="T146" s="5" t="s">
        <v>606</v>
      </c>
      <c r="U146" s="5" t="n">
        <v>365</v>
      </c>
      <c r="V146" s="5" t="s">
        <v>1814</v>
      </c>
      <c r="W146" s="5" t="s">
        <v>1815</v>
      </c>
      <c r="X146" s="5" t="s">
        <v>1978</v>
      </c>
      <c r="Y146" s="5" t="s">
        <v>1979</v>
      </c>
      <c r="Z146" s="5" t="s">
        <v>1980</v>
      </c>
      <c r="AA146" s="5"/>
      <c r="AB146" s="5"/>
      <c r="AC146" s="5"/>
      <c r="AD146" s="5"/>
      <c r="AE146" s="5"/>
      <c r="AF146" s="5" t="s">
        <v>1981</v>
      </c>
      <c r="AG146" s="5" t="s">
        <v>1982</v>
      </c>
      <c r="AH146" s="5"/>
      <c r="AI146" s="5"/>
      <c r="AJ146" s="5" t="s">
        <v>1983</v>
      </c>
      <c r="AK146" s="5"/>
      <c r="AL146" s="5" t="s">
        <v>1981</v>
      </c>
      <c r="AM146" s="5" t="s">
        <v>1982</v>
      </c>
      <c r="AN146" s="5"/>
      <c r="AO146" s="5" t="s">
        <v>1984</v>
      </c>
      <c r="AP146" s="5"/>
      <c r="AQ146" s="5" t="s">
        <v>1985</v>
      </c>
      <c r="AR146" s="5" t="s">
        <v>1986</v>
      </c>
      <c r="AS146" s="5"/>
      <c r="AT146" s="5"/>
      <c r="AU146" s="5"/>
      <c r="AV146" s="5" t="s">
        <v>178</v>
      </c>
      <c r="AW146" s="5" t="s">
        <v>1971</v>
      </c>
    </row>
    <row r="147" customFormat="false" ht="135.8" hidden="false" customHeight="false" outlineLevel="0" collapsed="false">
      <c r="A147" s="5" t="s">
        <v>1987</v>
      </c>
      <c r="B147" s="5" t="s">
        <v>1988</v>
      </c>
      <c r="C147" s="5" t="s">
        <v>1806</v>
      </c>
      <c r="D147" s="5" t="s">
        <v>1807</v>
      </c>
      <c r="E147" s="5" t="s">
        <v>626</v>
      </c>
      <c r="F147" s="5" t="s">
        <v>1989</v>
      </c>
      <c r="G147" s="5" t="s">
        <v>1990</v>
      </c>
      <c r="H147" s="5" t="n">
        <v>8</v>
      </c>
      <c r="I147" s="5" t="s">
        <v>603</v>
      </c>
      <c r="J147" s="5" t="s">
        <v>153</v>
      </c>
      <c r="K147" s="5"/>
      <c r="L147" s="5" t="s">
        <v>30</v>
      </c>
      <c r="M147" s="5" t="s">
        <v>155</v>
      </c>
      <c r="N147" s="5" t="s">
        <v>1030</v>
      </c>
      <c r="O147" s="5" t="s">
        <v>157</v>
      </c>
      <c r="P147" s="5" t="s">
        <v>641</v>
      </c>
      <c r="Q147" s="5" t="s">
        <v>519</v>
      </c>
      <c r="R147" s="5" t="s">
        <v>1812</v>
      </c>
      <c r="S147" s="5" t="s">
        <v>1813</v>
      </c>
      <c r="T147" s="5" t="s">
        <v>606</v>
      </c>
      <c r="U147" s="5" t="n">
        <v>365</v>
      </c>
      <c r="V147" s="5" t="s">
        <v>1814</v>
      </c>
      <c r="W147" s="5" t="s">
        <v>1815</v>
      </c>
      <c r="X147" s="5" t="s">
        <v>1991</v>
      </c>
      <c r="Y147" s="5" t="s">
        <v>1992</v>
      </c>
      <c r="Z147" s="5" t="s">
        <v>1993</v>
      </c>
      <c r="AA147" s="5"/>
      <c r="AB147" s="5"/>
      <c r="AC147" s="5"/>
      <c r="AD147" s="5"/>
      <c r="AE147" s="5"/>
      <c r="AF147" s="5" t="s">
        <v>1994</v>
      </c>
      <c r="AG147" s="5" t="s">
        <v>1994</v>
      </c>
      <c r="AH147" s="5"/>
      <c r="AI147" s="5"/>
      <c r="AJ147" s="5"/>
      <c r="AK147" s="5"/>
      <c r="AL147" s="5" t="s">
        <v>1994</v>
      </c>
      <c r="AM147" s="5" t="s">
        <v>1994</v>
      </c>
      <c r="AN147" s="5"/>
      <c r="AO147" s="5"/>
      <c r="AP147" s="5"/>
      <c r="AQ147" s="5"/>
      <c r="AR147" s="5" t="s">
        <v>646</v>
      </c>
      <c r="AS147" s="5"/>
      <c r="AT147" s="5"/>
      <c r="AU147" s="5"/>
      <c r="AV147" s="5"/>
      <c r="AW147" s="5" t="s">
        <v>1664</v>
      </c>
    </row>
    <row r="148" customFormat="false" ht="169.4" hidden="false" customHeight="false" outlineLevel="0" collapsed="false">
      <c r="A148" s="5" t="s">
        <v>1995</v>
      </c>
      <c r="B148" s="5" t="s">
        <v>1996</v>
      </c>
      <c r="C148" s="5" t="s">
        <v>1806</v>
      </c>
      <c r="D148" s="5" t="s">
        <v>1807</v>
      </c>
      <c r="E148" s="5" t="s">
        <v>626</v>
      </c>
      <c r="F148" s="5" t="s">
        <v>1997</v>
      </c>
      <c r="G148" s="5" t="s">
        <v>1998</v>
      </c>
      <c r="H148" s="5" t="n">
        <v>9</v>
      </c>
      <c r="I148" s="5" t="s">
        <v>603</v>
      </c>
      <c r="J148" s="5" t="s">
        <v>153</v>
      </c>
      <c r="K148" s="5"/>
      <c r="L148" s="5" t="s">
        <v>30</v>
      </c>
      <c r="M148" s="5" t="s">
        <v>155</v>
      </c>
      <c r="N148" s="5" t="s">
        <v>1003</v>
      </c>
      <c r="O148" s="5" t="s">
        <v>157</v>
      </c>
      <c r="P148" s="5" t="s">
        <v>215</v>
      </c>
      <c r="Q148" s="5" t="s">
        <v>440</v>
      </c>
      <c r="R148" s="5" t="s">
        <v>1812</v>
      </c>
      <c r="S148" s="5" t="s">
        <v>1813</v>
      </c>
      <c r="T148" s="5" t="s">
        <v>606</v>
      </c>
      <c r="U148" s="5" t="n">
        <v>365</v>
      </c>
      <c r="V148" s="5" t="s">
        <v>1814</v>
      </c>
      <c r="W148" s="5" t="s">
        <v>1815</v>
      </c>
      <c r="X148" s="5" t="s">
        <v>1999</v>
      </c>
      <c r="Y148" s="5" t="s">
        <v>2000</v>
      </c>
      <c r="Z148" s="5" t="s">
        <v>2001</v>
      </c>
      <c r="AA148" s="5"/>
      <c r="AB148" s="5"/>
      <c r="AC148" s="5"/>
      <c r="AD148" s="5"/>
      <c r="AE148" s="5"/>
      <c r="AF148" s="5" t="s">
        <v>2002</v>
      </c>
      <c r="AG148" s="5" t="s">
        <v>2002</v>
      </c>
      <c r="AH148" s="5"/>
      <c r="AI148" s="5"/>
      <c r="AJ148" s="5"/>
      <c r="AK148" s="5"/>
      <c r="AL148" s="5" t="s">
        <v>2002</v>
      </c>
      <c r="AM148" s="5"/>
      <c r="AN148" s="5" t="s">
        <v>2002</v>
      </c>
      <c r="AO148" s="5"/>
      <c r="AP148" s="5"/>
      <c r="AQ148" s="5"/>
      <c r="AR148" s="5" t="s">
        <v>596</v>
      </c>
      <c r="AS148" s="5"/>
      <c r="AT148" s="5"/>
      <c r="AU148" s="5"/>
      <c r="AV148" s="5" t="s">
        <v>178</v>
      </c>
      <c r="AW148" s="5" t="s">
        <v>1664</v>
      </c>
    </row>
    <row r="149" customFormat="false" ht="158.2" hidden="false" customHeight="false" outlineLevel="0" collapsed="false">
      <c r="A149" s="5" t="s">
        <v>2003</v>
      </c>
      <c r="B149" s="5" t="s">
        <v>2004</v>
      </c>
      <c r="C149" s="5" t="s">
        <v>1806</v>
      </c>
      <c r="D149" s="5" t="s">
        <v>1807</v>
      </c>
      <c r="E149" s="5" t="s">
        <v>626</v>
      </c>
      <c r="F149" s="5" t="s">
        <v>2005</v>
      </c>
      <c r="G149" s="5" t="s">
        <v>2006</v>
      </c>
      <c r="H149" s="5" t="n">
        <v>10</v>
      </c>
      <c r="I149" s="5" t="s">
        <v>603</v>
      </c>
      <c r="J149" s="5" t="s">
        <v>153</v>
      </c>
      <c r="K149" s="5" t="s">
        <v>2007</v>
      </c>
      <c r="L149" s="5" t="s">
        <v>30</v>
      </c>
      <c r="M149" s="5" t="s">
        <v>155</v>
      </c>
      <c r="N149" s="5" t="s">
        <v>2008</v>
      </c>
      <c r="O149" s="5" t="s">
        <v>157</v>
      </c>
      <c r="P149" s="5" t="s">
        <v>158</v>
      </c>
      <c r="Q149" s="5" t="s">
        <v>519</v>
      </c>
      <c r="R149" s="5" t="s">
        <v>1812</v>
      </c>
      <c r="S149" s="5" t="s">
        <v>1813</v>
      </c>
      <c r="T149" s="5" t="s">
        <v>606</v>
      </c>
      <c r="U149" s="5" t="n">
        <v>365</v>
      </c>
      <c r="V149" s="5" t="s">
        <v>1814</v>
      </c>
      <c r="W149" s="5" t="s">
        <v>1815</v>
      </c>
      <c r="X149" s="5" t="s">
        <v>2009</v>
      </c>
      <c r="Y149" s="5" t="s">
        <v>2010</v>
      </c>
      <c r="Z149" s="5" t="s">
        <v>2011</v>
      </c>
      <c r="AA149" s="5"/>
      <c r="AB149" s="5"/>
      <c r="AC149" s="5"/>
      <c r="AD149" s="5"/>
      <c r="AE149" s="5"/>
      <c r="AF149" s="5" t="s">
        <v>2012</v>
      </c>
      <c r="AG149" s="5" t="s">
        <v>2013</v>
      </c>
      <c r="AH149" s="5"/>
      <c r="AI149" s="5" t="s">
        <v>1424</v>
      </c>
      <c r="AJ149" s="5"/>
      <c r="AK149" s="5" t="s">
        <v>1948</v>
      </c>
      <c r="AL149" s="5" t="s">
        <v>2012</v>
      </c>
      <c r="AM149" s="5"/>
      <c r="AN149" s="5" t="s">
        <v>2013</v>
      </c>
      <c r="AO149" s="5"/>
      <c r="AP149" s="5"/>
      <c r="AQ149" s="5" t="s">
        <v>2012</v>
      </c>
      <c r="AR149" s="5" t="s">
        <v>596</v>
      </c>
      <c r="AS149" s="5"/>
      <c r="AT149" s="5"/>
      <c r="AU149" s="5"/>
      <c r="AV149" s="5" t="s">
        <v>178</v>
      </c>
      <c r="AW149" s="5" t="s">
        <v>2014</v>
      </c>
    </row>
    <row r="150" customFormat="false" ht="158.2" hidden="false" customHeight="false" outlineLevel="0" collapsed="false">
      <c r="A150" s="5" t="s">
        <v>2015</v>
      </c>
      <c r="B150" s="5" t="s">
        <v>2016</v>
      </c>
      <c r="C150" s="5" t="s">
        <v>1806</v>
      </c>
      <c r="D150" s="5" t="s">
        <v>1807</v>
      </c>
      <c r="E150" s="5" t="s">
        <v>600</v>
      </c>
      <c r="F150" s="5" t="s">
        <v>2017</v>
      </c>
      <c r="G150" s="5" t="s">
        <v>2018</v>
      </c>
      <c r="H150" s="5" t="n">
        <v>8</v>
      </c>
      <c r="I150" s="5" t="s">
        <v>603</v>
      </c>
      <c r="J150" s="5" t="s">
        <v>153</v>
      </c>
      <c r="K150" s="5"/>
      <c r="L150" s="5" t="s">
        <v>30</v>
      </c>
      <c r="M150" s="5" t="s">
        <v>155</v>
      </c>
      <c r="N150" s="5" t="s">
        <v>994</v>
      </c>
      <c r="O150" s="5" t="s">
        <v>157</v>
      </c>
      <c r="P150" s="5" t="s">
        <v>158</v>
      </c>
      <c r="Q150" s="5" t="s">
        <v>605</v>
      </c>
      <c r="R150" s="5" t="s">
        <v>1812</v>
      </c>
      <c r="S150" s="5" t="s">
        <v>1813</v>
      </c>
      <c r="T150" s="5" t="s">
        <v>606</v>
      </c>
      <c r="U150" s="5" t="n">
        <v>365</v>
      </c>
      <c r="V150" s="5" t="s">
        <v>1814</v>
      </c>
      <c r="W150" s="5" t="s">
        <v>1815</v>
      </c>
      <c r="X150" s="5" t="s">
        <v>2019</v>
      </c>
      <c r="Y150" s="5" t="s">
        <v>2020</v>
      </c>
      <c r="Z150" s="5" t="s">
        <v>2021</v>
      </c>
      <c r="AA150" s="5"/>
      <c r="AB150" s="5"/>
      <c r="AC150" s="5"/>
      <c r="AD150" s="5"/>
      <c r="AE150" s="5"/>
      <c r="AF150" s="5" t="s">
        <v>2022</v>
      </c>
      <c r="AG150" s="5" t="s">
        <v>611</v>
      </c>
      <c r="AH150" s="5"/>
      <c r="AI150" s="5"/>
      <c r="AJ150" s="5"/>
      <c r="AK150" s="5"/>
      <c r="AL150" s="5" t="s">
        <v>2022</v>
      </c>
      <c r="AM150" s="5" t="s">
        <v>611</v>
      </c>
      <c r="AN150" s="5"/>
      <c r="AO150" s="5"/>
      <c r="AP150" s="5"/>
      <c r="AQ150" s="5" t="s">
        <v>2022</v>
      </c>
      <c r="AR150" s="5" t="s">
        <v>596</v>
      </c>
      <c r="AS150" s="5"/>
      <c r="AT150" s="5"/>
      <c r="AU150" s="5"/>
      <c r="AV150" s="5"/>
      <c r="AW150" s="5" t="s">
        <v>2023</v>
      </c>
    </row>
    <row r="151" customFormat="false" ht="124.6" hidden="false" customHeight="false" outlineLevel="0" collapsed="false">
      <c r="A151" s="5" t="s">
        <v>2024</v>
      </c>
      <c r="B151" s="5" t="s">
        <v>2025</v>
      </c>
      <c r="C151" s="5" t="s">
        <v>1806</v>
      </c>
      <c r="D151" s="5" t="s">
        <v>1807</v>
      </c>
      <c r="E151" s="5" t="s">
        <v>626</v>
      </c>
      <c r="F151" s="5" t="s">
        <v>2026</v>
      </c>
      <c r="G151" s="5" t="s">
        <v>2027</v>
      </c>
      <c r="H151" s="5" t="n">
        <v>9</v>
      </c>
      <c r="I151" s="5" t="s">
        <v>603</v>
      </c>
      <c r="J151" s="5" t="s">
        <v>153</v>
      </c>
      <c r="K151" s="5"/>
      <c r="L151" s="5" t="s">
        <v>30</v>
      </c>
      <c r="M151" s="5" t="s">
        <v>155</v>
      </c>
      <c r="N151" s="5" t="s">
        <v>2028</v>
      </c>
      <c r="O151" s="5" t="s">
        <v>157</v>
      </c>
      <c r="P151" s="5" t="s">
        <v>158</v>
      </c>
      <c r="Q151" s="5" t="s">
        <v>440</v>
      </c>
      <c r="R151" s="5" t="s">
        <v>1812</v>
      </c>
      <c r="S151" s="5" t="s">
        <v>1813</v>
      </c>
      <c r="T151" s="5" t="s">
        <v>606</v>
      </c>
      <c r="U151" s="5" t="n">
        <v>365</v>
      </c>
      <c r="V151" s="5" t="s">
        <v>1814</v>
      </c>
      <c r="W151" s="5" t="s">
        <v>1815</v>
      </c>
      <c r="X151" s="5" t="s">
        <v>2029</v>
      </c>
      <c r="Y151" s="5" t="s">
        <v>2030</v>
      </c>
      <c r="Z151" s="5" t="s">
        <v>2031</v>
      </c>
      <c r="AA151" s="5"/>
      <c r="AB151" s="5"/>
      <c r="AC151" s="5"/>
      <c r="AD151" s="5"/>
      <c r="AE151" s="5"/>
      <c r="AF151" s="5" t="s">
        <v>2032</v>
      </c>
      <c r="AG151" s="5"/>
      <c r="AH151" s="5"/>
      <c r="AI151" s="5" t="s">
        <v>1424</v>
      </c>
      <c r="AJ151" s="5"/>
      <c r="AK151" s="5"/>
      <c r="AL151" s="5" t="s">
        <v>2032</v>
      </c>
      <c r="AM151" s="5"/>
      <c r="AN151" s="5"/>
      <c r="AO151" s="5"/>
      <c r="AP151" s="5"/>
      <c r="AQ151" s="5" t="s">
        <v>2032</v>
      </c>
      <c r="AR151" s="5" t="s">
        <v>596</v>
      </c>
      <c r="AS151" s="5"/>
      <c r="AT151" s="5"/>
      <c r="AU151" s="5"/>
      <c r="AV151" s="5"/>
      <c r="AW151" s="5" t="s">
        <v>2033</v>
      </c>
    </row>
    <row r="152" customFormat="false" ht="169.4" hidden="false" customHeight="false" outlineLevel="0" collapsed="false">
      <c r="A152" s="5" t="s">
        <v>2034</v>
      </c>
      <c r="B152" s="5" t="s">
        <v>2035</v>
      </c>
      <c r="C152" s="5" t="s">
        <v>1806</v>
      </c>
      <c r="D152" s="5" t="s">
        <v>1807</v>
      </c>
      <c r="E152" s="5" t="s">
        <v>626</v>
      </c>
      <c r="F152" s="5" t="s">
        <v>2036</v>
      </c>
      <c r="G152" s="5" t="s">
        <v>2037</v>
      </c>
      <c r="H152" s="5" t="n">
        <v>7</v>
      </c>
      <c r="I152" s="5" t="s">
        <v>603</v>
      </c>
      <c r="J152" s="5" t="s">
        <v>557</v>
      </c>
      <c r="K152" s="5"/>
      <c r="L152" s="5" t="s">
        <v>68</v>
      </c>
      <c r="M152" s="5" t="s">
        <v>185</v>
      </c>
      <c r="N152" s="5" t="s">
        <v>2038</v>
      </c>
      <c r="O152" s="5" t="s">
        <v>666</v>
      </c>
      <c r="P152" s="5" t="s">
        <v>215</v>
      </c>
      <c r="Q152" s="5" t="s">
        <v>440</v>
      </c>
      <c r="R152" s="5" t="s">
        <v>1812</v>
      </c>
      <c r="S152" s="5" t="s">
        <v>1813</v>
      </c>
      <c r="T152" s="5" t="s">
        <v>606</v>
      </c>
      <c r="U152" s="5" t="n">
        <v>90</v>
      </c>
      <c r="V152" s="5" t="s">
        <v>1814</v>
      </c>
      <c r="W152" s="5" t="s">
        <v>1815</v>
      </c>
      <c r="X152" s="5" t="s">
        <v>2039</v>
      </c>
      <c r="Y152" s="5" t="s">
        <v>2040</v>
      </c>
      <c r="Z152" s="5" t="s">
        <v>2041</v>
      </c>
      <c r="AA152" s="5"/>
      <c r="AB152" s="5"/>
      <c r="AC152" s="5"/>
      <c r="AD152" s="5"/>
      <c r="AE152" s="5"/>
      <c r="AF152" s="5" t="s">
        <v>2042</v>
      </c>
      <c r="AG152" s="5"/>
      <c r="AH152" s="5"/>
      <c r="AI152" s="5"/>
      <c r="AJ152" s="5"/>
      <c r="AK152" s="5"/>
      <c r="AL152" s="5" t="s">
        <v>2042</v>
      </c>
      <c r="AM152" s="5"/>
      <c r="AN152" s="5"/>
      <c r="AO152" s="5" t="s">
        <v>2043</v>
      </c>
      <c r="AP152" s="5"/>
      <c r="AQ152" s="5" t="s">
        <v>2044</v>
      </c>
      <c r="AR152" s="5" t="s">
        <v>596</v>
      </c>
      <c r="AS152" s="5"/>
      <c r="AT152" s="5"/>
      <c r="AU152" s="5" t="s">
        <v>1430</v>
      </c>
      <c r="AV152" s="5" t="s">
        <v>178</v>
      </c>
      <c r="AW152" s="5" t="s">
        <v>2023</v>
      </c>
    </row>
    <row r="153" customFormat="false" ht="124.6" hidden="false" customHeight="false" outlineLevel="0" collapsed="false">
      <c r="A153" s="5" t="s">
        <v>2045</v>
      </c>
      <c r="B153" s="5" t="s">
        <v>2046</v>
      </c>
      <c r="C153" s="5" t="s">
        <v>1806</v>
      </c>
      <c r="D153" s="5" t="s">
        <v>1807</v>
      </c>
      <c r="E153" s="5" t="s">
        <v>626</v>
      </c>
      <c r="F153" s="5" t="s">
        <v>2047</v>
      </c>
      <c r="G153" s="5" t="s">
        <v>2048</v>
      </c>
      <c r="H153" s="5" t="n">
        <v>3</v>
      </c>
      <c r="I153" s="5" t="s">
        <v>603</v>
      </c>
      <c r="J153" s="5" t="s">
        <v>557</v>
      </c>
      <c r="K153" s="5"/>
      <c r="L153" s="5" t="s">
        <v>30</v>
      </c>
      <c r="M153" s="5" t="s">
        <v>155</v>
      </c>
      <c r="N153" s="5" t="s">
        <v>2049</v>
      </c>
      <c r="O153" s="5" t="s">
        <v>570</v>
      </c>
      <c r="P153" s="5" t="s">
        <v>215</v>
      </c>
      <c r="Q153" s="5" t="s">
        <v>440</v>
      </c>
      <c r="R153" s="5" t="s">
        <v>1812</v>
      </c>
      <c r="S153" s="5" t="s">
        <v>1813</v>
      </c>
      <c r="T153" s="5" t="s">
        <v>606</v>
      </c>
      <c r="U153" s="5" t="n">
        <v>90</v>
      </c>
      <c r="V153" s="5" t="s">
        <v>1814</v>
      </c>
      <c r="W153" s="5" t="s">
        <v>1815</v>
      </c>
      <c r="X153" s="5" t="s">
        <v>2050</v>
      </c>
      <c r="Y153" s="5" t="s">
        <v>2051</v>
      </c>
      <c r="Z153" s="5" t="s">
        <v>2052</v>
      </c>
      <c r="AA153" s="5"/>
      <c r="AB153" s="5"/>
      <c r="AC153" s="5"/>
      <c r="AD153" s="5" t="s">
        <v>2053</v>
      </c>
      <c r="AE153" s="5"/>
      <c r="AF153" s="5" t="s">
        <v>2042</v>
      </c>
      <c r="AG153" s="5"/>
      <c r="AH153" s="5"/>
      <c r="AI153" s="5"/>
      <c r="AJ153" s="5"/>
      <c r="AK153" s="5"/>
      <c r="AL153" s="5" t="s">
        <v>2042</v>
      </c>
      <c r="AM153" s="5"/>
      <c r="AN153" s="5"/>
      <c r="AO153" s="5"/>
      <c r="AP153" s="5"/>
      <c r="AQ153" s="5" t="s">
        <v>2044</v>
      </c>
      <c r="AR153" s="5" t="s">
        <v>596</v>
      </c>
      <c r="AS153" s="5"/>
      <c r="AT153" s="5"/>
      <c r="AU153" s="5" t="s">
        <v>1430</v>
      </c>
      <c r="AV153" s="5"/>
      <c r="AW153" s="5" t="s">
        <v>1495</v>
      </c>
    </row>
    <row r="154" customFormat="false" ht="124.6" hidden="false" customHeight="false" outlineLevel="0" collapsed="false">
      <c r="A154" s="5" t="s">
        <v>2054</v>
      </c>
      <c r="B154" s="5" t="s">
        <v>2055</v>
      </c>
      <c r="C154" s="5" t="s">
        <v>1806</v>
      </c>
      <c r="D154" s="5" t="s">
        <v>1807</v>
      </c>
      <c r="E154" s="5" t="s">
        <v>626</v>
      </c>
      <c r="F154" s="5" t="s">
        <v>2056</v>
      </c>
      <c r="G154" s="5" t="s">
        <v>2057</v>
      </c>
      <c r="H154" s="5" t="n">
        <v>8</v>
      </c>
      <c r="I154" s="5" t="s">
        <v>603</v>
      </c>
      <c r="J154" s="5" t="s">
        <v>153</v>
      </c>
      <c r="K154" s="5"/>
      <c r="L154" s="5" t="s">
        <v>30</v>
      </c>
      <c r="M154" s="5" t="s">
        <v>155</v>
      </c>
      <c r="N154" s="5" t="s">
        <v>769</v>
      </c>
      <c r="O154" s="5" t="s">
        <v>570</v>
      </c>
      <c r="P154" s="5" t="s">
        <v>215</v>
      </c>
      <c r="Q154" s="5" t="s">
        <v>440</v>
      </c>
      <c r="R154" s="5" t="s">
        <v>1812</v>
      </c>
      <c r="S154" s="5" t="s">
        <v>1813</v>
      </c>
      <c r="T154" s="5" t="s">
        <v>606</v>
      </c>
      <c r="U154" s="5" t="n">
        <v>365</v>
      </c>
      <c r="V154" s="5" t="s">
        <v>1814</v>
      </c>
      <c r="W154" s="5" t="s">
        <v>1815</v>
      </c>
      <c r="X154" s="5" t="s">
        <v>2058</v>
      </c>
      <c r="Y154" s="5" t="s">
        <v>2059</v>
      </c>
      <c r="Z154" s="5" t="s">
        <v>2060</v>
      </c>
      <c r="AA154" s="5"/>
      <c r="AB154" s="5"/>
      <c r="AC154" s="5"/>
      <c r="AD154" s="5" t="s">
        <v>2061</v>
      </c>
      <c r="AE154" s="5"/>
      <c r="AF154" s="5"/>
      <c r="AG154" s="5"/>
      <c r="AH154" s="5"/>
      <c r="AI154" s="5"/>
      <c r="AJ154" s="5"/>
      <c r="AK154" s="5"/>
      <c r="AL154" s="5"/>
      <c r="AM154" s="5"/>
      <c r="AN154" s="5"/>
      <c r="AO154" s="5" t="s">
        <v>2062</v>
      </c>
      <c r="AP154" s="5"/>
      <c r="AQ154" s="5"/>
      <c r="AR154" s="5"/>
      <c r="AS154" s="5"/>
      <c r="AT154" s="5"/>
      <c r="AU154" s="5"/>
      <c r="AV154" s="5"/>
      <c r="AW154" s="5" t="s">
        <v>1664</v>
      </c>
    </row>
    <row r="155" customFormat="false" ht="202.95" hidden="false" customHeight="false" outlineLevel="0" collapsed="false">
      <c r="A155" s="5" t="s">
        <v>2063</v>
      </c>
      <c r="B155" s="5" t="s">
        <v>2064</v>
      </c>
      <c r="C155" s="5" t="s">
        <v>2064</v>
      </c>
      <c r="D155" s="5" t="s">
        <v>2065</v>
      </c>
      <c r="E155" s="5" t="s">
        <v>149</v>
      </c>
      <c r="F155" s="5" t="s">
        <v>2066</v>
      </c>
      <c r="G155" s="5" t="s">
        <v>2067</v>
      </c>
      <c r="H155" s="5" t="n">
        <v>10</v>
      </c>
      <c r="I155" s="5" t="s">
        <v>603</v>
      </c>
      <c r="J155" s="5" t="s">
        <v>153</v>
      </c>
      <c r="K155" s="5" t="s">
        <v>2068</v>
      </c>
      <c r="L155" s="5" t="s">
        <v>30</v>
      </c>
      <c r="M155" s="5" t="s">
        <v>155</v>
      </c>
      <c r="N155" s="5" t="s">
        <v>2069</v>
      </c>
      <c r="O155" s="5" t="s">
        <v>570</v>
      </c>
      <c r="P155" s="5" t="s">
        <v>158</v>
      </c>
      <c r="Q155" s="5" t="s">
        <v>440</v>
      </c>
      <c r="R155" s="5" t="s">
        <v>2070</v>
      </c>
      <c r="S155" s="5" t="s">
        <v>2071</v>
      </c>
      <c r="T155" s="5" t="s">
        <v>162</v>
      </c>
      <c r="U155" s="5" t="n">
        <v>365</v>
      </c>
      <c r="V155" s="5" t="s">
        <v>2072</v>
      </c>
      <c r="W155" s="5" t="s">
        <v>2073</v>
      </c>
      <c r="X155" s="5" t="s">
        <v>2074</v>
      </c>
      <c r="Y155" s="5" t="s">
        <v>2075</v>
      </c>
      <c r="Z155" s="5" t="s">
        <v>2076</v>
      </c>
      <c r="AA155" s="5"/>
      <c r="AB155" s="5" t="s">
        <v>2077</v>
      </c>
      <c r="AC155" s="5"/>
      <c r="AD155" s="5" t="s">
        <v>2078</v>
      </c>
      <c r="AE155" s="5"/>
      <c r="AF155" s="5" t="s">
        <v>2079</v>
      </c>
      <c r="AG155" s="5" t="s">
        <v>2079</v>
      </c>
      <c r="AH155" s="5"/>
      <c r="AI155" s="5" t="s">
        <v>2080</v>
      </c>
      <c r="AJ155" s="5" t="s">
        <v>2081</v>
      </c>
      <c r="AK155" s="5" t="s">
        <v>2082</v>
      </c>
      <c r="AL155" s="5" t="s">
        <v>2079</v>
      </c>
      <c r="AM155" s="5"/>
      <c r="AN155" s="5" t="s">
        <v>2083</v>
      </c>
      <c r="AO155" s="5" t="s">
        <v>2084</v>
      </c>
      <c r="AP155" s="5" t="s">
        <v>2085</v>
      </c>
      <c r="AQ155" s="5" t="s">
        <v>2079</v>
      </c>
      <c r="AR155" s="5" t="s">
        <v>2086</v>
      </c>
      <c r="AS155" s="5"/>
      <c r="AT155" s="5" t="s">
        <v>2087</v>
      </c>
      <c r="AU155" s="5" t="s">
        <v>2088</v>
      </c>
      <c r="AV155" s="5" t="s">
        <v>178</v>
      </c>
      <c r="AW155" s="5" t="s">
        <v>2089</v>
      </c>
    </row>
    <row r="156" customFormat="false" ht="158.2" hidden="false" customHeight="false" outlineLevel="0" collapsed="false">
      <c r="A156" s="5" t="s">
        <v>2090</v>
      </c>
      <c r="B156" s="5" t="s">
        <v>2091</v>
      </c>
      <c r="C156" s="5" t="s">
        <v>2064</v>
      </c>
      <c r="D156" s="5" t="s">
        <v>2065</v>
      </c>
      <c r="E156" s="5" t="s">
        <v>600</v>
      </c>
      <c r="F156" s="5" t="s">
        <v>2092</v>
      </c>
      <c r="G156" s="5" t="s">
        <v>2093</v>
      </c>
      <c r="H156" s="5" t="n">
        <v>9</v>
      </c>
      <c r="I156" s="5" t="s">
        <v>603</v>
      </c>
      <c r="J156" s="5" t="s">
        <v>153</v>
      </c>
      <c r="K156" s="5" t="s">
        <v>2068</v>
      </c>
      <c r="L156" s="5" t="s">
        <v>55</v>
      </c>
      <c r="M156" s="5" t="s">
        <v>185</v>
      </c>
      <c r="N156" s="5" t="s">
        <v>2094</v>
      </c>
      <c r="O156" s="5" t="s">
        <v>666</v>
      </c>
      <c r="P156" s="5" t="s">
        <v>158</v>
      </c>
      <c r="Q156" s="5" t="s">
        <v>440</v>
      </c>
      <c r="R156" s="5" t="s">
        <v>2070</v>
      </c>
      <c r="S156" s="5" t="s">
        <v>2071</v>
      </c>
      <c r="T156" s="5" t="s">
        <v>606</v>
      </c>
      <c r="U156" s="5" t="n">
        <v>365</v>
      </c>
      <c r="V156" s="5" t="s">
        <v>2072</v>
      </c>
      <c r="W156" s="5" t="s">
        <v>2073</v>
      </c>
      <c r="X156" s="5" t="s">
        <v>2095</v>
      </c>
      <c r="Y156" s="5" t="s">
        <v>2096</v>
      </c>
      <c r="Z156" s="5" t="s">
        <v>2097</v>
      </c>
      <c r="AA156" s="5"/>
      <c r="AB156" s="5"/>
      <c r="AC156" s="5"/>
      <c r="AD156" s="5"/>
      <c r="AE156" s="5"/>
      <c r="AF156" s="5" t="s">
        <v>2098</v>
      </c>
      <c r="AG156" s="5"/>
      <c r="AH156" s="5"/>
      <c r="AI156" s="5"/>
      <c r="AJ156" s="5"/>
      <c r="AK156" s="5" t="s">
        <v>2099</v>
      </c>
      <c r="AL156" s="5" t="s">
        <v>2098</v>
      </c>
      <c r="AM156" s="5"/>
      <c r="AN156" s="5"/>
      <c r="AO156" s="5" t="s">
        <v>2100</v>
      </c>
      <c r="AP156" s="5"/>
      <c r="AQ156" s="5" t="s">
        <v>2101</v>
      </c>
      <c r="AR156" s="5" t="s">
        <v>1294</v>
      </c>
      <c r="AS156" s="5"/>
      <c r="AT156" s="5" t="s">
        <v>2102</v>
      </c>
      <c r="AU156" s="5"/>
      <c r="AV156" s="5" t="s">
        <v>178</v>
      </c>
      <c r="AW156" s="5" t="s">
        <v>2103</v>
      </c>
    </row>
    <row r="157" customFormat="false" ht="169.4" hidden="false" customHeight="false" outlineLevel="0" collapsed="false">
      <c r="A157" s="5" t="s">
        <v>2104</v>
      </c>
      <c r="B157" s="5" t="s">
        <v>2105</v>
      </c>
      <c r="C157" s="5" t="s">
        <v>2064</v>
      </c>
      <c r="D157" s="5" t="s">
        <v>2065</v>
      </c>
      <c r="E157" s="5" t="s">
        <v>600</v>
      </c>
      <c r="F157" s="5" t="s">
        <v>2106</v>
      </c>
      <c r="G157" s="5" t="s">
        <v>2107</v>
      </c>
      <c r="H157" s="5" t="n">
        <v>9</v>
      </c>
      <c r="I157" s="5" t="s">
        <v>603</v>
      </c>
      <c r="J157" s="5" t="s">
        <v>153</v>
      </c>
      <c r="K157" s="5" t="s">
        <v>2108</v>
      </c>
      <c r="L157" s="5" t="s">
        <v>30</v>
      </c>
      <c r="M157" s="5" t="s">
        <v>155</v>
      </c>
      <c r="N157" s="5" t="s">
        <v>1977</v>
      </c>
      <c r="O157" s="5" t="s">
        <v>570</v>
      </c>
      <c r="P157" s="5" t="s">
        <v>158</v>
      </c>
      <c r="Q157" s="5" t="s">
        <v>605</v>
      </c>
      <c r="R157" s="5" t="s">
        <v>2070</v>
      </c>
      <c r="S157" s="5" t="s">
        <v>2071</v>
      </c>
      <c r="T157" s="5" t="s">
        <v>606</v>
      </c>
      <c r="U157" s="5" t="n">
        <v>365</v>
      </c>
      <c r="V157" s="5" t="s">
        <v>2072</v>
      </c>
      <c r="W157" s="5" t="s">
        <v>2073</v>
      </c>
      <c r="X157" s="5" t="s">
        <v>2109</v>
      </c>
      <c r="Y157" s="5" t="s">
        <v>2110</v>
      </c>
      <c r="Z157" s="5" t="s">
        <v>2111</v>
      </c>
      <c r="AA157" s="5"/>
      <c r="AB157" s="5"/>
      <c r="AC157" s="5"/>
      <c r="AD157" s="5"/>
      <c r="AE157" s="5"/>
      <c r="AF157" s="5" t="s">
        <v>2112</v>
      </c>
      <c r="AG157" s="5" t="s">
        <v>2113</v>
      </c>
      <c r="AH157" s="5"/>
      <c r="AI157" s="5"/>
      <c r="AJ157" s="5" t="s">
        <v>2114</v>
      </c>
      <c r="AK157" s="5"/>
      <c r="AL157" s="5" t="s">
        <v>2112</v>
      </c>
      <c r="AM157" s="5" t="s">
        <v>2113</v>
      </c>
      <c r="AN157" s="5"/>
      <c r="AO157" s="5" t="s">
        <v>2115</v>
      </c>
      <c r="AP157" s="5"/>
      <c r="AQ157" s="5" t="s">
        <v>2116</v>
      </c>
      <c r="AR157" s="5" t="s">
        <v>2117</v>
      </c>
      <c r="AS157" s="5"/>
      <c r="AT157" s="5" t="s">
        <v>2102</v>
      </c>
      <c r="AU157" s="5" t="s">
        <v>2118</v>
      </c>
      <c r="AV157" s="5" t="s">
        <v>178</v>
      </c>
      <c r="AW157" s="5" t="s">
        <v>2119</v>
      </c>
    </row>
    <row r="158" customFormat="false" ht="247.75" hidden="false" customHeight="false" outlineLevel="0" collapsed="false">
      <c r="A158" s="5" t="s">
        <v>2120</v>
      </c>
      <c r="B158" s="5" t="s">
        <v>2121</v>
      </c>
      <c r="C158" s="5" t="s">
        <v>2064</v>
      </c>
      <c r="D158" s="5" t="s">
        <v>2065</v>
      </c>
      <c r="E158" s="5" t="s">
        <v>600</v>
      </c>
      <c r="F158" s="5" t="s">
        <v>2122</v>
      </c>
      <c r="G158" s="5" t="s">
        <v>2123</v>
      </c>
      <c r="H158" s="5" t="n">
        <v>9</v>
      </c>
      <c r="I158" s="5" t="s">
        <v>603</v>
      </c>
      <c r="J158" s="5" t="s">
        <v>652</v>
      </c>
      <c r="K158" s="5" t="s">
        <v>2068</v>
      </c>
      <c r="L158" s="5" t="s">
        <v>30</v>
      </c>
      <c r="M158" s="5" t="s">
        <v>155</v>
      </c>
      <c r="N158" s="5" t="s">
        <v>2124</v>
      </c>
      <c r="O158" s="5" t="s">
        <v>570</v>
      </c>
      <c r="P158" s="5" t="s">
        <v>158</v>
      </c>
      <c r="Q158" s="5" t="s">
        <v>605</v>
      </c>
      <c r="R158" s="5" t="s">
        <v>2070</v>
      </c>
      <c r="S158" s="5" t="s">
        <v>2071</v>
      </c>
      <c r="T158" s="5" t="s">
        <v>606</v>
      </c>
      <c r="U158" s="5" t="n">
        <v>180</v>
      </c>
      <c r="V158" s="5" t="s">
        <v>2072</v>
      </c>
      <c r="W158" s="5" t="s">
        <v>2073</v>
      </c>
      <c r="X158" s="5" t="s">
        <v>2125</v>
      </c>
      <c r="Y158" s="5" t="s">
        <v>2126</v>
      </c>
      <c r="Z158" s="5" t="s">
        <v>2127</v>
      </c>
      <c r="AA158" s="5" t="s">
        <v>2128</v>
      </c>
      <c r="AB158" s="5"/>
      <c r="AC158" s="5"/>
      <c r="AD158" s="5"/>
      <c r="AE158" s="5"/>
      <c r="AF158" s="5" t="s">
        <v>2129</v>
      </c>
      <c r="AG158" s="5" t="s">
        <v>2129</v>
      </c>
      <c r="AH158" s="5"/>
      <c r="AI158" s="5" t="s">
        <v>2130</v>
      </c>
      <c r="AJ158" s="5" t="s">
        <v>2131</v>
      </c>
      <c r="AK158" s="5" t="s">
        <v>2099</v>
      </c>
      <c r="AL158" s="5" t="s">
        <v>2129</v>
      </c>
      <c r="AM158" s="5" t="s">
        <v>2129</v>
      </c>
      <c r="AN158" s="5"/>
      <c r="AO158" s="5" t="s">
        <v>2132</v>
      </c>
      <c r="AP158" s="5"/>
      <c r="AQ158" s="5"/>
      <c r="AR158" s="5" t="s">
        <v>1294</v>
      </c>
      <c r="AS158" s="5"/>
      <c r="AT158" s="5" t="s">
        <v>2102</v>
      </c>
      <c r="AU158" s="5"/>
      <c r="AV158" s="5" t="s">
        <v>178</v>
      </c>
      <c r="AW158" s="5" t="s">
        <v>2133</v>
      </c>
    </row>
    <row r="159" customFormat="false" ht="180.55" hidden="false" customHeight="false" outlineLevel="0" collapsed="false">
      <c r="A159" s="5" t="s">
        <v>2134</v>
      </c>
      <c r="B159" s="5" t="s">
        <v>2135</v>
      </c>
      <c r="C159" s="5" t="s">
        <v>2064</v>
      </c>
      <c r="D159" s="5" t="s">
        <v>2065</v>
      </c>
      <c r="E159" s="5" t="s">
        <v>600</v>
      </c>
      <c r="F159" s="5" t="s">
        <v>2136</v>
      </c>
      <c r="G159" s="5" t="s">
        <v>2137</v>
      </c>
      <c r="H159" s="5" t="n">
        <v>7</v>
      </c>
      <c r="I159" s="5" t="s">
        <v>603</v>
      </c>
      <c r="J159" s="5" t="s">
        <v>652</v>
      </c>
      <c r="K159" s="5" t="s">
        <v>2138</v>
      </c>
      <c r="L159" s="5" t="s">
        <v>30</v>
      </c>
      <c r="M159" s="5" t="s">
        <v>155</v>
      </c>
      <c r="N159" s="5" t="s">
        <v>2139</v>
      </c>
      <c r="O159" s="5" t="s">
        <v>570</v>
      </c>
      <c r="P159" s="5" t="s">
        <v>158</v>
      </c>
      <c r="Q159" s="5" t="s">
        <v>605</v>
      </c>
      <c r="R159" s="5" t="s">
        <v>2070</v>
      </c>
      <c r="S159" s="5" t="s">
        <v>2071</v>
      </c>
      <c r="T159" s="5" t="s">
        <v>606</v>
      </c>
      <c r="U159" s="5" t="n">
        <v>180</v>
      </c>
      <c r="V159" s="5" t="s">
        <v>2072</v>
      </c>
      <c r="W159" s="5" t="s">
        <v>2073</v>
      </c>
      <c r="X159" s="5" t="s">
        <v>2140</v>
      </c>
      <c r="Y159" s="5" t="s">
        <v>2141</v>
      </c>
      <c r="Z159" s="5" t="s">
        <v>2142</v>
      </c>
      <c r="AA159" s="5" t="s">
        <v>2143</v>
      </c>
      <c r="AB159" s="5" t="s">
        <v>2144</v>
      </c>
      <c r="AC159" s="5"/>
      <c r="AD159" s="5" t="s">
        <v>2145</v>
      </c>
      <c r="AE159" s="5"/>
      <c r="AF159" s="5" t="s">
        <v>2146</v>
      </c>
      <c r="AG159" s="5" t="s">
        <v>2146</v>
      </c>
      <c r="AH159" s="5" t="s">
        <v>2147</v>
      </c>
      <c r="AI159" s="5" t="s">
        <v>2148</v>
      </c>
      <c r="AJ159" s="5" t="s">
        <v>2149</v>
      </c>
      <c r="AK159" s="5" t="s">
        <v>2150</v>
      </c>
      <c r="AL159" s="5" t="s">
        <v>2146</v>
      </c>
      <c r="AM159" s="5" t="s">
        <v>2146</v>
      </c>
      <c r="AN159" s="5"/>
      <c r="AO159" s="5" t="s">
        <v>2151</v>
      </c>
      <c r="AP159" s="5"/>
      <c r="AQ159" s="5"/>
      <c r="AR159" s="5" t="s">
        <v>1294</v>
      </c>
      <c r="AS159" s="5"/>
      <c r="AT159" s="5" t="s">
        <v>2152</v>
      </c>
      <c r="AU159" s="5" t="s">
        <v>329</v>
      </c>
      <c r="AV159" s="5" t="s">
        <v>178</v>
      </c>
      <c r="AW159" s="5" t="s">
        <v>1664</v>
      </c>
    </row>
    <row r="160" customFormat="false" ht="147" hidden="false" customHeight="false" outlineLevel="0" collapsed="false">
      <c r="A160" s="5" t="s">
        <v>2153</v>
      </c>
      <c r="B160" s="5" t="s">
        <v>2154</v>
      </c>
      <c r="C160" s="5" t="s">
        <v>2064</v>
      </c>
      <c r="D160" s="5" t="s">
        <v>2065</v>
      </c>
      <c r="E160" s="5" t="s">
        <v>600</v>
      </c>
      <c r="F160" s="5" t="s">
        <v>2155</v>
      </c>
      <c r="G160" s="5" t="s">
        <v>2156</v>
      </c>
      <c r="H160" s="5" t="n">
        <v>5</v>
      </c>
      <c r="I160" s="5" t="s">
        <v>603</v>
      </c>
      <c r="J160" s="5" t="s">
        <v>153</v>
      </c>
      <c r="K160" s="5"/>
      <c r="L160" s="5" t="s">
        <v>30</v>
      </c>
      <c r="M160" s="5" t="s">
        <v>155</v>
      </c>
      <c r="N160" s="5" t="s">
        <v>2157</v>
      </c>
      <c r="O160" s="5" t="s">
        <v>570</v>
      </c>
      <c r="P160" s="5" t="s">
        <v>158</v>
      </c>
      <c r="Q160" s="5" t="s">
        <v>605</v>
      </c>
      <c r="R160" s="5" t="s">
        <v>2070</v>
      </c>
      <c r="S160" s="5" t="s">
        <v>2071</v>
      </c>
      <c r="T160" s="5" t="s">
        <v>606</v>
      </c>
      <c r="U160" s="5" t="n">
        <v>365</v>
      </c>
      <c r="V160" s="5" t="s">
        <v>2072</v>
      </c>
      <c r="W160" s="5" t="s">
        <v>2073</v>
      </c>
      <c r="X160" s="5" t="s">
        <v>2158</v>
      </c>
      <c r="Y160" s="5" t="s">
        <v>2159</v>
      </c>
      <c r="Z160" s="5" t="s">
        <v>2160</v>
      </c>
      <c r="AA160" s="5"/>
      <c r="AB160" s="5" t="s">
        <v>2161</v>
      </c>
      <c r="AC160" s="5"/>
      <c r="AD160" s="5"/>
      <c r="AE160" s="5"/>
      <c r="AF160" s="5" t="s">
        <v>2162</v>
      </c>
      <c r="AG160" s="5"/>
      <c r="AH160" s="5"/>
      <c r="AI160" s="5"/>
      <c r="AJ160" s="5"/>
      <c r="AK160" s="5"/>
      <c r="AL160" s="5" t="s">
        <v>2162</v>
      </c>
      <c r="AM160" s="5"/>
      <c r="AN160" s="5"/>
      <c r="AO160" s="5" t="s">
        <v>2163</v>
      </c>
      <c r="AP160" s="5"/>
      <c r="AQ160" s="5"/>
      <c r="AR160" s="5" t="s">
        <v>1294</v>
      </c>
      <c r="AS160" s="5"/>
      <c r="AT160" s="5"/>
      <c r="AU160" s="5"/>
      <c r="AV160" s="5"/>
      <c r="AW160" s="5" t="s">
        <v>2164</v>
      </c>
    </row>
    <row r="161" customFormat="false" ht="158.2" hidden="false" customHeight="false" outlineLevel="0" collapsed="false">
      <c r="A161" s="5" t="s">
        <v>2165</v>
      </c>
      <c r="B161" s="5" t="s">
        <v>2166</v>
      </c>
      <c r="C161" s="5" t="s">
        <v>2064</v>
      </c>
      <c r="D161" s="5" t="s">
        <v>2065</v>
      </c>
      <c r="E161" s="5" t="s">
        <v>600</v>
      </c>
      <c r="F161" s="5" t="s">
        <v>2167</v>
      </c>
      <c r="G161" s="5" t="s">
        <v>2168</v>
      </c>
      <c r="H161" s="5" t="n">
        <v>9</v>
      </c>
      <c r="I161" s="5" t="s">
        <v>603</v>
      </c>
      <c r="J161" s="5" t="s">
        <v>153</v>
      </c>
      <c r="K161" s="5" t="s">
        <v>2169</v>
      </c>
      <c r="L161" s="5" t="s">
        <v>30</v>
      </c>
      <c r="M161" s="5" t="s">
        <v>155</v>
      </c>
      <c r="N161" s="5" t="s">
        <v>2170</v>
      </c>
      <c r="O161" s="5" t="s">
        <v>570</v>
      </c>
      <c r="P161" s="5" t="s">
        <v>158</v>
      </c>
      <c r="Q161" s="5" t="s">
        <v>440</v>
      </c>
      <c r="R161" s="5" t="s">
        <v>2070</v>
      </c>
      <c r="S161" s="5" t="s">
        <v>2071</v>
      </c>
      <c r="T161" s="5" t="s">
        <v>606</v>
      </c>
      <c r="U161" s="5" t="n">
        <v>365</v>
      </c>
      <c r="V161" s="5" t="s">
        <v>2072</v>
      </c>
      <c r="W161" s="5" t="s">
        <v>2073</v>
      </c>
      <c r="X161" s="5" t="s">
        <v>2171</v>
      </c>
      <c r="Y161" s="5" t="s">
        <v>2172</v>
      </c>
      <c r="Z161" s="5" t="s">
        <v>2173</v>
      </c>
      <c r="AA161" s="5" t="s">
        <v>2174</v>
      </c>
      <c r="AB161" s="5" t="s">
        <v>2175</v>
      </c>
      <c r="AC161" s="5"/>
      <c r="AD161" s="5" t="s">
        <v>2176</v>
      </c>
      <c r="AE161" s="5"/>
      <c r="AF161" s="5" t="s">
        <v>2177</v>
      </c>
      <c r="AG161" s="5"/>
      <c r="AH161" s="5"/>
      <c r="AI161" s="5"/>
      <c r="AJ161" s="5"/>
      <c r="AK161" s="5" t="s">
        <v>2178</v>
      </c>
      <c r="AL161" s="5" t="s">
        <v>2177</v>
      </c>
      <c r="AM161" s="5"/>
      <c r="AN161" s="5"/>
      <c r="AO161" s="5" t="s">
        <v>2179</v>
      </c>
      <c r="AP161" s="5" t="s">
        <v>2180</v>
      </c>
      <c r="AQ161" s="5" t="s">
        <v>2177</v>
      </c>
      <c r="AR161" s="5" t="s">
        <v>1294</v>
      </c>
      <c r="AS161" s="5"/>
      <c r="AT161" s="5"/>
      <c r="AU161" s="5"/>
      <c r="AV161" s="5" t="s">
        <v>178</v>
      </c>
      <c r="AW161" s="5" t="s">
        <v>2181</v>
      </c>
    </row>
    <row r="162" customFormat="false" ht="191.75" hidden="false" customHeight="false" outlineLevel="0" collapsed="false">
      <c r="A162" s="5" t="s">
        <v>2182</v>
      </c>
      <c r="B162" s="5" t="s">
        <v>2183</v>
      </c>
      <c r="C162" s="5" t="s">
        <v>2064</v>
      </c>
      <c r="D162" s="5" t="s">
        <v>2065</v>
      </c>
      <c r="E162" s="5" t="s">
        <v>600</v>
      </c>
      <c r="F162" s="5" t="s">
        <v>2184</v>
      </c>
      <c r="G162" s="5" t="s">
        <v>2185</v>
      </c>
      <c r="H162" s="5" t="n">
        <v>10</v>
      </c>
      <c r="I162" s="5" t="s">
        <v>152</v>
      </c>
      <c r="J162" s="5" t="s">
        <v>153</v>
      </c>
      <c r="K162" s="5" t="s">
        <v>2186</v>
      </c>
      <c r="L162" s="5" t="s">
        <v>30</v>
      </c>
      <c r="M162" s="5" t="s">
        <v>155</v>
      </c>
      <c r="N162" s="5" t="s">
        <v>2187</v>
      </c>
      <c r="O162" s="5" t="s">
        <v>157</v>
      </c>
      <c r="P162" s="5" t="s">
        <v>158</v>
      </c>
      <c r="Q162" s="5" t="s">
        <v>605</v>
      </c>
      <c r="R162" s="5" t="s">
        <v>2070</v>
      </c>
      <c r="S162" s="5" t="s">
        <v>2071</v>
      </c>
      <c r="T162" s="5" t="s">
        <v>162</v>
      </c>
      <c r="U162" s="5" t="n">
        <v>365</v>
      </c>
      <c r="V162" s="5" t="s">
        <v>2072</v>
      </c>
      <c r="W162" s="5" t="s">
        <v>2073</v>
      </c>
      <c r="X162" s="5" t="s">
        <v>2188</v>
      </c>
      <c r="Y162" s="5" t="s">
        <v>2189</v>
      </c>
      <c r="Z162" s="5" t="s">
        <v>2190</v>
      </c>
      <c r="AA162" s="5" t="s">
        <v>2191</v>
      </c>
      <c r="AB162" s="5"/>
      <c r="AC162" s="5"/>
      <c r="AD162" s="5"/>
      <c r="AE162" s="5"/>
      <c r="AF162" s="5" t="s">
        <v>2192</v>
      </c>
      <c r="AG162" s="5" t="s">
        <v>2192</v>
      </c>
      <c r="AH162" s="5"/>
      <c r="AI162" s="5" t="s">
        <v>2130</v>
      </c>
      <c r="AJ162" s="5" t="s">
        <v>2193</v>
      </c>
      <c r="AK162" s="5" t="s">
        <v>2194</v>
      </c>
      <c r="AL162" s="5" t="s">
        <v>2192</v>
      </c>
      <c r="AM162" s="5"/>
      <c r="AN162" s="5" t="s">
        <v>2195</v>
      </c>
      <c r="AO162" s="5" t="s">
        <v>2196</v>
      </c>
      <c r="AP162" s="5"/>
      <c r="AQ162" s="5" t="s">
        <v>2192</v>
      </c>
      <c r="AR162" s="5" t="s">
        <v>2197</v>
      </c>
      <c r="AS162" s="5"/>
      <c r="AT162" s="5" t="s">
        <v>2102</v>
      </c>
      <c r="AU162" s="5"/>
      <c r="AV162" s="5" t="s">
        <v>178</v>
      </c>
      <c r="AW162" s="5" t="s">
        <v>2198</v>
      </c>
    </row>
    <row r="163" customFormat="false" ht="180.55" hidden="false" customHeight="false" outlineLevel="0" collapsed="false">
      <c r="A163" s="5" t="s">
        <v>2199</v>
      </c>
      <c r="B163" s="5" t="s">
        <v>2200</v>
      </c>
      <c r="C163" s="5" t="s">
        <v>2064</v>
      </c>
      <c r="D163" s="5" t="s">
        <v>2065</v>
      </c>
      <c r="E163" s="5" t="s">
        <v>600</v>
      </c>
      <c r="F163" s="5" t="s">
        <v>2201</v>
      </c>
      <c r="G163" s="5" t="s">
        <v>2202</v>
      </c>
      <c r="H163" s="5" t="n">
        <v>5</v>
      </c>
      <c r="I163" s="5" t="s">
        <v>603</v>
      </c>
      <c r="J163" s="5" t="s">
        <v>557</v>
      </c>
      <c r="K163" s="5"/>
      <c r="L163" s="5" t="s">
        <v>85</v>
      </c>
      <c r="M163" s="5" t="s">
        <v>185</v>
      </c>
      <c r="N163" s="5" t="s">
        <v>88</v>
      </c>
      <c r="O163" s="5" t="s">
        <v>214</v>
      </c>
      <c r="P163" s="5" t="s">
        <v>215</v>
      </c>
      <c r="Q163" s="5" t="s">
        <v>605</v>
      </c>
      <c r="R163" s="5" t="s">
        <v>2070</v>
      </c>
      <c r="S163" s="5" t="s">
        <v>2071</v>
      </c>
      <c r="T163" s="5" t="s">
        <v>606</v>
      </c>
      <c r="U163" s="5" t="n">
        <v>90</v>
      </c>
      <c r="V163" s="5" t="s">
        <v>2072</v>
      </c>
      <c r="W163" s="5" t="s">
        <v>2073</v>
      </c>
      <c r="X163" s="5" t="s">
        <v>2203</v>
      </c>
      <c r="Y163" s="5" t="s">
        <v>2204</v>
      </c>
      <c r="Z163" s="5" t="s">
        <v>2205</v>
      </c>
      <c r="AA163" s="5"/>
      <c r="AB163" s="5"/>
      <c r="AC163" s="5"/>
      <c r="AD163" s="5"/>
      <c r="AE163" s="5"/>
      <c r="AF163" s="5" t="s">
        <v>2206</v>
      </c>
      <c r="AG163" s="5"/>
      <c r="AH163" s="5"/>
      <c r="AI163" s="5"/>
      <c r="AJ163" s="5"/>
      <c r="AK163" s="5"/>
      <c r="AL163" s="5" t="s">
        <v>2206</v>
      </c>
      <c r="AM163" s="5"/>
      <c r="AN163" s="5"/>
      <c r="AO163" s="5"/>
      <c r="AP163" s="5"/>
      <c r="AQ163" s="5" t="s">
        <v>2206</v>
      </c>
      <c r="AR163" s="5" t="s">
        <v>2207</v>
      </c>
      <c r="AS163" s="5"/>
      <c r="AT163" s="5"/>
      <c r="AU163" s="5"/>
      <c r="AV163" s="5"/>
      <c r="AW163" s="5" t="s">
        <v>2133</v>
      </c>
    </row>
    <row r="164" customFormat="false" ht="169.4" hidden="false" customHeight="false" outlineLevel="0" collapsed="false">
      <c r="A164" s="5" t="s">
        <v>2208</v>
      </c>
      <c r="B164" s="5" t="s">
        <v>2209</v>
      </c>
      <c r="C164" s="5" t="s">
        <v>2064</v>
      </c>
      <c r="D164" s="5" t="s">
        <v>2065</v>
      </c>
      <c r="E164" s="5" t="s">
        <v>600</v>
      </c>
      <c r="F164" s="5" t="s">
        <v>2210</v>
      </c>
      <c r="G164" s="5" t="s">
        <v>2211</v>
      </c>
      <c r="H164" s="5" t="n">
        <v>5</v>
      </c>
      <c r="I164" s="5" t="s">
        <v>603</v>
      </c>
      <c r="J164" s="5" t="s">
        <v>153</v>
      </c>
      <c r="K164" s="5" t="s">
        <v>2212</v>
      </c>
      <c r="L164" s="5" t="s">
        <v>30</v>
      </c>
      <c r="M164" s="5" t="s">
        <v>155</v>
      </c>
      <c r="N164" s="5" t="s">
        <v>2213</v>
      </c>
      <c r="O164" s="5" t="s">
        <v>570</v>
      </c>
      <c r="P164" s="5" t="s">
        <v>158</v>
      </c>
      <c r="Q164" s="5" t="s">
        <v>605</v>
      </c>
      <c r="R164" s="5" t="s">
        <v>2070</v>
      </c>
      <c r="S164" s="5" t="s">
        <v>2071</v>
      </c>
      <c r="T164" s="5" t="s">
        <v>606</v>
      </c>
      <c r="U164" s="5" t="n">
        <v>365</v>
      </c>
      <c r="V164" s="5" t="s">
        <v>2072</v>
      </c>
      <c r="W164" s="5" t="s">
        <v>2073</v>
      </c>
      <c r="X164" s="5" t="s">
        <v>2214</v>
      </c>
      <c r="Y164" s="5" t="s">
        <v>2215</v>
      </c>
      <c r="Z164" s="5" t="s">
        <v>2216</v>
      </c>
      <c r="AA164" s="5"/>
      <c r="AB164" s="5"/>
      <c r="AC164" s="5"/>
      <c r="AD164" s="5"/>
      <c r="AE164" s="5"/>
      <c r="AF164" s="5" t="s">
        <v>2217</v>
      </c>
      <c r="AG164" s="5"/>
      <c r="AH164" s="5"/>
      <c r="AI164" s="5" t="s">
        <v>2130</v>
      </c>
      <c r="AJ164" s="5"/>
      <c r="AK164" s="5" t="s">
        <v>2218</v>
      </c>
      <c r="AL164" s="5" t="s">
        <v>2217</v>
      </c>
      <c r="AM164" s="5"/>
      <c r="AN164" s="5"/>
      <c r="AO164" s="5" t="s">
        <v>2219</v>
      </c>
      <c r="AP164" s="5"/>
      <c r="AQ164" s="5" t="s">
        <v>2217</v>
      </c>
      <c r="AR164" s="5" t="s">
        <v>1294</v>
      </c>
      <c r="AS164" s="5"/>
      <c r="AT164" s="5"/>
      <c r="AU164" s="5"/>
      <c r="AV164" s="5" t="s">
        <v>178</v>
      </c>
      <c r="AW164" s="5" t="s">
        <v>2198</v>
      </c>
    </row>
    <row r="165" customFormat="false" ht="158.2" hidden="false" customHeight="false" outlineLevel="0" collapsed="false">
      <c r="A165" s="5" t="s">
        <v>2220</v>
      </c>
      <c r="B165" s="5" t="s">
        <v>2221</v>
      </c>
      <c r="C165" s="5" t="s">
        <v>2064</v>
      </c>
      <c r="D165" s="5" t="s">
        <v>2065</v>
      </c>
      <c r="E165" s="5" t="s">
        <v>600</v>
      </c>
      <c r="F165" s="5" t="s">
        <v>2222</v>
      </c>
      <c r="G165" s="5" t="s">
        <v>2223</v>
      </c>
      <c r="H165" s="5" t="n">
        <v>5</v>
      </c>
      <c r="I165" s="5" t="s">
        <v>603</v>
      </c>
      <c r="J165" s="5" t="s">
        <v>153</v>
      </c>
      <c r="K165" s="5"/>
      <c r="L165" s="5" t="s">
        <v>55</v>
      </c>
      <c r="M165" s="5" t="s">
        <v>185</v>
      </c>
      <c r="N165" s="5" t="s">
        <v>665</v>
      </c>
      <c r="O165" s="5" t="s">
        <v>666</v>
      </c>
      <c r="P165" s="5" t="s">
        <v>215</v>
      </c>
      <c r="Q165" s="5" t="s">
        <v>605</v>
      </c>
      <c r="R165" s="5" t="s">
        <v>2070</v>
      </c>
      <c r="S165" s="5" t="s">
        <v>2071</v>
      </c>
      <c r="T165" s="5" t="s">
        <v>606</v>
      </c>
      <c r="U165" s="5" t="n">
        <v>365</v>
      </c>
      <c r="V165" s="5" t="s">
        <v>2072</v>
      </c>
      <c r="W165" s="5" t="s">
        <v>2073</v>
      </c>
      <c r="X165" s="5" t="s">
        <v>2224</v>
      </c>
      <c r="Y165" s="5" t="s">
        <v>2225</v>
      </c>
      <c r="Z165" s="5" t="s">
        <v>2226</v>
      </c>
      <c r="AA165" s="5"/>
      <c r="AB165" s="5"/>
      <c r="AC165" s="5"/>
      <c r="AD165" s="5"/>
      <c r="AE165" s="5"/>
      <c r="AF165" s="5" t="s">
        <v>2227</v>
      </c>
      <c r="AG165" s="5"/>
      <c r="AH165" s="5"/>
      <c r="AI165" s="5"/>
      <c r="AJ165" s="5" t="s">
        <v>2228</v>
      </c>
      <c r="AK165" s="5"/>
      <c r="AL165" s="5" t="s">
        <v>2227</v>
      </c>
      <c r="AM165" s="5"/>
      <c r="AN165" s="5"/>
      <c r="AO165" s="5" t="s">
        <v>2100</v>
      </c>
      <c r="AP165" s="5"/>
      <c r="AQ165" s="5"/>
      <c r="AR165" s="5" t="s">
        <v>1294</v>
      </c>
      <c r="AS165" s="5"/>
      <c r="AT165" s="5"/>
      <c r="AU165" s="5"/>
      <c r="AV165" s="5"/>
      <c r="AW165" s="5" t="s">
        <v>2198</v>
      </c>
    </row>
    <row r="166" customFormat="false" ht="135.8" hidden="false" customHeight="false" outlineLevel="0" collapsed="false">
      <c r="A166" s="5" t="s">
        <v>2229</v>
      </c>
      <c r="B166" s="5" t="s">
        <v>2230</v>
      </c>
      <c r="C166" s="5" t="s">
        <v>2064</v>
      </c>
      <c r="D166" s="5" t="s">
        <v>2065</v>
      </c>
      <c r="E166" s="5" t="s">
        <v>600</v>
      </c>
      <c r="F166" s="5" t="s">
        <v>2231</v>
      </c>
      <c r="G166" s="5" t="s">
        <v>2232</v>
      </c>
      <c r="H166" s="5" t="n">
        <v>5</v>
      </c>
      <c r="I166" s="5" t="s">
        <v>603</v>
      </c>
      <c r="J166" s="5" t="s">
        <v>153</v>
      </c>
      <c r="K166" s="5" t="s">
        <v>2233</v>
      </c>
      <c r="L166" s="5" t="s">
        <v>55</v>
      </c>
      <c r="M166" s="5" t="s">
        <v>185</v>
      </c>
      <c r="N166" s="5" t="s">
        <v>665</v>
      </c>
      <c r="O166" s="5" t="s">
        <v>666</v>
      </c>
      <c r="P166" s="5" t="s">
        <v>158</v>
      </c>
      <c r="Q166" s="5" t="s">
        <v>159</v>
      </c>
      <c r="R166" s="5" t="s">
        <v>2070</v>
      </c>
      <c r="S166" s="5" t="s">
        <v>2071</v>
      </c>
      <c r="T166" s="5" t="s">
        <v>606</v>
      </c>
      <c r="U166" s="5" t="n">
        <v>365</v>
      </c>
      <c r="V166" s="5" t="s">
        <v>2072</v>
      </c>
      <c r="W166" s="5" t="s">
        <v>2073</v>
      </c>
      <c r="X166" s="5" t="s">
        <v>2234</v>
      </c>
      <c r="Y166" s="5" t="s">
        <v>2235</v>
      </c>
      <c r="Z166" s="5" t="s">
        <v>2236</v>
      </c>
      <c r="AA166" s="5"/>
      <c r="AB166" s="5"/>
      <c r="AC166" s="5"/>
      <c r="AD166" s="5"/>
      <c r="AE166" s="5"/>
      <c r="AF166" s="5"/>
      <c r="AG166" s="5"/>
      <c r="AH166" s="5"/>
      <c r="AI166" s="5"/>
      <c r="AJ166" s="5" t="s">
        <v>2237</v>
      </c>
      <c r="AK166" s="5"/>
      <c r="AL166" s="5"/>
      <c r="AM166" s="5"/>
      <c r="AN166" s="5"/>
      <c r="AO166" s="5" t="s">
        <v>2238</v>
      </c>
      <c r="AP166" s="5"/>
      <c r="AQ166" s="5"/>
      <c r="AR166" s="5"/>
      <c r="AS166" s="5"/>
      <c r="AT166" s="5"/>
      <c r="AU166" s="5"/>
      <c r="AV166" s="5" t="s">
        <v>178</v>
      </c>
      <c r="AW166" s="5" t="s">
        <v>2239</v>
      </c>
    </row>
    <row r="167" customFormat="false" ht="214.15" hidden="false" customHeight="false" outlineLevel="0" collapsed="false">
      <c r="A167" s="5" t="s">
        <v>2240</v>
      </c>
      <c r="B167" s="5" t="s">
        <v>2241</v>
      </c>
      <c r="C167" s="5" t="s">
        <v>2064</v>
      </c>
      <c r="D167" s="5" t="s">
        <v>2065</v>
      </c>
      <c r="E167" s="5" t="s">
        <v>600</v>
      </c>
      <c r="F167" s="5" t="s">
        <v>2242</v>
      </c>
      <c r="G167" s="5" t="s">
        <v>2243</v>
      </c>
      <c r="H167" s="5" t="n">
        <v>10</v>
      </c>
      <c r="I167" s="5" t="s">
        <v>603</v>
      </c>
      <c r="J167" s="5" t="s">
        <v>153</v>
      </c>
      <c r="K167" s="5" t="s">
        <v>2108</v>
      </c>
      <c r="L167" s="5" t="s">
        <v>30</v>
      </c>
      <c r="M167" s="5" t="s">
        <v>155</v>
      </c>
      <c r="N167" s="5" t="s">
        <v>2244</v>
      </c>
      <c r="O167" s="5" t="s">
        <v>570</v>
      </c>
      <c r="P167" s="5" t="s">
        <v>158</v>
      </c>
      <c r="Q167" s="5" t="s">
        <v>605</v>
      </c>
      <c r="R167" s="5" t="s">
        <v>2070</v>
      </c>
      <c r="S167" s="5" t="s">
        <v>2071</v>
      </c>
      <c r="T167" s="5" t="s">
        <v>606</v>
      </c>
      <c r="U167" s="5" t="n">
        <v>365</v>
      </c>
      <c r="V167" s="5" t="s">
        <v>2072</v>
      </c>
      <c r="W167" s="5" t="s">
        <v>2073</v>
      </c>
      <c r="X167" s="5" t="s">
        <v>2245</v>
      </c>
      <c r="Y167" s="5" t="s">
        <v>2246</v>
      </c>
      <c r="Z167" s="5" t="s">
        <v>2247</v>
      </c>
      <c r="AA167" s="5"/>
      <c r="AB167" s="5" t="s">
        <v>2248</v>
      </c>
      <c r="AC167" s="5"/>
      <c r="AD167" s="5"/>
      <c r="AE167" s="5"/>
      <c r="AF167" s="5" t="s">
        <v>2249</v>
      </c>
      <c r="AG167" s="5" t="s">
        <v>2250</v>
      </c>
      <c r="AH167" s="5"/>
      <c r="AI167" s="5" t="s">
        <v>2148</v>
      </c>
      <c r="AJ167" s="5" t="s">
        <v>2251</v>
      </c>
      <c r="AK167" s="5" t="s">
        <v>2252</v>
      </c>
      <c r="AL167" s="5" t="s">
        <v>2249</v>
      </c>
      <c r="AM167" s="5"/>
      <c r="AN167" s="5" t="s">
        <v>2253</v>
      </c>
      <c r="AO167" s="5" t="s">
        <v>2254</v>
      </c>
      <c r="AP167" s="5"/>
      <c r="AQ167" s="5" t="s">
        <v>2249</v>
      </c>
      <c r="AR167" s="5" t="s">
        <v>2255</v>
      </c>
      <c r="AS167" s="5"/>
      <c r="AT167" s="5" t="s">
        <v>2152</v>
      </c>
      <c r="AU167" s="5" t="s">
        <v>2118</v>
      </c>
      <c r="AV167" s="5" t="s">
        <v>178</v>
      </c>
      <c r="AW167" s="5" t="s">
        <v>2256</v>
      </c>
    </row>
    <row r="168" customFormat="false" ht="191.75" hidden="false" customHeight="false" outlineLevel="0" collapsed="false">
      <c r="A168" s="5" t="s">
        <v>2257</v>
      </c>
      <c r="B168" s="5" t="s">
        <v>2258</v>
      </c>
      <c r="C168" s="5" t="s">
        <v>2064</v>
      </c>
      <c r="D168" s="5" t="s">
        <v>2065</v>
      </c>
      <c r="E168" s="5" t="s">
        <v>600</v>
      </c>
      <c r="F168" s="5" t="s">
        <v>2259</v>
      </c>
      <c r="G168" s="5" t="s">
        <v>2260</v>
      </c>
      <c r="H168" s="5" t="n">
        <v>9</v>
      </c>
      <c r="I168" s="5" t="s">
        <v>603</v>
      </c>
      <c r="J168" s="5" t="s">
        <v>557</v>
      </c>
      <c r="K168" s="5" t="s">
        <v>2261</v>
      </c>
      <c r="L168" s="5" t="s">
        <v>30</v>
      </c>
      <c r="M168" s="5" t="s">
        <v>155</v>
      </c>
      <c r="N168" s="5" t="s">
        <v>2262</v>
      </c>
      <c r="O168" s="5" t="s">
        <v>157</v>
      </c>
      <c r="P168" s="5" t="s">
        <v>158</v>
      </c>
      <c r="Q168" s="5" t="s">
        <v>605</v>
      </c>
      <c r="R168" s="5" t="s">
        <v>2070</v>
      </c>
      <c r="S168" s="5" t="s">
        <v>2071</v>
      </c>
      <c r="T168" s="5" t="s">
        <v>606</v>
      </c>
      <c r="U168" s="5" t="n">
        <v>90</v>
      </c>
      <c r="V168" s="5" t="s">
        <v>2072</v>
      </c>
      <c r="W168" s="5" t="s">
        <v>2073</v>
      </c>
      <c r="X168" s="5" t="s">
        <v>2263</v>
      </c>
      <c r="Y168" s="5" t="s">
        <v>2264</v>
      </c>
      <c r="Z168" s="5" t="s">
        <v>2265</v>
      </c>
      <c r="AA168" s="5"/>
      <c r="AB168" s="5"/>
      <c r="AC168" s="5"/>
      <c r="AD168" s="5"/>
      <c r="AE168" s="5"/>
      <c r="AF168" s="5" t="s">
        <v>2266</v>
      </c>
      <c r="AG168" s="5" t="s">
        <v>2267</v>
      </c>
      <c r="AH168" s="5"/>
      <c r="AI168" s="5" t="s">
        <v>2130</v>
      </c>
      <c r="AJ168" s="5" t="s">
        <v>2268</v>
      </c>
      <c r="AK168" s="5" t="s">
        <v>2252</v>
      </c>
      <c r="AL168" s="5" t="s">
        <v>2266</v>
      </c>
      <c r="AM168" s="5" t="s">
        <v>2267</v>
      </c>
      <c r="AN168" s="5"/>
      <c r="AO168" s="5"/>
      <c r="AP168" s="5"/>
      <c r="AQ168" s="5" t="s">
        <v>2269</v>
      </c>
      <c r="AR168" s="5" t="s">
        <v>2255</v>
      </c>
      <c r="AS168" s="5"/>
      <c r="AT168" s="5" t="s">
        <v>2152</v>
      </c>
      <c r="AU168" s="5" t="s">
        <v>2118</v>
      </c>
      <c r="AV168" s="5" t="s">
        <v>178</v>
      </c>
      <c r="AW168" s="5" t="s">
        <v>2198</v>
      </c>
    </row>
    <row r="169" customFormat="false" ht="147" hidden="false" customHeight="false" outlineLevel="0" collapsed="false">
      <c r="A169" s="5" t="s">
        <v>2270</v>
      </c>
      <c r="B169" s="5" t="s">
        <v>2271</v>
      </c>
      <c r="C169" s="5" t="s">
        <v>2064</v>
      </c>
      <c r="D169" s="5" t="s">
        <v>2065</v>
      </c>
      <c r="E169" s="5" t="s">
        <v>600</v>
      </c>
      <c r="F169" s="5" t="s">
        <v>2272</v>
      </c>
      <c r="G169" s="5" t="s">
        <v>2273</v>
      </c>
      <c r="H169" s="5" t="n">
        <v>5</v>
      </c>
      <c r="I169" s="5" t="s">
        <v>603</v>
      </c>
      <c r="J169" s="5" t="s">
        <v>557</v>
      </c>
      <c r="K169" s="5" t="s">
        <v>2186</v>
      </c>
      <c r="L169" s="5" t="s">
        <v>30</v>
      </c>
      <c r="M169" s="5" t="s">
        <v>155</v>
      </c>
      <c r="N169" s="5" t="s">
        <v>2274</v>
      </c>
      <c r="O169" s="5" t="s">
        <v>570</v>
      </c>
      <c r="P169" s="5" t="s">
        <v>215</v>
      </c>
      <c r="Q169" s="5" t="s">
        <v>605</v>
      </c>
      <c r="R169" s="5" t="s">
        <v>2070</v>
      </c>
      <c r="S169" s="5" t="s">
        <v>2071</v>
      </c>
      <c r="T169" s="5" t="s">
        <v>606</v>
      </c>
      <c r="U169" s="5" t="n">
        <v>90</v>
      </c>
      <c r="V169" s="5" t="s">
        <v>2072</v>
      </c>
      <c r="W169" s="5" t="s">
        <v>2073</v>
      </c>
      <c r="X169" s="5" t="s">
        <v>2275</v>
      </c>
      <c r="Y169" s="5" t="s">
        <v>2276</v>
      </c>
      <c r="Z169" s="5" t="s">
        <v>2277</v>
      </c>
      <c r="AA169" s="5"/>
      <c r="AB169" s="5" t="s">
        <v>2248</v>
      </c>
      <c r="AC169" s="5"/>
      <c r="AD169" s="5"/>
      <c r="AE169" s="5"/>
      <c r="AF169" s="5" t="s">
        <v>2278</v>
      </c>
      <c r="AG169" s="5"/>
      <c r="AH169" s="5"/>
      <c r="AI169" s="5" t="s">
        <v>2148</v>
      </c>
      <c r="AJ169" s="5"/>
      <c r="AK169" s="5"/>
      <c r="AL169" s="5" t="s">
        <v>2278</v>
      </c>
      <c r="AM169" s="5"/>
      <c r="AN169" s="5"/>
      <c r="AO169" s="5" t="s">
        <v>2254</v>
      </c>
      <c r="AP169" s="5" t="s">
        <v>2085</v>
      </c>
      <c r="AQ169" s="5"/>
      <c r="AR169" s="5" t="s">
        <v>2197</v>
      </c>
      <c r="AS169" s="5"/>
      <c r="AT169" s="5" t="s">
        <v>2279</v>
      </c>
      <c r="AU169" s="5" t="s">
        <v>2118</v>
      </c>
      <c r="AV169" s="5" t="s">
        <v>178</v>
      </c>
      <c r="AW169" s="5" t="s">
        <v>2198</v>
      </c>
    </row>
    <row r="170" customFormat="false" ht="147" hidden="false" customHeight="false" outlineLevel="0" collapsed="false">
      <c r="A170" s="5" t="s">
        <v>2280</v>
      </c>
      <c r="B170" s="5" t="s">
        <v>2281</v>
      </c>
      <c r="C170" s="5" t="s">
        <v>2064</v>
      </c>
      <c r="D170" s="5" t="s">
        <v>2065</v>
      </c>
      <c r="E170" s="5" t="s">
        <v>600</v>
      </c>
      <c r="F170" s="5" t="s">
        <v>2282</v>
      </c>
      <c r="G170" s="5" t="s">
        <v>2283</v>
      </c>
      <c r="H170" s="5" t="n">
        <v>5</v>
      </c>
      <c r="I170" s="5" t="s">
        <v>603</v>
      </c>
      <c r="J170" s="5" t="s">
        <v>557</v>
      </c>
      <c r="K170" s="5"/>
      <c r="L170" s="5" t="s">
        <v>30</v>
      </c>
      <c r="M170" s="5" t="s">
        <v>155</v>
      </c>
      <c r="N170" s="5" t="s">
        <v>310</v>
      </c>
      <c r="O170" s="5" t="s">
        <v>157</v>
      </c>
      <c r="P170" s="5" t="s">
        <v>215</v>
      </c>
      <c r="Q170" s="5" t="s">
        <v>605</v>
      </c>
      <c r="R170" s="5" t="s">
        <v>2070</v>
      </c>
      <c r="S170" s="5" t="s">
        <v>2071</v>
      </c>
      <c r="T170" s="5" t="s">
        <v>606</v>
      </c>
      <c r="U170" s="5" t="n">
        <v>90</v>
      </c>
      <c r="V170" s="5" t="s">
        <v>2072</v>
      </c>
      <c r="W170" s="5" t="s">
        <v>2073</v>
      </c>
      <c r="X170" s="5" t="s">
        <v>2284</v>
      </c>
      <c r="Y170" s="5" t="s">
        <v>2285</v>
      </c>
      <c r="Z170" s="5" t="s">
        <v>2286</v>
      </c>
      <c r="AA170" s="5"/>
      <c r="AB170" s="5"/>
      <c r="AC170" s="5"/>
      <c r="AD170" s="5"/>
      <c r="AE170" s="5"/>
      <c r="AF170" s="5" t="s">
        <v>2287</v>
      </c>
      <c r="AG170" s="5"/>
      <c r="AH170" s="5"/>
      <c r="AI170" s="5" t="s">
        <v>2080</v>
      </c>
      <c r="AJ170" s="5" t="s">
        <v>2114</v>
      </c>
      <c r="AK170" s="5"/>
      <c r="AL170" s="5" t="s">
        <v>2287</v>
      </c>
      <c r="AM170" s="5"/>
      <c r="AN170" s="5"/>
      <c r="AO170" s="5"/>
      <c r="AP170" s="5"/>
      <c r="AQ170" s="5"/>
      <c r="AR170" s="5" t="s">
        <v>2288</v>
      </c>
      <c r="AS170" s="5"/>
      <c r="AT170" s="5"/>
      <c r="AU170" s="5" t="s">
        <v>2289</v>
      </c>
      <c r="AV170" s="5" t="s">
        <v>178</v>
      </c>
      <c r="AW170" s="5" t="s">
        <v>2198</v>
      </c>
    </row>
    <row r="171" customFormat="false" ht="202.95" hidden="false" customHeight="false" outlineLevel="0" collapsed="false">
      <c r="A171" s="5" t="s">
        <v>2290</v>
      </c>
      <c r="B171" s="5" t="s">
        <v>2291</v>
      </c>
      <c r="C171" s="5" t="s">
        <v>2064</v>
      </c>
      <c r="D171" s="5" t="s">
        <v>2065</v>
      </c>
      <c r="E171" s="5" t="s">
        <v>600</v>
      </c>
      <c r="F171" s="5" t="s">
        <v>2292</v>
      </c>
      <c r="G171" s="5" t="s">
        <v>2293</v>
      </c>
      <c r="H171" s="5" t="n">
        <v>5</v>
      </c>
      <c r="I171" s="5" t="s">
        <v>603</v>
      </c>
      <c r="J171" s="5" t="s">
        <v>153</v>
      </c>
      <c r="K171" s="5"/>
      <c r="L171" s="5" t="s">
        <v>30</v>
      </c>
      <c r="M171" s="5" t="s">
        <v>155</v>
      </c>
      <c r="N171" s="5" t="s">
        <v>619</v>
      </c>
      <c r="O171" s="5" t="s">
        <v>157</v>
      </c>
      <c r="P171" s="5" t="s">
        <v>215</v>
      </c>
      <c r="Q171" s="5" t="s">
        <v>605</v>
      </c>
      <c r="R171" s="5" t="s">
        <v>2070</v>
      </c>
      <c r="S171" s="5" t="s">
        <v>2071</v>
      </c>
      <c r="T171" s="5" t="s">
        <v>606</v>
      </c>
      <c r="U171" s="5" t="n">
        <v>365</v>
      </c>
      <c r="V171" s="5" t="s">
        <v>2072</v>
      </c>
      <c r="W171" s="5" t="s">
        <v>2073</v>
      </c>
      <c r="X171" s="5" t="s">
        <v>2294</v>
      </c>
      <c r="Y171" s="5" t="s">
        <v>2295</v>
      </c>
      <c r="Z171" s="5" t="s">
        <v>2296</v>
      </c>
      <c r="AA171" s="5"/>
      <c r="AB171" s="5"/>
      <c r="AC171" s="5"/>
      <c r="AD171" s="5"/>
      <c r="AE171" s="5"/>
      <c r="AF171" s="5" t="s">
        <v>2297</v>
      </c>
      <c r="AG171" s="5" t="s">
        <v>2297</v>
      </c>
      <c r="AH171" s="5"/>
      <c r="AI171" s="5"/>
      <c r="AJ171" s="5"/>
      <c r="AK171" s="5"/>
      <c r="AL171" s="5" t="s">
        <v>2297</v>
      </c>
      <c r="AM171" s="5"/>
      <c r="AN171" s="5" t="s">
        <v>2298</v>
      </c>
      <c r="AO171" s="5"/>
      <c r="AP171" s="5"/>
      <c r="AQ171" s="5" t="s">
        <v>2297</v>
      </c>
      <c r="AR171" s="5" t="s">
        <v>2197</v>
      </c>
      <c r="AS171" s="5"/>
      <c r="AT171" s="5"/>
      <c r="AU171" s="5"/>
      <c r="AV171" s="5" t="s">
        <v>178</v>
      </c>
      <c r="AW171" s="5" t="s">
        <v>2239</v>
      </c>
    </row>
    <row r="172" customFormat="false" ht="158.2" hidden="false" customHeight="false" outlineLevel="0" collapsed="false">
      <c r="A172" s="5" t="s">
        <v>2299</v>
      </c>
      <c r="B172" s="5" t="s">
        <v>2300</v>
      </c>
      <c r="C172" s="5" t="s">
        <v>2064</v>
      </c>
      <c r="D172" s="5" t="s">
        <v>2065</v>
      </c>
      <c r="E172" s="5" t="s">
        <v>600</v>
      </c>
      <c r="F172" s="5" t="s">
        <v>2301</v>
      </c>
      <c r="G172" s="5" t="s">
        <v>2302</v>
      </c>
      <c r="H172" s="5" t="n">
        <v>5</v>
      </c>
      <c r="I172" s="5" t="s">
        <v>603</v>
      </c>
      <c r="J172" s="5" t="s">
        <v>557</v>
      </c>
      <c r="K172" s="5"/>
      <c r="L172" s="5" t="s">
        <v>68</v>
      </c>
      <c r="M172" s="5" t="s">
        <v>185</v>
      </c>
      <c r="N172" s="5" t="s">
        <v>72</v>
      </c>
      <c r="O172" s="5" t="s">
        <v>666</v>
      </c>
      <c r="P172" s="5" t="s">
        <v>215</v>
      </c>
      <c r="Q172" s="5" t="s">
        <v>605</v>
      </c>
      <c r="R172" s="5" t="s">
        <v>2070</v>
      </c>
      <c r="S172" s="5" t="s">
        <v>2071</v>
      </c>
      <c r="T172" s="5" t="s">
        <v>606</v>
      </c>
      <c r="U172" s="5" t="n">
        <v>90</v>
      </c>
      <c r="V172" s="5" t="s">
        <v>2072</v>
      </c>
      <c r="W172" s="5" t="s">
        <v>2073</v>
      </c>
      <c r="X172" s="5" t="s">
        <v>2303</v>
      </c>
      <c r="Y172" s="5" t="s">
        <v>2304</v>
      </c>
      <c r="Z172" s="5" t="s">
        <v>2305</v>
      </c>
      <c r="AA172" s="5"/>
      <c r="AB172" s="5"/>
      <c r="AC172" s="5"/>
      <c r="AD172" s="5"/>
      <c r="AE172" s="5"/>
      <c r="AF172" s="5" t="s">
        <v>2306</v>
      </c>
      <c r="AG172" s="5"/>
      <c r="AH172" s="5"/>
      <c r="AI172" s="5"/>
      <c r="AJ172" s="5"/>
      <c r="AK172" s="5"/>
      <c r="AL172" s="5" t="s">
        <v>2306</v>
      </c>
      <c r="AM172" s="5"/>
      <c r="AN172" s="5"/>
      <c r="AO172" s="5" t="s">
        <v>2254</v>
      </c>
      <c r="AP172" s="5"/>
      <c r="AQ172" s="5"/>
      <c r="AR172" s="5" t="s">
        <v>2197</v>
      </c>
      <c r="AS172" s="5"/>
      <c r="AT172" s="5"/>
      <c r="AU172" s="5"/>
      <c r="AV172" s="5" t="s">
        <v>178</v>
      </c>
      <c r="AW172" s="5" t="s">
        <v>2198</v>
      </c>
    </row>
    <row r="173" customFormat="false" ht="214.15" hidden="false" customHeight="false" outlineLevel="0" collapsed="false">
      <c r="A173" s="5" t="s">
        <v>2219</v>
      </c>
      <c r="B173" s="5" t="s">
        <v>2307</v>
      </c>
      <c r="C173" s="5" t="s">
        <v>2064</v>
      </c>
      <c r="D173" s="5" t="s">
        <v>2065</v>
      </c>
      <c r="E173" s="5" t="s">
        <v>600</v>
      </c>
      <c r="F173" s="5" t="s">
        <v>2308</v>
      </c>
      <c r="G173" s="5" t="s">
        <v>2309</v>
      </c>
      <c r="H173" s="5" t="n">
        <v>10</v>
      </c>
      <c r="I173" s="5" t="s">
        <v>603</v>
      </c>
      <c r="J173" s="5" t="s">
        <v>153</v>
      </c>
      <c r="K173" s="5" t="s">
        <v>2310</v>
      </c>
      <c r="L173" s="5" t="s">
        <v>30</v>
      </c>
      <c r="M173" s="5" t="s">
        <v>155</v>
      </c>
      <c r="N173" s="5" t="s">
        <v>2311</v>
      </c>
      <c r="O173" s="5" t="s">
        <v>570</v>
      </c>
      <c r="P173" s="5" t="s">
        <v>158</v>
      </c>
      <c r="Q173" s="5" t="s">
        <v>605</v>
      </c>
      <c r="R173" s="5" t="s">
        <v>2070</v>
      </c>
      <c r="S173" s="5" t="s">
        <v>2071</v>
      </c>
      <c r="T173" s="5" t="s">
        <v>606</v>
      </c>
      <c r="U173" s="5" t="n">
        <v>365</v>
      </c>
      <c r="V173" s="5" t="s">
        <v>2072</v>
      </c>
      <c r="W173" s="5" t="s">
        <v>2073</v>
      </c>
      <c r="X173" s="5" t="s">
        <v>2312</v>
      </c>
      <c r="Y173" s="5" t="s">
        <v>2313</v>
      </c>
      <c r="Z173" s="5" t="s">
        <v>2314</v>
      </c>
      <c r="AA173" s="5" t="s">
        <v>2315</v>
      </c>
      <c r="AB173" s="5"/>
      <c r="AC173" s="5"/>
      <c r="AD173" s="5" t="s">
        <v>2145</v>
      </c>
      <c r="AE173" s="5"/>
      <c r="AF173" s="5" t="s">
        <v>2316</v>
      </c>
      <c r="AG173" s="5" t="s">
        <v>2316</v>
      </c>
      <c r="AH173" s="5" t="s">
        <v>2317</v>
      </c>
      <c r="AI173" s="5"/>
      <c r="AJ173" s="5"/>
      <c r="AK173" s="5" t="s">
        <v>2318</v>
      </c>
      <c r="AL173" s="5" t="s">
        <v>2316</v>
      </c>
      <c r="AM173" s="5"/>
      <c r="AN173" s="5" t="s">
        <v>2319</v>
      </c>
      <c r="AO173" s="5" t="s">
        <v>2320</v>
      </c>
      <c r="AP173" s="5"/>
      <c r="AQ173" s="5"/>
      <c r="AR173" s="5" t="s">
        <v>2197</v>
      </c>
      <c r="AS173" s="5"/>
      <c r="AT173" s="5" t="s">
        <v>2152</v>
      </c>
      <c r="AU173" s="5"/>
      <c r="AV173" s="5" t="s">
        <v>178</v>
      </c>
      <c r="AW173" s="5" t="s">
        <v>1664</v>
      </c>
    </row>
    <row r="174" customFormat="false" ht="135.8" hidden="false" customHeight="false" outlineLevel="0" collapsed="false">
      <c r="A174" s="5" t="s">
        <v>2321</v>
      </c>
      <c r="B174" s="5" t="s">
        <v>2322</v>
      </c>
      <c r="C174" s="5" t="s">
        <v>2064</v>
      </c>
      <c r="D174" s="5" t="s">
        <v>2065</v>
      </c>
      <c r="E174" s="5" t="s">
        <v>600</v>
      </c>
      <c r="F174" s="5" t="s">
        <v>2323</v>
      </c>
      <c r="G174" s="5" t="s">
        <v>2324</v>
      </c>
      <c r="H174" s="5" t="n">
        <v>8</v>
      </c>
      <c r="I174" s="5" t="s">
        <v>1221</v>
      </c>
      <c r="J174" s="5" t="s">
        <v>153</v>
      </c>
      <c r="K174" s="5"/>
      <c r="L174" s="5" t="s">
        <v>30</v>
      </c>
      <c r="M174" s="5" t="s">
        <v>155</v>
      </c>
      <c r="N174" s="5" t="s">
        <v>1030</v>
      </c>
      <c r="O174" s="5" t="s">
        <v>157</v>
      </c>
      <c r="P174" s="5" t="s">
        <v>641</v>
      </c>
      <c r="Q174" s="5" t="s">
        <v>519</v>
      </c>
      <c r="R174" s="5" t="s">
        <v>2070</v>
      </c>
      <c r="S174" s="5" t="s">
        <v>2071</v>
      </c>
      <c r="T174" s="5" t="s">
        <v>277</v>
      </c>
      <c r="U174" s="5" t="n">
        <v>365</v>
      </c>
      <c r="V174" s="5" t="s">
        <v>2072</v>
      </c>
      <c r="W174" s="5" t="s">
        <v>2073</v>
      </c>
      <c r="X174" s="5" t="s">
        <v>2325</v>
      </c>
      <c r="Y174" s="5" t="s">
        <v>2326</v>
      </c>
      <c r="Z174" s="5" t="s">
        <v>2327</v>
      </c>
      <c r="AA174" s="5"/>
      <c r="AB174" s="5"/>
      <c r="AC174" s="5"/>
      <c r="AD174" s="5"/>
      <c r="AE174" s="5"/>
      <c r="AF174" s="5" t="s">
        <v>2328</v>
      </c>
      <c r="AG174" s="5" t="s">
        <v>2328</v>
      </c>
      <c r="AH174" s="5"/>
      <c r="AI174" s="5"/>
      <c r="AJ174" s="5"/>
      <c r="AK174" s="5"/>
      <c r="AL174" s="5" t="s">
        <v>2328</v>
      </c>
      <c r="AM174" s="5" t="s">
        <v>2328</v>
      </c>
      <c r="AN174" s="5"/>
      <c r="AO174" s="5"/>
      <c r="AP174" s="5"/>
      <c r="AQ174" s="5"/>
      <c r="AR174" s="5" t="s">
        <v>2197</v>
      </c>
      <c r="AS174" s="5"/>
      <c r="AT174" s="5"/>
      <c r="AU174" s="5"/>
      <c r="AV174" s="5"/>
      <c r="AW174" s="5" t="s">
        <v>2329</v>
      </c>
    </row>
    <row r="175" customFormat="false" ht="124.6" hidden="false" customHeight="false" outlineLevel="0" collapsed="false">
      <c r="A175" s="5" t="s">
        <v>2330</v>
      </c>
      <c r="B175" s="5" t="s">
        <v>2331</v>
      </c>
      <c r="C175" s="5" t="s">
        <v>2064</v>
      </c>
      <c r="D175" s="5" t="s">
        <v>2065</v>
      </c>
      <c r="E175" s="5" t="s">
        <v>600</v>
      </c>
      <c r="F175" s="5" t="s">
        <v>2332</v>
      </c>
      <c r="G175" s="5" t="s">
        <v>2333</v>
      </c>
      <c r="H175" s="5" t="n">
        <v>8</v>
      </c>
      <c r="I175" s="5" t="s">
        <v>603</v>
      </c>
      <c r="J175" s="5" t="s">
        <v>153</v>
      </c>
      <c r="K175" s="5"/>
      <c r="L175" s="5" t="s">
        <v>85</v>
      </c>
      <c r="M175" s="5" t="s">
        <v>185</v>
      </c>
      <c r="N175" s="5" t="s">
        <v>88</v>
      </c>
      <c r="O175" s="5" t="s">
        <v>214</v>
      </c>
      <c r="P175" s="5" t="s">
        <v>215</v>
      </c>
      <c r="Q175" s="5" t="s">
        <v>605</v>
      </c>
      <c r="R175" s="5" t="s">
        <v>2070</v>
      </c>
      <c r="S175" s="5" t="s">
        <v>2071</v>
      </c>
      <c r="T175" s="5" t="s">
        <v>606</v>
      </c>
      <c r="U175" s="5" t="n">
        <v>365</v>
      </c>
      <c r="V175" s="5" t="s">
        <v>2072</v>
      </c>
      <c r="W175" s="5" t="s">
        <v>2073</v>
      </c>
      <c r="X175" s="5" t="s">
        <v>2334</v>
      </c>
      <c r="Y175" s="5" t="s">
        <v>2335</v>
      </c>
      <c r="Z175" s="5" t="s">
        <v>2336</v>
      </c>
      <c r="AA175" s="5"/>
      <c r="AB175" s="5"/>
      <c r="AC175" s="5"/>
      <c r="AD175" s="5"/>
      <c r="AE175" s="5"/>
      <c r="AF175" s="5" t="s">
        <v>2337</v>
      </c>
      <c r="AG175" s="5"/>
      <c r="AH175" s="5"/>
      <c r="AI175" s="5"/>
      <c r="AJ175" s="5"/>
      <c r="AK175" s="5"/>
      <c r="AL175" s="5" t="s">
        <v>2337</v>
      </c>
      <c r="AM175" s="5"/>
      <c r="AN175" s="5"/>
      <c r="AO175" s="5"/>
      <c r="AP175" s="5"/>
      <c r="AQ175" s="5" t="s">
        <v>2337</v>
      </c>
      <c r="AR175" s="5" t="s">
        <v>2197</v>
      </c>
      <c r="AS175" s="5"/>
      <c r="AT175" s="5"/>
      <c r="AU175" s="5"/>
      <c r="AV175" s="5"/>
      <c r="AW175" s="5" t="s">
        <v>1664</v>
      </c>
    </row>
    <row r="176" customFormat="false" ht="124.6" hidden="false" customHeight="false" outlineLevel="0" collapsed="false">
      <c r="A176" s="5" t="s">
        <v>2338</v>
      </c>
      <c r="B176" s="5" t="s">
        <v>2339</v>
      </c>
      <c r="C176" s="5" t="s">
        <v>2064</v>
      </c>
      <c r="D176" s="5" t="s">
        <v>2065</v>
      </c>
      <c r="E176" s="5" t="s">
        <v>600</v>
      </c>
      <c r="F176" s="5" t="s">
        <v>2340</v>
      </c>
      <c r="G176" s="5" t="s">
        <v>2341</v>
      </c>
      <c r="H176" s="5" t="n">
        <v>5</v>
      </c>
      <c r="I176" s="5" t="s">
        <v>152</v>
      </c>
      <c r="J176" s="5" t="s">
        <v>153</v>
      </c>
      <c r="K176" s="5"/>
      <c r="L176" s="5" t="s">
        <v>85</v>
      </c>
      <c r="M176" s="5" t="s">
        <v>185</v>
      </c>
      <c r="N176" s="5" t="s">
        <v>88</v>
      </c>
      <c r="O176" s="5" t="s">
        <v>214</v>
      </c>
      <c r="P176" s="5" t="s">
        <v>215</v>
      </c>
      <c r="Q176" s="5" t="s">
        <v>605</v>
      </c>
      <c r="R176" s="5" t="s">
        <v>2070</v>
      </c>
      <c r="S176" s="5" t="s">
        <v>2071</v>
      </c>
      <c r="T176" s="5" t="s">
        <v>162</v>
      </c>
      <c r="U176" s="5" t="n">
        <v>365</v>
      </c>
      <c r="V176" s="5" t="s">
        <v>2072</v>
      </c>
      <c r="W176" s="5" t="s">
        <v>2073</v>
      </c>
      <c r="X176" s="5" t="s">
        <v>2342</v>
      </c>
      <c r="Y176" s="5" t="s">
        <v>2343</v>
      </c>
      <c r="Z176" s="5" t="s">
        <v>2344</v>
      </c>
      <c r="AA176" s="5"/>
      <c r="AB176" s="5"/>
      <c r="AC176" s="5"/>
      <c r="AD176" s="5"/>
      <c r="AE176" s="5"/>
      <c r="AF176" s="5" t="s">
        <v>2345</v>
      </c>
      <c r="AG176" s="5"/>
      <c r="AH176" s="5"/>
      <c r="AI176" s="5"/>
      <c r="AJ176" s="5"/>
      <c r="AK176" s="5"/>
      <c r="AL176" s="5" t="s">
        <v>2345</v>
      </c>
      <c r="AM176" s="5"/>
      <c r="AN176" s="5"/>
      <c r="AO176" s="5"/>
      <c r="AP176" s="5"/>
      <c r="AQ176" s="5" t="s">
        <v>2345</v>
      </c>
      <c r="AR176" s="5" t="s">
        <v>1933</v>
      </c>
      <c r="AS176" s="5"/>
      <c r="AT176" s="5"/>
      <c r="AU176" s="5"/>
      <c r="AV176" s="5"/>
      <c r="AW176" s="5" t="s">
        <v>2239</v>
      </c>
    </row>
    <row r="177" customFormat="false" ht="135.8" hidden="false" customHeight="false" outlineLevel="0" collapsed="false">
      <c r="A177" s="5" t="s">
        <v>2346</v>
      </c>
      <c r="B177" s="5" t="s">
        <v>2347</v>
      </c>
      <c r="C177" s="5" t="s">
        <v>2064</v>
      </c>
      <c r="D177" s="5" t="s">
        <v>2065</v>
      </c>
      <c r="E177" s="5" t="s">
        <v>600</v>
      </c>
      <c r="F177" s="5" t="s">
        <v>2348</v>
      </c>
      <c r="G177" s="5" t="s">
        <v>2349</v>
      </c>
      <c r="H177" s="5" t="n">
        <v>8</v>
      </c>
      <c r="I177" s="5" t="s">
        <v>603</v>
      </c>
      <c r="J177" s="5" t="s">
        <v>557</v>
      </c>
      <c r="K177" s="5"/>
      <c r="L177" s="5" t="s">
        <v>30</v>
      </c>
      <c r="M177" s="5" t="s">
        <v>155</v>
      </c>
      <c r="N177" s="5" t="s">
        <v>2350</v>
      </c>
      <c r="O177" s="5" t="s">
        <v>570</v>
      </c>
      <c r="P177" s="5" t="s">
        <v>215</v>
      </c>
      <c r="Q177" s="5" t="s">
        <v>605</v>
      </c>
      <c r="R177" s="5" t="s">
        <v>2070</v>
      </c>
      <c r="S177" s="5" t="s">
        <v>2071</v>
      </c>
      <c r="T177" s="5" t="s">
        <v>606</v>
      </c>
      <c r="U177" s="5" t="n">
        <v>90</v>
      </c>
      <c r="V177" s="5" t="s">
        <v>2072</v>
      </c>
      <c r="W177" s="5" t="s">
        <v>2073</v>
      </c>
      <c r="X177" s="5" t="s">
        <v>2351</v>
      </c>
      <c r="Y177" s="5" t="s">
        <v>2352</v>
      </c>
      <c r="Z177" s="5" t="s">
        <v>2353</v>
      </c>
      <c r="AA177" s="5"/>
      <c r="AB177" s="5" t="s">
        <v>2354</v>
      </c>
      <c r="AC177" s="5"/>
      <c r="AD177" s="5" t="s">
        <v>2355</v>
      </c>
      <c r="AE177" s="5"/>
      <c r="AF177" s="5" t="s">
        <v>2356</v>
      </c>
      <c r="AG177" s="5" t="s">
        <v>2356</v>
      </c>
      <c r="AH177" s="5"/>
      <c r="AI177" s="5"/>
      <c r="AJ177" s="5"/>
      <c r="AK177" s="5"/>
      <c r="AL177" s="5" t="s">
        <v>2356</v>
      </c>
      <c r="AM177" s="5"/>
      <c r="AN177" s="5"/>
      <c r="AO177" s="5"/>
      <c r="AP177" s="5"/>
      <c r="AQ177" s="5"/>
      <c r="AR177" s="5" t="s">
        <v>2197</v>
      </c>
      <c r="AS177" s="5"/>
      <c r="AT177" s="5"/>
      <c r="AU177" s="5"/>
      <c r="AV177" s="5"/>
      <c r="AW177" s="5" t="s">
        <v>2357</v>
      </c>
    </row>
    <row r="178" customFormat="false" ht="169.4" hidden="false" customHeight="false" outlineLevel="0" collapsed="false">
      <c r="A178" s="5" t="s">
        <v>2358</v>
      </c>
      <c r="B178" s="5" t="s">
        <v>2359</v>
      </c>
      <c r="C178" s="5" t="s">
        <v>2064</v>
      </c>
      <c r="D178" s="5" t="s">
        <v>2065</v>
      </c>
      <c r="E178" s="5" t="s">
        <v>600</v>
      </c>
      <c r="F178" s="5" t="s">
        <v>2360</v>
      </c>
      <c r="G178" s="5" t="s">
        <v>2361</v>
      </c>
      <c r="H178" s="5" t="n">
        <v>8</v>
      </c>
      <c r="I178" s="5" t="s">
        <v>152</v>
      </c>
      <c r="J178" s="5" t="s">
        <v>153</v>
      </c>
      <c r="K178" s="5" t="s">
        <v>2362</v>
      </c>
      <c r="L178" s="5" t="s">
        <v>30</v>
      </c>
      <c r="M178" s="5" t="s">
        <v>155</v>
      </c>
      <c r="N178" s="5" t="s">
        <v>2363</v>
      </c>
      <c r="O178" s="5" t="s">
        <v>157</v>
      </c>
      <c r="P178" s="5" t="s">
        <v>641</v>
      </c>
      <c r="Q178" s="5" t="s">
        <v>519</v>
      </c>
      <c r="R178" s="5" t="s">
        <v>2070</v>
      </c>
      <c r="S178" s="5" t="s">
        <v>2071</v>
      </c>
      <c r="T178" s="5" t="s">
        <v>162</v>
      </c>
      <c r="U178" s="5" t="n">
        <v>365</v>
      </c>
      <c r="V178" s="5" t="s">
        <v>2072</v>
      </c>
      <c r="W178" s="5" t="s">
        <v>2073</v>
      </c>
      <c r="X178" s="5" t="s">
        <v>2364</v>
      </c>
      <c r="Y178" s="5" t="s">
        <v>2365</v>
      </c>
      <c r="Z178" s="5" t="s">
        <v>2366</v>
      </c>
      <c r="AA178" s="5"/>
      <c r="AB178" s="5" t="s">
        <v>2367</v>
      </c>
      <c r="AC178" s="5"/>
      <c r="AD178" s="5"/>
      <c r="AE178" s="5"/>
      <c r="AF178" s="5" t="s">
        <v>2368</v>
      </c>
      <c r="AG178" s="5" t="s">
        <v>2368</v>
      </c>
      <c r="AH178" s="5" t="s">
        <v>2369</v>
      </c>
      <c r="AI178" s="5" t="s">
        <v>2130</v>
      </c>
      <c r="AJ178" s="5"/>
      <c r="AK178" s="5"/>
      <c r="AL178" s="5" t="s">
        <v>2368</v>
      </c>
      <c r="AM178" s="5"/>
      <c r="AN178" s="5"/>
      <c r="AO178" s="5"/>
      <c r="AP178" s="5"/>
      <c r="AQ178" s="5"/>
      <c r="AR178" s="5" t="s">
        <v>2197</v>
      </c>
      <c r="AS178" s="5"/>
      <c r="AT178" s="5"/>
      <c r="AU178" s="5"/>
      <c r="AV178" s="5" t="s">
        <v>178</v>
      </c>
      <c r="AW178" s="5" t="s">
        <v>2370</v>
      </c>
    </row>
    <row r="179" customFormat="false" ht="169.4" hidden="false" customHeight="false" outlineLevel="0" collapsed="false">
      <c r="A179" s="5" t="s">
        <v>2371</v>
      </c>
      <c r="B179" s="5" t="s">
        <v>2372</v>
      </c>
      <c r="C179" s="5" t="s">
        <v>2064</v>
      </c>
      <c r="D179" s="5" t="s">
        <v>2065</v>
      </c>
      <c r="E179" s="5" t="s">
        <v>600</v>
      </c>
      <c r="F179" s="5" t="s">
        <v>2373</v>
      </c>
      <c r="G179" s="5" t="s">
        <v>2374</v>
      </c>
      <c r="H179" s="5" t="n">
        <v>6</v>
      </c>
      <c r="I179" s="5" t="s">
        <v>603</v>
      </c>
      <c r="J179" s="5" t="s">
        <v>153</v>
      </c>
      <c r="K179" s="5"/>
      <c r="L179" s="5" t="s">
        <v>85</v>
      </c>
      <c r="M179" s="5" t="s">
        <v>185</v>
      </c>
      <c r="N179" s="5" t="s">
        <v>88</v>
      </c>
      <c r="O179" s="5" t="s">
        <v>214</v>
      </c>
      <c r="P179" s="5" t="s">
        <v>215</v>
      </c>
      <c r="Q179" s="5" t="s">
        <v>605</v>
      </c>
      <c r="R179" s="5" t="s">
        <v>2070</v>
      </c>
      <c r="S179" s="5" t="s">
        <v>2071</v>
      </c>
      <c r="T179" s="5" t="s">
        <v>606</v>
      </c>
      <c r="U179" s="5" t="n">
        <v>365</v>
      </c>
      <c r="V179" s="5" t="s">
        <v>2072</v>
      </c>
      <c r="W179" s="5" t="s">
        <v>2073</v>
      </c>
      <c r="X179" s="5" t="s">
        <v>2375</v>
      </c>
      <c r="Y179" s="5" t="s">
        <v>2376</v>
      </c>
      <c r="Z179" s="5" t="s">
        <v>2377</v>
      </c>
      <c r="AA179" s="5"/>
      <c r="AB179" s="5"/>
      <c r="AC179" s="5"/>
      <c r="AD179" s="5"/>
      <c r="AE179" s="5"/>
      <c r="AF179" s="5" t="s">
        <v>2378</v>
      </c>
      <c r="AG179" s="5"/>
      <c r="AH179" s="5"/>
      <c r="AI179" s="5"/>
      <c r="AJ179" s="5"/>
      <c r="AK179" s="5"/>
      <c r="AL179" s="5" t="s">
        <v>2378</v>
      </c>
      <c r="AM179" s="5"/>
      <c r="AN179" s="5"/>
      <c r="AO179" s="5"/>
      <c r="AP179" s="5"/>
      <c r="AQ179" s="5" t="s">
        <v>2217</v>
      </c>
      <c r="AR179" s="5" t="s">
        <v>2288</v>
      </c>
      <c r="AS179" s="5"/>
      <c r="AT179" s="5"/>
      <c r="AU179" s="5"/>
      <c r="AV179" s="5"/>
      <c r="AW179" s="5" t="s">
        <v>2198</v>
      </c>
    </row>
    <row r="180" customFormat="false" ht="169.4" hidden="false" customHeight="false" outlineLevel="0" collapsed="false">
      <c r="A180" s="5" t="s">
        <v>2379</v>
      </c>
      <c r="B180" s="5" t="s">
        <v>2380</v>
      </c>
      <c r="C180" s="5" t="s">
        <v>2064</v>
      </c>
      <c r="D180" s="5" t="s">
        <v>2065</v>
      </c>
      <c r="E180" s="5" t="s">
        <v>600</v>
      </c>
      <c r="F180" s="5" t="s">
        <v>2381</v>
      </c>
      <c r="G180" s="5" t="s">
        <v>2382</v>
      </c>
      <c r="H180" s="5" t="n">
        <v>5</v>
      </c>
      <c r="I180" s="5" t="s">
        <v>603</v>
      </c>
      <c r="J180" s="5" t="s">
        <v>557</v>
      </c>
      <c r="K180" s="5"/>
      <c r="L180" s="5" t="s">
        <v>30</v>
      </c>
      <c r="M180" s="5" t="s">
        <v>155</v>
      </c>
      <c r="N180" s="5" t="s">
        <v>2383</v>
      </c>
      <c r="O180" s="5" t="s">
        <v>570</v>
      </c>
      <c r="P180" s="5" t="s">
        <v>215</v>
      </c>
      <c r="Q180" s="5" t="s">
        <v>605</v>
      </c>
      <c r="R180" s="5" t="s">
        <v>2070</v>
      </c>
      <c r="S180" s="5" t="s">
        <v>2071</v>
      </c>
      <c r="T180" s="5" t="s">
        <v>606</v>
      </c>
      <c r="U180" s="5" t="n">
        <v>90</v>
      </c>
      <c r="V180" s="5" t="s">
        <v>2072</v>
      </c>
      <c r="W180" s="5" t="s">
        <v>2073</v>
      </c>
      <c r="X180" s="5" t="s">
        <v>2384</v>
      </c>
      <c r="Y180" s="5" t="s">
        <v>2385</v>
      </c>
      <c r="Z180" s="5" t="s">
        <v>2386</v>
      </c>
      <c r="AA180" s="5"/>
      <c r="AB180" s="5" t="s">
        <v>2387</v>
      </c>
      <c r="AC180" s="5"/>
      <c r="AD180" s="5" t="s">
        <v>2388</v>
      </c>
      <c r="AE180" s="5"/>
      <c r="AF180" s="5" t="s">
        <v>2389</v>
      </c>
      <c r="AG180" s="5"/>
      <c r="AH180" s="5"/>
      <c r="AI180" s="5"/>
      <c r="AJ180" s="5"/>
      <c r="AK180" s="5"/>
      <c r="AL180" s="5" t="s">
        <v>2389</v>
      </c>
      <c r="AM180" s="5"/>
      <c r="AN180" s="5"/>
      <c r="AO180" s="5"/>
      <c r="AP180" s="5"/>
      <c r="AQ180" s="5"/>
      <c r="AR180" s="5" t="s">
        <v>2197</v>
      </c>
      <c r="AS180" s="5"/>
      <c r="AT180" s="5"/>
      <c r="AU180" s="5"/>
      <c r="AV180" s="5"/>
      <c r="AW180" s="5" t="s">
        <v>2198</v>
      </c>
    </row>
    <row r="181" customFormat="false" ht="258.95" hidden="false" customHeight="false" outlineLevel="0" collapsed="false">
      <c r="A181" s="5" t="s">
        <v>2390</v>
      </c>
      <c r="B181" s="5" t="s">
        <v>2391</v>
      </c>
      <c r="C181" s="5" t="s">
        <v>2064</v>
      </c>
      <c r="D181" s="5" t="s">
        <v>2065</v>
      </c>
      <c r="E181" s="5" t="s">
        <v>600</v>
      </c>
      <c r="F181" s="5" t="s">
        <v>2392</v>
      </c>
      <c r="G181" s="5" t="s">
        <v>2393</v>
      </c>
      <c r="H181" s="5" t="n">
        <v>7</v>
      </c>
      <c r="I181" s="5" t="s">
        <v>603</v>
      </c>
      <c r="J181" s="5" t="s">
        <v>153</v>
      </c>
      <c r="K181" s="5"/>
      <c r="L181" s="5" t="s">
        <v>30</v>
      </c>
      <c r="M181" s="5" t="s">
        <v>155</v>
      </c>
      <c r="N181" s="5" t="s">
        <v>2394</v>
      </c>
      <c r="O181" s="5" t="s">
        <v>157</v>
      </c>
      <c r="P181" s="5" t="s">
        <v>158</v>
      </c>
      <c r="Q181" s="5" t="s">
        <v>605</v>
      </c>
      <c r="R181" s="5" t="s">
        <v>2070</v>
      </c>
      <c r="S181" s="5" t="s">
        <v>2071</v>
      </c>
      <c r="T181" s="5" t="s">
        <v>606</v>
      </c>
      <c r="U181" s="5" t="n">
        <v>365</v>
      </c>
      <c r="V181" s="5" t="s">
        <v>2072</v>
      </c>
      <c r="W181" s="5" t="s">
        <v>2073</v>
      </c>
      <c r="X181" s="5" t="s">
        <v>2395</v>
      </c>
      <c r="Y181" s="5" t="s">
        <v>2396</v>
      </c>
      <c r="Z181" s="5" t="s">
        <v>2397</v>
      </c>
      <c r="AA181" s="5"/>
      <c r="AB181" s="5"/>
      <c r="AC181" s="5"/>
      <c r="AD181" s="5"/>
      <c r="AE181" s="5"/>
      <c r="AF181" s="5" t="s">
        <v>2398</v>
      </c>
      <c r="AG181" s="5" t="s">
        <v>2398</v>
      </c>
      <c r="AH181" s="5"/>
      <c r="AI181" s="5"/>
      <c r="AJ181" s="5" t="s">
        <v>2399</v>
      </c>
      <c r="AK181" s="5"/>
      <c r="AL181" s="5" t="s">
        <v>2398</v>
      </c>
      <c r="AM181" s="5" t="s">
        <v>2400</v>
      </c>
      <c r="AN181" s="5" t="s">
        <v>2401</v>
      </c>
      <c r="AO181" s="5"/>
      <c r="AP181" s="5"/>
      <c r="AQ181" s="5"/>
      <c r="AR181" s="5" t="s">
        <v>2197</v>
      </c>
      <c r="AS181" s="5"/>
      <c r="AT181" s="5" t="s">
        <v>2402</v>
      </c>
      <c r="AU181" s="5"/>
      <c r="AV181" s="5" t="s">
        <v>178</v>
      </c>
      <c r="AW181" s="5" t="s">
        <v>2198</v>
      </c>
    </row>
    <row r="182" customFormat="false" ht="158.2" hidden="false" customHeight="false" outlineLevel="0" collapsed="false">
      <c r="A182" s="5" t="s">
        <v>2403</v>
      </c>
      <c r="B182" s="5" t="s">
        <v>2404</v>
      </c>
      <c r="C182" s="5" t="s">
        <v>2064</v>
      </c>
      <c r="D182" s="5" t="s">
        <v>2065</v>
      </c>
      <c r="E182" s="5" t="s">
        <v>600</v>
      </c>
      <c r="F182" s="5" t="s">
        <v>2405</v>
      </c>
      <c r="G182" s="5" t="s">
        <v>2406</v>
      </c>
      <c r="H182" s="5" t="n">
        <v>5</v>
      </c>
      <c r="I182" s="5" t="s">
        <v>603</v>
      </c>
      <c r="J182" s="5" t="s">
        <v>153</v>
      </c>
      <c r="K182" s="5"/>
      <c r="L182" s="5" t="s">
        <v>55</v>
      </c>
      <c r="M182" s="5" t="s">
        <v>185</v>
      </c>
      <c r="N182" s="5" t="s">
        <v>439</v>
      </c>
      <c r="O182" s="5" t="s">
        <v>187</v>
      </c>
      <c r="P182" s="5" t="s">
        <v>215</v>
      </c>
      <c r="Q182" s="5" t="s">
        <v>605</v>
      </c>
      <c r="R182" s="5" t="s">
        <v>2070</v>
      </c>
      <c r="S182" s="5" t="s">
        <v>2071</v>
      </c>
      <c r="T182" s="5" t="s">
        <v>606</v>
      </c>
      <c r="U182" s="5" t="n">
        <v>365</v>
      </c>
      <c r="V182" s="5" t="s">
        <v>2072</v>
      </c>
      <c r="W182" s="5" t="s">
        <v>2073</v>
      </c>
      <c r="X182" s="5" t="s">
        <v>2407</v>
      </c>
      <c r="Y182" s="5" t="s">
        <v>2408</v>
      </c>
      <c r="Z182" s="5" t="s">
        <v>2409</v>
      </c>
      <c r="AA182" s="5"/>
      <c r="AB182" s="5"/>
      <c r="AC182" s="5"/>
      <c r="AD182" s="5"/>
      <c r="AE182" s="5"/>
      <c r="AF182" s="5" t="s">
        <v>2410</v>
      </c>
      <c r="AG182" s="5"/>
      <c r="AH182" s="5"/>
      <c r="AI182" s="5"/>
      <c r="AJ182" s="5" t="s">
        <v>2411</v>
      </c>
      <c r="AK182" s="5"/>
      <c r="AL182" s="5" t="s">
        <v>2410</v>
      </c>
      <c r="AM182" s="5"/>
      <c r="AN182" s="5"/>
      <c r="AO182" s="5"/>
      <c r="AP182" s="5"/>
      <c r="AQ182" s="5"/>
      <c r="AR182" s="5" t="s">
        <v>1774</v>
      </c>
      <c r="AS182" s="5"/>
      <c r="AT182" s="5"/>
      <c r="AU182" s="5"/>
      <c r="AV182" s="5"/>
      <c r="AW182" s="5" t="s">
        <v>2198</v>
      </c>
    </row>
    <row r="183" customFormat="false" ht="124.6" hidden="false" customHeight="false" outlineLevel="0" collapsed="false">
      <c r="A183" s="5" t="s">
        <v>2254</v>
      </c>
      <c r="B183" s="5" t="s">
        <v>2412</v>
      </c>
      <c r="C183" s="5" t="s">
        <v>2064</v>
      </c>
      <c r="D183" s="5" t="s">
        <v>2065</v>
      </c>
      <c r="E183" s="5" t="s">
        <v>600</v>
      </c>
      <c r="F183" s="5" t="s">
        <v>2413</v>
      </c>
      <c r="G183" s="5" t="s">
        <v>2414</v>
      </c>
      <c r="H183" s="5" t="n">
        <v>10</v>
      </c>
      <c r="I183" s="5" t="s">
        <v>603</v>
      </c>
      <c r="J183" s="5" t="s">
        <v>153</v>
      </c>
      <c r="K183" s="5"/>
      <c r="L183" s="5" t="s">
        <v>30</v>
      </c>
      <c r="M183" s="5" t="s">
        <v>155</v>
      </c>
      <c r="N183" s="5" t="s">
        <v>2415</v>
      </c>
      <c r="O183" s="5" t="s">
        <v>570</v>
      </c>
      <c r="P183" s="5" t="s">
        <v>215</v>
      </c>
      <c r="Q183" s="5" t="s">
        <v>605</v>
      </c>
      <c r="R183" s="5" t="s">
        <v>2070</v>
      </c>
      <c r="S183" s="5" t="s">
        <v>2071</v>
      </c>
      <c r="T183" s="5" t="s">
        <v>606</v>
      </c>
      <c r="U183" s="5" t="n">
        <v>365</v>
      </c>
      <c r="V183" s="5" t="s">
        <v>2072</v>
      </c>
      <c r="W183" s="5" t="s">
        <v>2073</v>
      </c>
      <c r="X183" s="5" t="s">
        <v>2416</v>
      </c>
      <c r="Y183" s="5" t="s">
        <v>2417</v>
      </c>
      <c r="Z183" s="5" t="s">
        <v>2418</v>
      </c>
      <c r="AA183" s="5"/>
      <c r="AB183" s="5" t="s">
        <v>2419</v>
      </c>
      <c r="AC183" s="5"/>
      <c r="AD183" s="5" t="s">
        <v>2420</v>
      </c>
      <c r="AE183" s="5"/>
      <c r="AF183" s="5" t="s">
        <v>2421</v>
      </c>
      <c r="AG183" s="5" t="s">
        <v>2421</v>
      </c>
      <c r="AH183" s="5"/>
      <c r="AI183" s="5"/>
      <c r="AJ183" s="5"/>
      <c r="AK183" s="5"/>
      <c r="AL183" s="5" t="s">
        <v>2421</v>
      </c>
      <c r="AM183" s="5"/>
      <c r="AN183" s="5"/>
      <c r="AO183" s="5"/>
      <c r="AP183" s="5"/>
      <c r="AQ183" s="5" t="s">
        <v>2421</v>
      </c>
      <c r="AR183" s="5" t="s">
        <v>2197</v>
      </c>
      <c r="AS183" s="5"/>
      <c r="AT183" s="5"/>
      <c r="AU183" s="5"/>
      <c r="AV183" s="5" t="s">
        <v>178</v>
      </c>
      <c r="AW183" s="5" t="s">
        <v>1664</v>
      </c>
    </row>
    <row r="184" customFormat="false" ht="202.95" hidden="false" customHeight="false" outlineLevel="0" collapsed="false">
      <c r="A184" s="5" t="s">
        <v>2422</v>
      </c>
      <c r="B184" s="5" t="s">
        <v>2423</v>
      </c>
      <c r="C184" s="5" t="s">
        <v>2064</v>
      </c>
      <c r="D184" s="5" t="s">
        <v>2065</v>
      </c>
      <c r="E184" s="5" t="s">
        <v>600</v>
      </c>
      <c r="F184" s="5" t="s">
        <v>2424</v>
      </c>
      <c r="G184" s="5" t="s">
        <v>2425</v>
      </c>
      <c r="H184" s="5" t="n">
        <v>8</v>
      </c>
      <c r="I184" s="5" t="s">
        <v>603</v>
      </c>
      <c r="J184" s="5" t="s">
        <v>153</v>
      </c>
      <c r="K184" s="5"/>
      <c r="L184" s="5" t="s">
        <v>30</v>
      </c>
      <c r="M184" s="5" t="s">
        <v>155</v>
      </c>
      <c r="N184" s="5" t="s">
        <v>2426</v>
      </c>
      <c r="O184" s="5" t="s">
        <v>570</v>
      </c>
      <c r="P184" s="5" t="s">
        <v>641</v>
      </c>
      <c r="Q184" s="5" t="s">
        <v>519</v>
      </c>
      <c r="R184" s="5" t="s">
        <v>2070</v>
      </c>
      <c r="S184" s="5" t="s">
        <v>2071</v>
      </c>
      <c r="T184" s="5" t="s">
        <v>606</v>
      </c>
      <c r="U184" s="5" t="n">
        <v>365</v>
      </c>
      <c r="V184" s="5" t="s">
        <v>2072</v>
      </c>
      <c r="W184" s="5" t="s">
        <v>2073</v>
      </c>
      <c r="X184" s="5" t="s">
        <v>2427</v>
      </c>
      <c r="Y184" s="5" t="s">
        <v>2428</v>
      </c>
      <c r="Z184" s="5" t="s">
        <v>2429</v>
      </c>
      <c r="AA184" s="5"/>
      <c r="AB184" s="5"/>
      <c r="AC184" s="5"/>
      <c r="AD184" s="5" t="s">
        <v>2430</v>
      </c>
      <c r="AE184" s="5"/>
      <c r="AF184" s="5" t="s">
        <v>2431</v>
      </c>
      <c r="AG184" s="5" t="s">
        <v>2432</v>
      </c>
      <c r="AH184" s="5"/>
      <c r="AI184" s="5"/>
      <c r="AJ184" s="5"/>
      <c r="AK184" s="5"/>
      <c r="AL184" s="5" t="s">
        <v>2431</v>
      </c>
      <c r="AM184" s="5"/>
      <c r="AN184" s="5"/>
      <c r="AO184" s="5"/>
      <c r="AP184" s="5"/>
      <c r="AQ184" s="5"/>
      <c r="AR184" s="5" t="s">
        <v>646</v>
      </c>
      <c r="AS184" s="5"/>
      <c r="AT184" s="5"/>
      <c r="AU184" s="5"/>
      <c r="AV184" s="5" t="s">
        <v>178</v>
      </c>
      <c r="AW184" s="5" t="s">
        <v>1664</v>
      </c>
    </row>
    <row r="185" customFormat="false" ht="191.75" hidden="false" customHeight="false" outlineLevel="0" collapsed="false">
      <c r="A185" s="5" t="s">
        <v>2163</v>
      </c>
      <c r="B185" s="5" t="s">
        <v>2433</v>
      </c>
      <c r="C185" s="5" t="s">
        <v>2064</v>
      </c>
      <c r="D185" s="5" t="s">
        <v>2065</v>
      </c>
      <c r="E185" s="5" t="s">
        <v>600</v>
      </c>
      <c r="F185" s="5" t="s">
        <v>2434</v>
      </c>
      <c r="G185" s="5" t="s">
        <v>2435</v>
      </c>
      <c r="H185" s="5" t="n">
        <v>10</v>
      </c>
      <c r="I185" s="5" t="s">
        <v>1221</v>
      </c>
      <c r="J185" s="5" t="s">
        <v>153</v>
      </c>
      <c r="K185" s="5"/>
      <c r="L185" s="5" t="s">
        <v>30</v>
      </c>
      <c r="M185" s="5" t="s">
        <v>155</v>
      </c>
      <c r="N185" s="5" t="s">
        <v>2436</v>
      </c>
      <c r="O185" s="5" t="s">
        <v>570</v>
      </c>
      <c r="P185" s="5" t="s">
        <v>641</v>
      </c>
      <c r="Q185" s="5" t="s">
        <v>519</v>
      </c>
      <c r="R185" s="5" t="s">
        <v>2070</v>
      </c>
      <c r="S185" s="5" t="s">
        <v>2071</v>
      </c>
      <c r="T185" s="5" t="s">
        <v>277</v>
      </c>
      <c r="U185" s="5" t="n">
        <v>365</v>
      </c>
      <c r="V185" s="5" t="s">
        <v>2072</v>
      </c>
      <c r="W185" s="5" t="s">
        <v>2073</v>
      </c>
      <c r="X185" s="5" t="s">
        <v>2437</v>
      </c>
      <c r="Y185" s="5" t="s">
        <v>2438</v>
      </c>
      <c r="Z185" s="5" t="s">
        <v>2439</v>
      </c>
      <c r="AA185" s="5" t="s">
        <v>2440</v>
      </c>
      <c r="AB185" s="5" t="s">
        <v>2441</v>
      </c>
      <c r="AC185" s="5"/>
      <c r="AD185" s="5" t="s">
        <v>2442</v>
      </c>
      <c r="AE185" s="5"/>
      <c r="AF185" s="5" t="s">
        <v>2443</v>
      </c>
      <c r="AG185" s="5" t="s">
        <v>2443</v>
      </c>
      <c r="AH185" s="5"/>
      <c r="AI185" s="5" t="s">
        <v>2444</v>
      </c>
      <c r="AJ185" s="5"/>
      <c r="AK185" s="5"/>
      <c r="AL185" s="5" t="s">
        <v>2443</v>
      </c>
      <c r="AM185" s="5"/>
      <c r="AN185" s="5"/>
      <c r="AO185" s="5" t="s">
        <v>2445</v>
      </c>
      <c r="AP185" s="5"/>
      <c r="AQ185" s="5"/>
      <c r="AR185" s="5" t="s">
        <v>2197</v>
      </c>
      <c r="AS185" s="5"/>
      <c r="AT185" s="5" t="s">
        <v>2152</v>
      </c>
      <c r="AU185" s="5"/>
      <c r="AV185" s="5" t="s">
        <v>178</v>
      </c>
      <c r="AW185" s="5" t="s">
        <v>2329</v>
      </c>
    </row>
    <row r="186" customFormat="false" ht="158.2" hidden="false" customHeight="false" outlineLevel="0" collapsed="false">
      <c r="A186" s="5" t="s">
        <v>2446</v>
      </c>
      <c r="B186" s="5" t="s">
        <v>2447</v>
      </c>
      <c r="C186" s="5" t="s">
        <v>2064</v>
      </c>
      <c r="D186" s="5" t="s">
        <v>2065</v>
      </c>
      <c r="E186" s="5" t="s">
        <v>600</v>
      </c>
      <c r="F186" s="5" t="s">
        <v>2448</v>
      </c>
      <c r="G186" s="5" t="s">
        <v>2449</v>
      </c>
      <c r="H186" s="5" t="n">
        <v>5</v>
      </c>
      <c r="I186" s="5" t="s">
        <v>603</v>
      </c>
      <c r="J186" s="5" t="s">
        <v>153</v>
      </c>
      <c r="K186" s="5"/>
      <c r="L186" s="5" t="s">
        <v>30</v>
      </c>
      <c r="M186" s="5" t="s">
        <v>155</v>
      </c>
      <c r="N186" s="5" t="s">
        <v>2450</v>
      </c>
      <c r="O186" s="5" t="s">
        <v>570</v>
      </c>
      <c r="P186" s="5" t="s">
        <v>215</v>
      </c>
      <c r="Q186" s="5" t="s">
        <v>605</v>
      </c>
      <c r="R186" s="5" t="s">
        <v>2070</v>
      </c>
      <c r="S186" s="5" t="s">
        <v>2071</v>
      </c>
      <c r="T186" s="5" t="s">
        <v>606</v>
      </c>
      <c r="U186" s="5" t="n">
        <v>365</v>
      </c>
      <c r="V186" s="5" t="s">
        <v>2072</v>
      </c>
      <c r="W186" s="5" t="s">
        <v>2073</v>
      </c>
      <c r="X186" s="5" t="s">
        <v>2451</v>
      </c>
      <c r="Y186" s="5" t="s">
        <v>2452</v>
      </c>
      <c r="Z186" s="5" t="s">
        <v>2453</v>
      </c>
      <c r="AA186" s="5"/>
      <c r="AB186" s="5"/>
      <c r="AC186" s="5"/>
      <c r="AD186" s="5"/>
      <c r="AE186" s="5"/>
      <c r="AF186" s="5" t="s">
        <v>2454</v>
      </c>
      <c r="AG186" s="5" t="s">
        <v>2455</v>
      </c>
      <c r="AH186" s="5"/>
      <c r="AI186" s="5" t="s">
        <v>2444</v>
      </c>
      <c r="AJ186" s="5"/>
      <c r="AK186" s="5"/>
      <c r="AL186" s="5" t="s">
        <v>2454</v>
      </c>
      <c r="AM186" s="5"/>
      <c r="AN186" s="5"/>
      <c r="AO186" s="5" t="s">
        <v>2456</v>
      </c>
      <c r="AP186" s="5"/>
      <c r="AQ186" s="5"/>
      <c r="AR186" s="5" t="s">
        <v>2197</v>
      </c>
      <c r="AS186" s="5"/>
      <c r="AT186" s="5"/>
      <c r="AU186" s="5"/>
      <c r="AV186" s="5" t="s">
        <v>178</v>
      </c>
      <c r="AW186" s="5" t="s">
        <v>2198</v>
      </c>
    </row>
    <row r="187" customFormat="false" ht="147" hidden="false" customHeight="false" outlineLevel="0" collapsed="false">
      <c r="A187" s="5" t="s">
        <v>2457</v>
      </c>
      <c r="B187" s="5" t="s">
        <v>2458</v>
      </c>
      <c r="C187" s="5" t="s">
        <v>2064</v>
      </c>
      <c r="D187" s="5" t="s">
        <v>2065</v>
      </c>
      <c r="E187" s="5" t="s">
        <v>600</v>
      </c>
      <c r="F187" s="5" t="s">
        <v>2459</v>
      </c>
      <c r="G187" s="5" t="s">
        <v>2460</v>
      </c>
      <c r="H187" s="5" t="n">
        <v>8</v>
      </c>
      <c r="I187" s="5" t="s">
        <v>603</v>
      </c>
      <c r="J187" s="5" t="s">
        <v>153</v>
      </c>
      <c r="K187" s="5"/>
      <c r="L187" s="5" t="s">
        <v>30</v>
      </c>
      <c r="M187" s="5" t="s">
        <v>155</v>
      </c>
      <c r="N187" s="5" t="s">
        <v>2461</v>
      </c>
      <c r="O187" s="5" t="s">
        <v>570</v>
      </c>
      <c r="P187" s="5" t="s">
        <v>641</v>
      </c>
      <c r="Q187" s="5" t="s">
        <v>519</v>
      </c>
      <c r="R187" s="5" t="s">
        <v>2070</v>
      </c>
      <c r="S187" s="5" t="s">
        <v>2071</v>
      </c>
      <c r="T187" s="5" t="s">
        <v>606</v>
      </c>
      <c r="U187" s="5" t="n">
        <v>365</v>
      </c>
      <c r="V187" s="5" t="s">
        <v>2072</v>
      </c>
      <c r="W187" s="5" t="s">
        <v>2073</v>
      </c>
      <c r="X187" s="5" t="s">
        <v>2462</v>
      </c>
      <c r="Y187" s="5" t="s">
        <v>2463</v>
      </c>
      <c r="Z187" s="5" t="s">
        <v>2464</v>
      </c>
      <c r="AA187" s="5"/>
      <c r="AB187" s="5" t="s">
        <v>2465</v>
      </c>
      <c r="AC187" s="5"/>
      <c r="AD187" s="5" t="s">
        <v>2466</v>
      </c>
      <c r="AE187" s="5"/>
      <c r="AF187" s="5" t="s">
        <v>2467</v>
      </c>
      <c r="AG187" s="5" t="s">
        <v>2467</v>
      </c>
      <c r="AH187" s="5"/>
      <c r="AI187" s="5" t="s">
        <v>2444</v>
      </c>
      <c r="AJ187" s="5"/>
      <c r="AK187" s="5"/>
      <c r="AL187" s="5" t="s">
        <v>2467</v>
      </c>
      <c r="AM187" s="5" t="s">
        <v>2467</v>
      </c>
      <c r="AN187" s="5"/>
      <c r="AO187" s="5" t="s">
        <v>2445</v>
      </c>
      <c r="AP187" s="5"/>
      <c r="AQ187" s="5"/>
      <c r="AR187" s="5" t="s">
        <v>2197</v>
      </c>
      <c r="AS187" s="5"/>
      <c r="AT187" s="5"/>
      <c r="AU187" s="5"/>
      <c r="AV187" s="5" t="s">
        <v>178</v>
      </c>
      <c r="AW187" s="5" t="s">
        <v>2329</v>
      </c>
    </row>
    <row r="188" customFormat="false" ht="113.4" hidden="false" customHeight="false" outlineLevel="0" collapsed="false">
      <c r="A188" s="5" t="s">
        <v>2468</v>
      </c>
      <c r="B188" s="5" t="s">
        <v>2469</v>
      </c>
      <c r="C188" s="5" t="s">
        <v>2064</v>
      </c>
      <c r="D188" s="5" t="s">
        <v>2065</v>
      </c>
      <c r="E188" s="5" t="s">
        <v>626</v>
      </c>
      <c r="F188" s="5" t="s">
        <v>2470</v>
      </c>
      <c r="G188" s="5" t="s">
        <v>2471</v>
      </c>
      <c r="H188" s="5" t="n">
        <v>5</v>
      </c>
      <c r="I188" s="5" t="s">
        <v>603</v>
      </c>
      <c r="J188" s="5" t="s">
        <v>153</v>
      </c>
      <c r="K188" s="5"/>
      <c r="L188" s="5" t="s">
        <v>68</v>
      </c>
      <c r="M188" s="5" t="s">
        <v>185</v>
      </c>
      <c r="N188" s="5" t="s">
        <v>72</v>
      </c>
      <c r="O188" s="5" t="s">
        <v>666</v>
      </c>
      <c r="P188" s="5" t="s">
        <v>215</v>
      </c>
      <c r="Q188" s="5" t="s">
        <v>605</v>
      </c>
      <c r="R188" s="5" t="s">
        <v>2070</v>
      </c>
      <c r="S188" s="5" t="s">
        <v>2071</v>
      </c>
      <c r="T188" s="5" t="s">
        <v>606</v>
      </c>
      <c r="U188" s="5" t="n">
        <v>365</v>
      </c>
      <c r="V188" s="5" t="s">
        <v>2072</v>
      </c>
      <c r="W188" s="5" t="s">
        <v>2073</v>
      </c>
      <c r="X188" s="5" t="s">
        <v>2472</v>
      </c>
      <c r="Y188" s="5" t="s">
        <v>2473</v>
      </c>
      <c r="Z188" s="5" t="s">
        <v>2474</v>
      </c>
      <c r="AA188" s="5"/>
      <c r="AB188" s="5"/>
      <c r="AC188" s="5"/>
      <c r="AD188" s="5"/>
      <c r="AE188" s="5"/>
      <c r="AF188" s="5" t="s">
        <v>2475</v>
      </c>
      <c r="AG188" s="5"/>
      <c r="AH188" s="5"/>
      <c r="AI188" s="5"/>
      <c r="AJ188" s="5"/>
      <c r="AK188" s="5"/>
      <c r="AL188" s="5" t="s">
        <v>2475</v>
      </c>
      <c r="AM188" s="5"/>
      <c r="AN188" s="5"/>
      <c r="AO188" s="5" t="s">
        <v>2358</v>
      </c>
      <c r="AP188" s="5"/>
      <c r="AQ188" s="5"/>
      <c r="AR188" s="5" t="s">
        <v>2197</v>
      </c>
      <c r="AS188" s="5"/>
      <c r="AT188" s="5"/>
      <c r="AU188" s="5"/>
      <c r="AV188" s="5" t="s">
        <v>178</v>
      </c>
      <c r="AW188" s="5" t="s">
        <v>1664</v>
      </c>
    </row>
    <row r="189" customFormat="false" ht="124.6" hidden="false" customHeight="false" outlineLevel="0" collapsed="false">
      <c r="A189" s="5" t="s">
        <v>2476</v>
      </c>
      <c r="B189" s="5" t="s">
        <v>2477</v>
      </c>
      <c r="C189" s="5" t="s">
        <v>2064</v>
      </c>
      <c r="D189" s="5" t="s">
        <v>2065</v>
      </c>
      <c r="E189" s="5" t="s">
        <v>626</v>
      </c>
      <c r="F189" s="5" t="s">
        <v>2478</v>
      </c>
      <c r="G189" s="5" t="s">
        <v>2479</v>
      </c>
      <c r="H189" s="5" t="n">
        <v>8</v>
      </c>
      <c r="I189" s="5" t="s">
        <v>603</v>
      </c>
      <c r="J189" s="5" t="s">
        <v>153</v>
      </c>
      <c r="K189" s="5"/>
      <c r="L189" s="5" t="s">
        <v>30</v>
      </c>
      <c r="M189" s="5" t="s">
        <v>155</v>
      </c>
      <c r="N189" s="5" t="s">
        <v>2383</v>
      </c>
      <c r="O189" s="5" t="s">
        <v>570</v>
      </c>
      <c r="P189" s="5" t="s">
        <v>215</v>
      </c>
      <c r="Q189" s="5" t="s">
        <v>605</v>
      </c>
      <c r="R189" s="5" t="s">
        <v>2070</v>
      </c>
      <c r="S189" s="5" t="s">
        <v>2071</v>
      </c>
      <c r="T189" s="5" t="s">
        <v>606</v>
      </c>
      <c r="U189" s="5" t="n">
        <v>365</v>
      </c>
      <c r="V189" s="5" t="s">
        <v>2072</v>
      </c>
      <c r="W189" s="5" t="s">
        <v>2073</v>
      </c>
      <c r="X189" s="5" t="s">
        <v>2480</v>
      </c>
      <c r="Y189" s="5" t="s">
        <v>2481</v>
      </c>
      <c r="Z189" s="5" t="s">
        <v>2482</v>
      </c>
      <c r="AA189" s="5"/>
      <c r="AB189" s="5" t="s">
        <v>2483</v>
      </c>
      <c r="AC189" s="5"/>
      <c r="AD189" s="5" t="s">
        <v>2484</v>
      </c>
      <c r="AE189" s="5"/>
      <c r="AF189" s="5" t="s">
        <v>2485</v>
      </c>
      <c r="AG189" s="5"/>
      <c r="AH189" s="5"/>
      <c r="AI189" s="5"/>
      <c r="AJ189" s="5"/>
      <c r="AK189" s="5"/>
      <c r="AL189" s="5" t="s">
        <v>2485</v>
      </c>
      <c r="AM189" s="5"/>
      <c r="AN189" s="5"/>
      <c r="AO189" s="5"/>
      <c r="AP189" s="5"/>
      <c r="AQ189" s="5"/>
      <c r="AR189" s="5" t="s">
        <v>2197</v>
      </c>
      <c r="AS189" s="5"/>
      <c r="AT189" s="5"/>
      <c r="AU189" s="5"/>
      <c r="AV189" s="5"/>
      <c r="AW189" s="5" t="s">
        <v>1664</v>
      </c>
    </row>
    <row r="190" customFormat="false" ht="158.2" hidden="false" customHeight="false" outlineLevel="0" collapsed="false">
      <c r="A190" s="5" t="s">
        <v>2486</v>
      </c>
      <c r="B190" s="5" t="s">
        <v>2487</v>
      </c>
      <c r="C190" s="5" t="s">
        <v>2064</v>
      </c>
      <c r="D190" s="5" t="s">
        <v>2065</v>
      </c>
      <c r="E190" s="5" t="s">
        <v>600</v>
      </c>
      <c r="F190" s="5" t="s">
        <v>2488</v>
      </c>
      <c r="G190" s="5" t="s">
        <v>2489</v>
      </c>
      <c r="H190" s="5" t="n">
        <v>10</v>
      </c>
      <c r="I190" s="5" t="s">
        <v>1221</v>
      </c>
      <c r="J190" s="5" t="s">
        <v>652</v>
      </c>
      <c r="K190" s="5" t="s">
        <v>2490</v>
      </c>
      <c r="L190" s="5" t="s">
        <v>30</v>
      </c>
      <c r="M190" s="5" t="s">
        <v>155</v>
      </c>
      <c r="N190" s="5" t="s">
        <v>2491</v>
      </c>
      <c r="O190" s="5" t="s">
        <v>157</v>
      </c>
      <c r="P190" s="5" t="s">
        <v>158</v>
      </c>
      <c r="Q190" s="5" t="s">
        <v>519</v>
      </c>
      <c r="R190" s="5" t="s">
        <v>2070</v>
      </c>
      <c r="S190" s="5" t="s">
        <v>2071</v>
      </c>
      <c r="T190" s="5" t="s">
        <v>277</v>
      </c>
      <c r="U190" s="5" t="n">
        <v>180</v>
      </c>
      <c r="V190" s="5" t="s">
        <v>2072</v>
      </c>
      <c r="W190" s="5" t="s">
        <v>2073</v>
      </c>
      <c r="X190" s="5" t="s">
        <v>2492</v>
      </c>
      <c r="Y190" s="5" t="s">
        <v>2493</v>
      </c>
      <c r="Z190" s="5" t="s">
        <v>2494</v>
      </c>
      <c r="AA190" s="5" t="s">
        <v>2143</v>
      </c>
      <c r="AB190" s="5"/>
      <c r="AC190" s="5"/>
      <c r="AD190" s="5"/>
      <c r="AE190" s="5"/>
      <c r="AF190" s="5" t="s">
        <v>2495</v>
      </c>
      <c r="AG190" s="5" t="s">
        <v>2495</v>
      </c>
      <c r="AH190" s="5" t="s">
        <v>2496</v>
      </c>
      <c r="AI190" s="5" t="s">
        <v>2444</v>
      </c>
      <c r="AJ190" s="5"/>
      <c r="AK190" s="5"/>
      <c r="AL190" s="5" t="s">
        <v>2495</v>
      </c>
      <c r="AM190" s="5"/>
      <c r="AN190" s="5"/>
      <c r="AO190" s="5"/>
      <c r="AP190" s="5"/>
      <c r="AQ190" s="5" t="s">
        <v>2495</v>
      </c>
      <c r="AR190" s="5" t="s">
        <v>2197</v>
      </c>
      <c r="AS190" s="5"/>
      <c r="AT190" s="5"/>
      <c r="AU190" s="5"/>
      <c r="AV190" s="5" t="s">
        <v>178</v>
      </c>
      <c r="AW190" s="5" t="s">
        <v>2497</v>
      </c>
    </row>
    <row r="191" customFormat="false" ht="158.2" hidden="false" customHeight="false" outlineLevel="0" collapsed="false">
      <c r="A191" s="5" t="s">
        <v>2498</v>
      </c>
      <c r="B191" s="5" t="s">
        <v>2499</v>
      </c>
      <c r="C191" s="5" t="s">
        <v>2064</v>
      </c>
      <c r="D191" s="5" t="s">
        <v>2065</v>
      </c>
      <c r="E191" s="5" t="s">
        <v>600</v>
      </c>
      <c r="F191" s="5" t="s">
        <v>2500</v>
      </c>
      <c r="G191" s="5" t="s">
        <v>2501</v>
      </c>
      <c r="H191" s="5" t="n">
        <v>5</v>
      </c>
      <c r="I191" s="5" t="s">
        <v>603</v>
      </c>
      <c r="J191" s="5" t="s">
        <v>557</v>
      </c>
      <c r="K191" s="5"/>
      <c r="L191" s="5" t="s">
        <v>85</v>
      </c>
      <c r="M191" s="5" t="s">
        <v>185</v>
      </c>
      <c r="N191" s="5" t="s">
        <v>88</v>
      </c>
      <c r="O191" s="5" t="s">
        <v>214</v>
      </c>
      <c r="P191" s="5" t="s">
        <v>215</v>
      </c>
      <c r="Q191" s="5" t="s">
        <v>605</v>
      </c>
      <c r="R191" s="5" t="s">
        <v>2070</v>
      </c>
      <c r="S191" s="5" t="s">
        <v>2071</v>
      </c>
      <c r="T191" s="5" t="s">
        <v>606</v>
      </c>
      <c r="U191" s="5" t="n">
        <v>90</v>
      </c>
      <c r="V191" s="5" t="s">
        <v>2072</v>
      </c>
      <c r="W191" s="5" t="s">
        <v>2073</v>
      </c>
      <c r="X191" s="5" t="s">
        <v>2502</v>
      </c>
      <c r="Y191" s="5" t="s">
        <v>2503</v>
      </c>
      <c r="Z191" s="5" t="s">
        <v>2504</v>
      </c>
      <c r="AA191" s="5"/>
      <c r="AB191" s="5"/>
      <c r="AC191" s="5"/>
      <c r="AD191" s="5"/>
      <c r="AE191" s="5"/>
      <c r="AF191" s="5" t="s">
        <v>2505</v>
      </c>
      <c r="AG191" s="5"/>
      <c r="AH191" s="5"/>
      <c r="AI191" s="5"/>
      <c r="AJ191" s="5"/>
      <c r="AK191" s="5"/>
      <c r="AL191" s="5" t="s">
        <v>2505</v>
      </c>
      <c r="AM191" s="5"/>
      <c r="AN191" s="5"/>
      <c r="AO191" s="5"/>
      <c r="AP191" s="5"/>
      <c r="AQ191" s="5" t="s">
        <v>2505</v>
      </c>
      <c r="AR191" s="5" t="s">
        <v>1294</v>
      </c>
      <c r="AS191" s="5"/>
      <c r="AT191" s="5"/>
      <c r="AU191" s="5"/>
      <c r="AV191" s="5"/>
      <c r="AW191" s="5" t="s">
        <v>2506</v>
      </c>
    </row>
    <row r="192" customFormat="false" ht="191.75" hidden="false" customHeight="false" outlineLevel="0" collapsed="false">
      <c r="A192" s="5" t="s">
        <v>2507</v>
      </c>
      <c r="B192" s="5" t="s">
        <v>2508</v>
      </c>
      <c r="C192" s="5" t="s">
        <v>2064</v>
      </c>
      <c r="D192" s="5" t="s">
        <v>2065</v>
      </c>
      <c r="E192" s="5" t="s">
        <v>600</v>
      </c>
      <c r="F192" s="5" t="s">
        <v>2509</v>
      </c>
      <c r="G192" s="5" t="s">
        <v>2510</v>
      </c>
      <c r="H192" s="5" t="n">
        <v>5</v>
      </c>
      <c r="I192" s="5" t="s">
        <v>603</v>
      </c>
      <c r="J192" s="5" t="s">
        <v>557</v>
      </c>
      <c r="K192" s="5"/>
      <c r="L192" s="5" t="s">
        <v>30</v>
      </c>
      <c r="M192" s="5" t="s">
        <v>155</v>
      </c>
      <c r="N192" s="5" t="s">
        <v>124</v>
      </c>
      <c r="O192" s="5" t="s">
        <v>157</v>
      </c>
      <c r="P192" s="5" t="s">
        <v>215</v>
      </c>
      <c r="Q192" s="5" t="s">
        <v>605</v>
      </c>
      <c r="R192" s="5" t="s">
        <v>2070</v>
      </c>
      <c r="S192" s="5" t="s">
        <v>2071</v>
      </c>
      <c r="T192" s="5" t="s">
        <v>606</v>
      </c>
      <c r="U192" s="5" t="n">
        <v>90</v>
      </c>
      <c r="V192" s="5" t="s">
        <v>2072</v>
      </c>
      <c r="W192" s="5" t="s">
        <v>2073</v>
      </c>
      <c r="X192" s="5" t="s">
        <v>2511</v>
      </c>
      <c r="Y192" s="5" t="s">
        <v>2512</v>
      </c>
      <c r="Z192" s="5" t="s">
        <v>2513</v>
      </c>
      <c r="AA192" s="5" t="s">
        <v>2128</v>
      </c>
      <c r="AB192" s="5"/>
      <c r="AC192" s="5"/>
      <c r="AD192" s="5"/>
      <c r="AE192" s="5"/>
      <c r="AF192" s="5" t="s">
        <v>2514</v>
      </c>
      <c r="AG192" s="5"/>
      <c r="AH192" s="5"/>
      <c r="AI192" s="5"/>
      <c r="AJ192" s="5"/>
      <c r="AK192" s="5"/>
      <c r="AL192" s="5" t="s">
        <v>2514</v>
      </c>
      <c r="AM192" s="5"/>
      <c r="AN192" s="5"/>
      <c r="AO192" s="5"/>
      <c r="AP192" s="5"/>
      <c r="AQ192" s="5"/>
      <c r="AR192" s="5" t="s">
        <v>1294</v>
      </c>
      <c r="AS192" s="5"/>
      <c r="AT192" s="5"/>
      <c r="AU192" s="5"/>
      <c r="AV192" s="5"/>
      <c r="AW192" s="5" t="s">
        <v>2515</v>
      </c>
    </row>
    <row r="193" customFormat="false" ht="202.95" hidden="false" customHeight="false" outlineLevel="0" collapsed="false">
      <c r="A193" s="5" t="s">
        <v>2516</v>
      </c>
      <c r="B193" s="5" t="s">
        <v>2517</v>
      </c>
      <c r="C193" s="5" t="s">
        <v>2064</v>
      </c>
      <c r="D193" s="5" t="s">
        <v>2065</v>
      </c>
      <c r="E193" s="5" t="s">
        <v>600</v>
      </c>
      <c r="F193" s="5" t="s">
        <v>2518</v>
      </c>
      <c r="G193" s="5" t="s">
        <v>2519</v>
      </c>
      <c r="H193" s="5" t="n">
        <v>5</v>
      </c>
      <c r="I193" s="5" t="s">
        <v>603</v>
      </c>
      <c r="J193" s="5" t="s">
        <v>557</v>
      </c>
      <c r="K193" s="5" t="s">
        <v>2520</v>
      </c>
      <c r="L193" s="5" t="s">
        <v>55</v>
      </c>
      <c r="M193" s="5" t="s">
        <v>185</v>
      </c>
      <c r="N193" s="5" t="s">
        <v>2521</v>
      </c>
      <c r="O193" s="5" t="s">
        <v>666</v>
      </c>
      <c r="P193" s="5" t="s">
        <v>215</v>
      </c>
      <c r="Q193" s="5" t="s">
        <v>605</v>
      </c>
      <c r="R193" s="5" t="s">
        <v>2070</v>
      </c>
      <c r="S193" s="5" t="s">
        <v>2071</v>
      </c>
      <c r="T193" s="5" t="s">
        <v>606</v>
      </c>
      <c r="U193" s="5" t="n">
        <v>90</v>
      </c>
      <c r="V193" s="5" t="s">
        <v>2072</v>
      </c>
      <c r="W193" s="5" t="s">
        <v>2073</v>
      </c>
      <c r="X193" s="5" t="s">
        <v>2522</v>
      </c>
      <c r="Y193" s="5" t="s">
        <v>2523</v>
      </c>
      <c r="Z193" s="5" t="s">
        <v>2524</v>
      </c>
      <c r="AA193" s="5"/>
      <c r="AB193" s="5"/>
      <c r="AC193" s="5"/>
      <c r="AD193" s="5"/>
      <c r="AE193" s="5"/>
      <c r="AF193" s="5" t="s">
        <v>2177</v>
      </c>
      <c r="AG193" s="5"/>
      <c r="AH193" s="5"/>
      <c r="AI193" s="5"/>
      <c r="AJ193" s="5" t="s">
        <v>2525</v>
      </c>
      <c r="AK193" s="5" t="s">
        <v>2526</v>
      </c>
      <c r="AL193" s="5" t="s">
        <v>2177</v>
      </c>
      <c r="AM193" s="5"/>
      <c r="AN193" s="5"/>
      <c r="AO193" s="5" t="s">
        <v>2527</v>
      </c>
      <c r="AP193" s="5"/>
      <c r="AQ193" s="5" t="s">
        <v>2177</v>
      </c>
      <c r="AR193" s="5" t="s">
        <v>1294</v>
      </c>
      <c r="AS193" s="5"/>
      <c r="AT193" s="5" t="s">
        <v>2528</v>
      </c>
      <c r="AU193" s="5"/>
      <c r="AV193" s="5" t="s">
        <v>178</v>
      </c>
      <c r="AW193" s="5" t="s">
        <v>2515</v>
      </c>
    </row>
    <row r="194" customFormat="false" ht="214.15" hidden="false" customHeight="false" outlineLevel="0" collapsed="false">
      <c r="A194" s="5" t="s">
        <v>2529</v>
      </c>
      <c r="B194" s="5" t="s">
        <v>2530</v>
      </c>
      <c r="C194" s="5" t="s">
        <v>2064</v>
      </c>
      <c r="D194" s="5" t="s">
        <v>2065</v>
      </c>
      <c r="E194" s="5" t="s">
        <v>600</v>
      </c>
      <c r="F194" s="5" t="s">
        <v>2531</v>
      </c>
      <c r="G194" s="5" t="s">
        <v>2532</v>
      </c>
      <c r="H194" s="5" t="n">
        <v>10</v>
      </c>
      <c r="I194" s="5" t="s">
        <v>603</v>
      </c>
      <c r="J194" s="5" t="s">
        <v>652</v>
      </c>
      <c r="K194" s="5" t="s">
        <v>2520</v>
      </c>
      <c r="L194" s="5" t="s">
        <v>30</v>
      </c>
      <c r="M194" s="5" t="s">
        <v>155</v>
      </c>
      <c r="N194" s="5" t="s">
        <v>2533</v>
      </c>
      <c r="O194" s="5" t="s">
        <v>570</v>
      </c>
      <c r="P194" s="5" t="s">
        <v>158</v>
      </c>
      <c r="Q194" s="5" t="s">
        <v>605</v>
      </c>
      <c r="R194" s="5" t="s">
        <v>2070</v>
      </c>
      <c r="S194" s="5" t="s">
        <v>2071</v>
      </c>
      <c r="T194" s="5" t="s">
        <v>606</v>
      </c>
      <c r="U194" s="5" t="n">
        <v>180</v>
      </c>
      <c r="V194" s="5" t="s">
        <v>2072</v>
      </c>
      <c r="W194" s="5" t="s">
        <v>2073</v>
      </c>
      <c r="X194" s="5" t="s">
        <v>2534</v>
      </c>
      <c r="Y194" s="5" t="s">
        <v>2535</v>
      </c>
      <c r="Z194" s="5" t="s">
        <v>2536</v>
      </c>
      <c r="AA194" s="5" t="s">
        <v>2537</v>
      </c>
      <c r="AB194" s="5"/>
      <c r="AC194" s="5"/>
      <c r="AD194" s="5"/>
      <c r="AE194" s="5"/>
      <c r="AF194" s="5" t="s">
        <v>2538</v>
      </c>
      <c r="AG194" s="5"/>
      <c r="AH194" s="5"/>
      <c r="AI194" s="5" t="s">
        <v>2539</v>
      </c>
      <c r="AJ194" s="5" t="s">
        <v>2540</v>
      </c>
      <c r="AK194" s="5" t="s">
        <v>2541</v>
      </c>
      <c r="AL194" s="5" t="s">
        <v>2538</v>
      </c>
      <c r="AM194" s="5"/>
      <c r="AN194" s="5"/>
      <c r="AO194" s="5" t="s">
        <v>2542</v>
      </c>
      <c r="AP194" s="5"/>
      <c r="AQ194" s="5" t="s">
        <v>2543</v>
      </c>
      <c r="AR194" s="5" t="s">
        <v>2544</v>
      </c>
      <c r="AS194" s="5"/>
      <c r="AT194" s="5"/>
      <c r="AU194" s="5" t="s">
        <v>2545</v>
      </c>
      <c r="AV194" s="5" t="s">
        <v>178</v>
      </c>
      <c r="AW194" s="5" t="s">
        <v>2546</v>
      </c>
    </row>
    <row r="195" customFormat="false" ht="147" hidden="false" customHeight="false" outlineLevel="0" collapsed="false">
      <c r="A195" s="5" t="s">
        <v>2547</v>
      </c>
      <c r="B195" s="5" t="s">
        <v>2548</v>
      </c>
      <c r="C195" s="5" t="s">
        <v>2064</v>
      </c>
      <c r="D195" s="5" t="s">
        <v>2065</v>
      </c>
      <c r="E195" s="5" t="s">
        <v>600</v>
      </c>
      <c r="F195" s="5" t="s">
        <v>2549</v>
      </c>
      <c r="G195" s="5" t="s">
        <v>2550</v>
      </c>
      <c r="H195" s="5" t="n">
        <v>8</v>
      </c>
      <c r="I195" s="5" t="s">
        <v>603</v>
      </c>
      <c r="J195" s="5" t="s">
        <v>153</v>
      </c>
      <c r="K195" s="5" t="s">
        <v>2520</v>
      </c>
      <c r="L195" s="5" t="s">
        <v>55</v>
      </c>
      <c r="M195" s="5" t="s">
        <v>185</v>
      </c>
      <c r="N195" s="5" t="s">
        <v>54</v>
      </c>
      <c r="O195" s="5" t="s">
        <v>187</v>
      </c>
      <c r="P195" s="5" t="s">
        <v>215</v>
      </c>
      <c r="Q195" s="5" t="s">
        <v>605</v>
      </c>
      <c r="R195" s="5" t="s">
        <v>2070</v>
      </c>
      <c r="S195" s="5" t="s">
        <v>2071</v>
      </c>
      <c r="T195" s="5" t="s">
        <v>606</v>
      </c>
      <c r="U195" s="5" t="n">
        <v>365</v>
      </c>
      <c r="V195" s="5" t="s">
        <v>2072</v>
      </c>
      <c r="W195" s="5" t="s">
        <v>2073</v>
      </c>
      <c r="X195" s="5" t="s">
        <v>2551</v>
      </c>
      <c r="Y195" s="5" t="s">
        <v>2552</v>
      </c>
      <c r="Z195" s="5" t="s">
        <v>2553</v>
      </c>
      <c r="AA195" s="5"/>
      <c r="AB195" s="5"/>
      <c r="AC195" s="5"/>
      <c r="AD195" s="5"/>
      <c r="AE195" s="5"/>
      <c r="AF195" s="5"/>
      <c r="AG195" s="5"/>
      <c r="AH195" s="5"/>
      <c r="AI195" s="5"/>
      <c r="AJ195" s="5"/>
      <c r="AK195" s="5" t="s">
        <v>2554</v>
      </c>
      <c r="AL195" s="5"/>
      <c r="AM195" s="5"/>
      <c r="AN195" s="5"/>
      <c r="AO195" s="5"/>
      <c r="AP195" s="5"/>
      <c r="AQ195" s="5"/>
      <c r="AR195" s="5"/>
      <c r="AS195" s="5"/>
      <c r="AT195" s="5"/>
      <c r="AU195" s="5"/>
      <c r="AV195" s="5" t="s">
        <v>178</v>
      </c>
      <c r="AW195" s="5" t="s">
        <v>2555</v>
      </c>
    </row>
    <row r="196" customFormat="false" ht="147" hidden="false" customHeight="false" outlineLevel="0" collapsed="false">
      <c r="A196" s="5" t="s">
        <v>2556</v>
      </c>
      <c r="B196" s="5" t="s">
        <v>2557</v>
      </c>
      <c r="C196" s="5" t="s">
        <v>2064</v>
      </c>
      <c r="D196" s="5" t="s">
        <v>2065</v>
      </c>
      <c r="E196" s="5" t="s">
        <v>600</v>
      </c>
      <c r="F196" s="5" t="s">
        <v>2558</v>
      </c>
      <c r="G196" s="5" t="s">
        <v>2559</v>
      </c>
      <c r="H196" s="5" t="n">
        <v>8</v>
      </c>
      <c r="I196" s="5" t="s">
        <v>603</v>
      </c>
      <c r="J196" s="5" t="s">
        <v>153</v>
      </c>
      <c r="K196" s="5" t="s">
        <v>2520</v>
      </c>
      <c r="L196" s="5" t="s">
        <v>55</v>
      </c>
      <c r="M196" s="5" t="s">
        <v>185</v>
      </c>
      <c r="N196" s="5" t="s">
        <v>54</v>
      </c>
      <c r="O196" s="5" t="s">
        <v>187</v>
      </c>
      <c r="P196" s="5" t="s">
        <v>215</v>
      </c>
      <c r="Q196" s="5" t="s">
        <v>605</v>
      </c>
      <c r="R196" s="5" t="s">
        <v>2070</v>
      </c>
      <c r="S196" s="5" t="s">
        <v>2071</v>
      </c>
      <c r="T196" s="5" t="s">
        <v>606</v>
      </c>
      <c r="U196" s="5" t="n">
        <v>365</v>
      </c>
      <c r="V196" s="5" t="s">
        <v>2072</v>
      </c>
      <c r="W196" s="5" t="s">
        <v>2073</v>
      </c>
      <c r="X196" s="5" t="s">
        <v>2560</v>
      </c>
      <c r="Y196" s="5" t="s">
        <v>2561</v>
      </c>
      <c r="Z196" s="5" t="s">
        <v>2562</v>
      </c>
      <c r="AA196" s="5"/>
      <c r="AB196" s="5"/>
      <c r="AC196" s="5"/>
      <c r="AD196" s="5"/>
      <c r="AE196" s="5"/>
      <c r="AF196" s="5"/>
      <c r="AG196" s="5"/>
      <c r="AH196" s="5"/>
      <c r="AI196" s="5"/>
      <c r="AJ196" s="5"/>
      <c r="AK196" s="5" t="s">
        <v>2563</v>
      </c>
      <c r="AL196" s="5"/>
      <c r="AM196" s="5"/>
      <c r="AN196" s="5"/>
      <c r="AO196" s="5"/>
      <c r="AP196" s="5"/>
      <c r="AQ196" s="5"/>
      <c r="AR196" s="5"/>
      <c r="AS196" s="5"/>
      <c r="AT196" s="5"/>
      <c r="AU196" s="5"/>
      <c r="AV196" s="5" t="s">
        <v>178</v>
      </c>
      <c r="AW196" s="5" t="s">
        <v>2564</v>
      </c>
    </row>
    <row r="197" customFormat="false" ht="147" hidden="false" customHeight="false" outlineLevel="0" collapsed="false">
      <c r="A197" s="5" t="s">
        <v>2565</v>
      </c>
      <c r="B197" s="5" t="s">
        <v>2566</v>
      </c>
      <c r="C197" s="5" t="s">
        <v>2064</v>
      </c>
      <c r="D197" s="5" t="s">
        <v>2065</v>
      </c>
      <c r="E197" s="5" t="s">
        <v>600</v>
      </c>
      <c r="F197" s="5" t="s">
        <v>2567</v>
      </c>
      <c r="G197" s="5" t="s">
        <v>2568</v>
      </c>
      <c r="H197" s="5" t="n">
        <v>8</v>
      </c>
      <c r="I197" s="5" t="s">
        <v>603</v>
      </c>
      <c r="J197" s="5" t="s">
        <v>153</v>
      </c>
      <c r="K197" s="5" t="s">
        <v>2520</v>
      </c>
      <c r="L197" s="5" t="s">
        <v>30</v>
      </c>
      <c r="M197" s="5" t="s">
        <v>155</v>
      </c>
      <c r="N197" s="5" t="s">
        <v>2569</v>
      </c>
      <c r="O197" s="5" t="s">
        <v>157</v>
      </c>
      <c r="P197" s="5" t="s">
        <v>215</v>
      </c>
      <c r="Q197" s="5" t="s">
        <v>605</v>
      </c>
      <c r="R197" s="5" t="s">
        <v>2070</v>
      </c>
      <c r="S197" s="5" t="s">
        <v>2071</v>
      </c>
      <c r="T197" s="5" t="s">
        <v>606</v>
      </c>
      <c r="U197" s="5" t="n">
        <v>365</v>
      </c>
      <c r="V197" s="5" t="s">
        <v>2072</v>
      </c>
      <c r="W197" s="5" t="s">
        <v>2073</v>
      </c>
      <c r="X197" s="5" t="s">
        <v>2570</v>
      </c>
      <c r="Y197" s="5" t="s">
        <v>2571</v>
      </c>
      <c r="Z197" s="5" t="s">
        <v>2572</v>
      </c>
      <c r="AA197" s="5"/>
      <c r="AB197" s="5"/>
      <c r="AC197" s="5"/>
      <c r="AD197" s="5"/>
      <c r="AE197" s="5"/>
      <c r="AF197" s="5"/>
      <c r="AG197" s="5"/>
      <c r="AH197" s="5" t="s">
        <v>2573</v>
      </c>
      <c r="AI197" s="5"/>
      <c r="AJ197" s="5"/>
      <c r="AK197" s="5" t="s">
        <v>2554</v>
      </c>
      <c r="AL197" s="5"/>
      <c r="AM197" s="5"/>
      <c r="AN197" s="5"/>
      <c r="AO197" s="5"/>
      <c r="AP197" s="5"/>
      <c r="AQ197" s="5"/>
      <c r="AR197" s="5"/>
      <c r="AS197" s="5"/>
      <c r="AT197" s="5"/>
      <c r="AU197" s="5"/>
      <c r="AV197" s="5" t="s">
        <v>178</v>
      </c>
      <c r="AW197" s="5" t="s">
        <v>2546</v>
      </c>
    </row>
    <row r="198" customFormat="false" ht="113.4" hidden="false" customHeight="false" outlineLevel="0" collapsed="false">
      <c r="A198" s="5" t="s">
        <v>2574</v>
      </c>
      <c r="B198" s="5" t="s">
        <v>2575</v>
      </c>
      <c r="C198" s="5" t="s">
        <v>2064</v>
      </c>
      <c r="D198" s="5" t="s">
        <v>2065</v>
      </c>
      <c r="E198" s="5" t="s">
        <v>600</v>
      </c>
      <c r="F198" s="5" t="s">
        <v>2576</v>
      </c>
      <c r="G198" s="5" t="s">
        <v>2577</v>
      </c>
      <c r="H198" s="5" t="n">
        <v>7</v>
      </c>
      <c r="I198" s="5" t="s">
        <v>603</v>
      </c>
      <c r="J198" s="5" t="s">
        <v>557</v>
      </c>
      <c r="K198" s="5" t="s">
        <v>492</v>
      </c>
      <c r="L198" s="5" t="s">
        <v>55</v>
      </c>
      <c r="M198" s="5" t="s">
        <v>185</v>
      </c>
      <c r="N198" s="5" t="s">
        <v>54</v>
      </c>
      <c r="O198" s="5" t="s">
        <v>187</v>
      </c>
      <c r="P198" s="5" t="s">
        <v>215</v>
      </c>
      <c r="Q198" s="5" t="s">
        <v>605</v>
      </c>
      <c r="R198" s="5" t="s">
        <v>2070</v>
      </c>
      <c r="S198" s="5" t="s">
        <v>2071</v>
      </c>
      <c r="T198" s="5" t="s">
        <v>606</v>
      </c>
      <c r="U198" s="5" t="n">
        <v>90</v>
      </c>
      <c r="V198" s="5" t="s">
        <v>2072</v>
      </c>
      <c r="W198" s="5" t="s">
        <v>2073</v>
      </c>
      <c r="X198" s="5" t="s">
        <v>2578</v>
      </c>
      <c r="Y198" s="5" t="s">
        <v>2579</v>
      </c>
      <c r="Z198" s="5" t="s">
        <v>2580</v>
      </c>
      <c r="AA198" s="5"/>
      <c r="AB198" s="5"/>
      <c r="AC198" s="5"/>
      <c r="AD198" s="5"/>
      <c r="AE198" s="5"/>
      <c r="AF198" s="5"/>
      <c r="AG198" s="5"/>
      <c r="AH198" s="5"/>
      <c r="AI198" s="5"/>
      <c r="AJ198" s="5"/>
      <c r="AK198" s="5" t="s">
        <v>2563</v>
      </c>
      <c r="AL198" s="5"/>
      <c r="AM198" s="5"/>
      <c r="AN198" s="5"/>
      <c r="AO198" s="5"/>
      <c r="AP198" s="5"/>
      <c r="AQ198" s="5"/>
      <c r="AR198" s="5"/>
      <c r="AS198" s="5"/>
      <c r="AT198" s="5"/>
      <c r="AU198" s="5"/>
      <c r="AV198" s="5" t="s">
        <v>178</v>
      </c>
      <c r="AW198" s="5" t="s">
        <v>1664</v>
      </c>
    </row>
    <row r="199" customFormat="false" ht="124.6" hidden="false" customHeight="false" outlineLevel="0" collapsed="false">
      <c r="A199" s="5" t="s">
        <v>2581</v>
      </c>
      <c r="B199" s="5" t="s">
        <v>2582</v>
      </c>
      <c r="C199" s="5" t="s">
        <v>2064</v>
      </c>
      <c r="D199" s="5" t="s">
        <v>2065</v>
      </c>
      <c r="E199" s="5" t="s">
        <v>600</v>
      </c>
      <c r="F199" s="5" t="s">
        <v>2583</v>
      </c>
      <c r="G199" s="5" t="s">
        <v>2584</v>
      </c>
      <c r="H199" s="5" t="n">
        <v>7</v>
      </c>
      <c r="I199" s="5" t="s">
        <v>603</v>
      </c>
      <c r="J199" s="5" t="s">
        <v>153</v>
      </c>
      <c r="K199" s="5"/>
      <c r="L199" s="5" t="s">
        <v>30</v>
      </c>
      <c r="M199" s="5" t="s">
        <v>155</v>
      </c>
      <c r="N199" s="5" t="s">
        <v>2585</v>
      </c>
      <c r="O199" s="5" t="s">
        <v>157</v>
      </c>
      <c r="P199" s="5" t="s">
        <v>215</v>
      </c>
      <c r="Q199" s="5" t="s">
        <v>605</v>
      </c>
      <c r="R199" s="5" t="s">
        <v>2070</v>
      </c>
      <c r="S199" s="5" t="s">
        <v>2071</v>
      </c>
      <c r="T199" s="5" t="s">
        <v>606</v>
      </c>
      <c r="U199" s="5" t="n">
        <v>365</v>
      </c>
      <c r="V199" s="5" t="s">
        <v>2072</v>
      </c>
      <c r="W199" s="5" t="s">
        <v>2073</v>
      </c>
      <c r="X199" s="5" t="s">
        <v>2586</v>
      </c>
      <c r="Y199" s="5" t="s">
        <v>2587</v>
      </c>
      <c r="Z199" s="5" t="s">
        <v>2588</v>
      </c>
      <c r="AA199" s="5" t="s">
        <v>2589</v>
      </c>
      <c r="AB199" s="5"/>
      <c r="AC199" s="5"/>
      <c r="AD199" s="5"/>
      <c r="AE199" s="5"/>
      <c r="AF199" s="5"/>
      <c r="AG199" s="5"/>
      <c r="AH199" s="5" t="s">
        <v>2590</v>
      </c>
      <c r="AI199" s="5"/>
      <c r="AJ199" s="5"/>
      <c r="AK199" s="5"/>
      <c r="AL199" s="5"/>
      <c r="AM199" s="5"/>
      <c r="AN199" s="5"/>
      <c r="AO199" s="5"/>
      <c r="AP199" s="5"/>
      <c r="AQ199" s="5"/>
      <c r="AR199" s="5"/>
      <c r="AS199" s="5"/>
      <c r="AT199" s="5"/>
      <c r="AU199" s="5"/>
      <c r="AV199" s="5"/>
      <c r="AW199" s="5" t="s">
        <v>2239</v>
      </c>
    </row>
    <row r="200" customFormat="false" ht="135.8" hidden="false" customHeight="false" outlineLevel="0" collapsed="false">
      <c r="A200" s="5" t="s">
        <v>2591</v>
      </c>
      <c r="B200" s="5" t="s">
        <v>2592</v>
      </c>
      <c r="C200" s="5" t="s">
        <v>2064</v>
      </c>
      <c r="D200" s="5" t="s">
        <v>2065</v>
      </c>
      <c r="E200" s="5" t="s">
        <v>514</v>
      </c>
      <c r="F200" s="5" t="s">
        <v>2593</v>
      </c>
      <c r="G200" s="5" t="s">
        <v>2594</v>
      </c>
      <c r="H200" s="5" t="n">
        <v>1</v>
      </c>
      <c r="I200" s="5" t="s">
        <v>603</v>
      </c>
      <c r="J200" s="5" t="s">
        <v>153</v>
      </c>
      <c r="K200" s="5"/>
      <c r="L200" s="5" t="s">
        <v>30</v>
      </c>
      <c r="M200" s="5" t="s">
        <v>155</v>
      </c>
      <c r="N200" s="5" t="s">
        <v>2383</v>
      </c>
      <c r="O200" s="5" t="s">
        <v>570</v>
      </c>
      <c r="P200" s="5" t="s">
        <v>215</v>
      </c>
      <c r="Q200" s="5" t="s">
        <v>605</v>
      </c>
      <c r="R200" s="5" t="s">
        <v>2070</v>
      </c>
      <c r="S200" s="5" t="s">
        <v>2071</v>
      </c>
      <c r="T200" s="5" t="s">
        <v>606</v>
      </c>
      <c r="U200" s="5" t="n">
        <v>365</v>
      </c>
      <c r="V200" s="5" t="s">
        <v>2072</v>
      </c>
      <c r="W200" s="5" t="s">
        <v>2073</v>
      </c>
      <c r="X200" s="5" t="s">
        <v>2595</v>
      </c>
      <c r="Y200" s="5" t="s">
        <v>2596</v>
      </c>
      <c r="Z200" s="5" t="s">
        <v>2597</v>
      </c>
      <c r="AA200" s="5"/>
      <c r="AB200" s="5" t="s">
        <v>2598</v>
      </c>
      <c r="AC200" s="5"/>
      <c r="AD200" s="5" t="s">
        <v>2599</v>
      </c>
      <c r="AE200" s="5"/>
      <c r="AF200" s="5"/>
      <c r="AG200" s="5"/>
      <c r="AH200" s="5"/>
      <c r="AI200" s="5"/>
      <c r="AJ200" s="5"/>
      <c r="AK200" s="5"/>
      <c r="AL200" s="5"/>
      <c r="AM200" s="5"/>
      <c r="AN200" s="5"/>
      <c r="AO200" s="5"/>
      <c r="AP200" s="5"/>
      <c r="AQ200" s="5"/>
      <c r="AR200" s="5"/>
      <c r="AS200" s="5"/>
      <c r="AT200" s="5"/>
      <c r="AU200" s="5"/>
      <c r="AV200" s="5"/>
      <c r="AW200" s="5" t="s">
        <v>2239</v>
      </c>
    </row>
    <row r="201" customFormat="false" ht="236.55" hidden="false" customHeight="false" outlineLevel="0" collapsed="false">
      <c r="A201" s="5" t="s">
        <v>2600</v>
      </c>
      <c r="B201" s="5" t="s">
        <v>2601</v>
      </c>
      <c r="C201" s="5" t="s">
        <v>2602</v>
      </c>
      <c r="D201" s="5" t="s">
        <v>2603</v>
      </c>
      <c r="E201" s="5" t="s">
        <v>149</v>
      </c>
      <c r="F201" s="5" t="s">
        <v>2604</v>
      </c>
      <c r="G201" s="5" t="s">
        <v>2605</v>
      </c>
      <c r="H201" s="5" t="n">
        <v>10</v>
      </c>
      <c r="I201" s="5" t="s">
        <v>1221</v>
      </c>
      <c r="J201" s="5" t="s">
        <v>153</v>
      </c>
      <c r="K201" s="5" t="s">
        <v>2606</v>
      </c>
      <c r="L201" s="5" t="s">
        <v>30</v>
      </c>
      <c r="M201" s="5" t="s">
        <v>155</v>
      </c>
      <c r="N201" s="5" t="s">
        <v>2607</v>
      </c>
      <c r="O201" s="5" t="s">
        <v>570</v>
      </c>
      <c r="P201" s="5" t="s">
        <v>158</v>
      </c>
      <c r="Q201" s="5" t="s">
        <v>159</v>
      </c>
      <c r="R201" s="5" t="s">
        <v>2608</v>
      </c>
      <c r="S201" s="5" t="s">
        <v>2609</v>
      </c>
      <c r="T201" s="5" t="s">
        <v>162</v>
      </c>
      <c r="U201" s="5" t="n">
        <v>365</v>
      </c>
      <c r="V201" s="5" t="s">
        <v>2610</v>
      </c>
      <c r="W201" s="5" t="s">
        <v>2611</v>
      </c>
      <c r="X201" s="5" t="s">
        <v>2612</v>
      </c>
      <c r="Y201" s="5" t="s">
        <v>2613</v>
      </c>
      <c r="Z201" s="5" t="s">
        <v>2614</v>
      </c>
      <c r="AA201" s="5" t="s">
        <v>2615</v>
      </c>
      <c r="AB201" s="5" t="s">
        <v>2616</v>
      </c>
      <c r="AC201" s="5"/>
      <c r="AD201" s="5" t="s">
        <v>2617</v>
      </c>
      <c r="AE201" s="5"/>
      <c r="AF201" s="5" t="s">
        <v>2618</v>
      </c>
      <c r="AG201" s="5" t="s">
        <v>2619</v>
      </c>
      <c r="AH201" s="5" t="s">
        <v>2620</v>
      </c>
      <c r="AI201" s="5" t="s">
        <v>2621</v>
      </c>
      <c r="AJ201" s="5" t="s">
        <v>2622</v>
      </c>
      <c r="AK201" s="5" t="s">
        <v>2623</v>
      </c>
      <c r="AL201" s="5" t="s">
        <v>2618</v>
      </c>
      <c r="AM201" s="5" t="s">
        <v>2624</v>
      </c>
      <c r="AN201" s="5"/>
      <c r="AO201" s="5" t="s">
        <v>2625</v>
      </c>
      <c r="AP201" s="5"/>
      <c r="AQ201" s="5" t="s">
        <v>2626</v>
      </c>
      <c r="AR201" s="5" t="s">
        <v>2117</v>
      </c>
      <c r="AS201" s="5"/>
      <c r="AT201" s="5" t="s">
        <v>2627</v>
      </c>
      <c r="AU201" s="5" t="s">
        <v>2628</v>
      </c>
      <c r="AV201" s="5" t="s">
        <v>178</v>
      </c>
      <c r="AW201" s="5" t="s">
        <v>2629</v>
      </c>
    </row>
    <row r="202" customFormat="false" ht="147" hidden="false" customHeight="false" outlineLevel="0" collapsed="false">
      <c r="A202" s="5" t="s">
        <v>2630</v>
      </c>
      <c r="B202" s="5" t="s">
        <v>2631</v>
      </c>
      <c r="C202" s="5" t="s">
        <v>2602</v>
      </c>
      <c r="D202" s="5" t="s">
        <v>2603</v>
      </c>
      <c r="E202" s="5" t="s">
        <v>626</v>
      </c>
      <c r="F202" s="5" t="s">
        <v>2632</v>
      </c>
      <c r="G202" s="5" t="s">
        <v>2633</v>
      </c>
      <c r="H202" s="5" t="n">
        <v>5</v>
      </c>
      <c r="I202" s="5" t="s">
        <v>603</v>
      </c>
      <c r="J202" s="5" t="s">
        <v>153</v>
      </c>
      <c r="K202" s="5" t="s">
        <v>247</v>
      </c>
      <c r="L202" s="5" t="s">
        <v>30</v>
      </c>
      <c r="M202" s="5" t="s">
        <v>155</v>
      </c>
      <c r="N202" s="5" t="s">
        <v>2634</v>
      </c>
      <c r="O202" s="5" t="s">
        <v>157</v>
      </c>
      <c r="P202" s="5" t="s">
        <v>158</v>
      </c>
      <c r="Q202" s="5" t="s">
        <v>519</v>
      </c>
      <c r="R202" s="5" t="s">
        <v>2608</v>
      </c>
      <c r="S202" s="5" t="s">
        <v>2609</v>
      </c>
      <c r="T202" s="5" t="s">
        <v>606</v>
      </c>
      <c r="U202" s="5" t="n">
        <v>365</v>
      </c>
      <c r="V202" s="5" t="s">
        <v>2610</v>
      </c>
      <c r="W202" s="5" t="s">
        <v>2611</v>
      </c>
      <c r="X202" s="5" t="s">
        <v>2635</v>
      </c>
      <c r="Y202" s="5" t="s">
        <v>2636</v>
      </c>
      <c r="Z202" s="5" t="s">
        <v>2637</v>
      </c>
      <c r="AA202" s="5"/>
      <c r="AB202" s="5"/>
      <c r="AC202" s="5"/>
      <c r="AD202" s="5"/>
      <c r="AE202" s="5"/>
      <c r="AF202" s="5" t="s">
        <v>2624</v>
      </c>
      <c r="AG202" s="5" t="s">
        <v>2624</v>
      </c>
      <c r="AH202" s="5"/>
      <c r="AI202" s="5"/>
      <c r="AJ202" s="5"/>
      <c r="AK202" s="5" t="s">
        <v>2638</v>
      </c>
      <c r="AL202" s="5" t="s">
        <v>2624</v>
      </c>
      <c r="AM202" s="5" t="s">
        <v>2624</v>
      </c>
      <c r="AN202" s="5"/>
      <c r="AO202" s="5"/>
      <c r="AP202" s="5"/>
      <c r="AQ202" s="5" t="s">
        <v>2624</v>
      </c>
      <c r="AR202" s="5" t="s">
        <v>646</v>
      </c>
      <c r="AS202" s="5"/>
      <c r="AT202" s="5"/>
      <c r="AU202" s="5"/>
      <c r="AV202" s="5" t="s">
        <v>178</v>
      </c>
      <c r="AW202" s="5" t="s">
        <v>1664</v>
      </c>
    </row>
    <row r="203" customFormat="false" ht="135.8" hidden="false" customHeight="false" outlineLevel="0" collapsed="false">
      <c r="A203" s="5" t="s">
        <v>2639</v>
      </c>
      <c r="B203" s="5" t="s">
        <v>2640</v>
      </c>
      <c r="C203" s="5" t="s">
        <v>2602</v>
      </c>
      <c r="D203" s="5" t="s">
        <v>2603</v>
      </c>
      <c r="E203" s="5" t="s">
        <v>626</v>
      </c>
      <c r="F203" s="5" t="s">
        <v>2641</v>
      </c>
      <c r="G203" s="5" t="s">
        <v>2642</v>
      </c>
      <c r="H203" s="5" t="n">
        <v>5</v>
      </c>
      <c r="I203" s="5" t="s">
        <v>152</v>
      </c>
      <c r="J203" s="5" t="s">
        <v>652</v>
      </c>
      <c r="K203" s="5"/>
      <c r="L203" s="5" t="s">
        <v>30</v>
      </c>
      <c r="M203" s="5" t="s">
        <v>155</v>
      </c>
      <c r="N203" s="5" t="s">
        <v>398</v>
      </c>
      <c r="O203" s="5" t="s">
        <v>157</v>
      </c>
      <c r="P203" s="5" t="s">
        <v>641</v>
      </c>
      <c r="Q203" s="5" t="s">
        <v>519</v>
      </c>
      <c r="R203" s="5" t="s">
        <v>2608</v>
      </c>
      <c r="S203" s="5" t="s">
        <v>2609</v>
      </c>
      <c r="T203" s="5" t="s">
        <v>162</v>
      </c>
      <c r="U203" s="5" t="n">
        <v>180</v>
      </c>
      <c r="V203" s="5" t="s">
        <v>2610</v>
      </c>
      <c r="W203" s="5" t="s">
        <v>2611</v>
      </c>
      <c r="X203" s="5" t="s">
        <v>2643</v>
      </c>
      <c r="Y203" s="5" t="s">
        <v>2644</v>
      </c>
      <c r="Z203" s="5" t="s">
        <v>2645</v>
      </c>
      <c r="AA203" s="5"/>
      <c r="AB203" s="5"/>
      <c r="AC203" s="5"/>
      <c r="AD203" s="5"/>
      <c r="AE203" s="5"/>
      <c r="AF203" s="5" t="s">
        <v>2646</v>
      </c>
      <c r="AG203" s="5" t="s">
        <v>2646</v>
      </c>
      <c r="AH203" s="5"/>
      <c r="AI203" s="5"/>
      <c r="AJ203" s="5"/>
      <c r="AK203" s="5"/>
      <c r="AL203" s="5" t="s">
        <v>2646</v>
      </c>
      <c r="AM203" s="5"/>
      <c r="AN203" s="5"/>
      <c r="AO203" s="5"/>
      <c r="AP203" s="5"/>
      <c r="AQ203" s="5" t="s">
        <v>2646</v>
      </c>
      <c r="AR203" s="5" t="s">
        <v>646</v>
      </c>
      <c r="AS203" s="5"/>
      <c r="AT203" s="5" t="s">
        <v>2647</v>
      </c>
      <c r="AU203" s="5"/>
      <c r="AV203" s="5"/>
      <c r="AW203" s="5" t="s">
        <v>552</v>
      </c>
    </row>
    <row r="204" customFormat="false" ht="124.6" hidden="false" customHeight="false" outlineLevel="0" collapsed="false">
      <c r="A204" s="5" t="s">
        <v>2648</v>
      </c>
      <c r="B204" s="5" t="s">
        <v>2649</v>
      </c>
      <c r="C204" s="5" t="s">
        <v>2602</v>
      </c>
      <c r="D204" s="5" t="s">
        <v>2603</v>
      </c>
      <c r="E204" s="5" t="s">
        <v>626</v>
      </c>
      <c r="F204" s="5" t="s">
        <v>2650</v>
      </c>
      <c r="G204" s="5" t="s">
        <v>2651</v>
      </c>
      <c r="H204" s="5" t="n">
        <v>5</v>
      </c>
      <c r="I204" s="5" t="s">
        <v>603</v>
      </c>
      <c r="J204" s="5" t="s">
        <v>153</v>
      </c>
      <c r="K204" s="5"/>
      <c r="L204" s="5" t="s">
        <v>85</v>
      </c>
      <c r="M204" s="5" t="s">
        <v>185</v>
      </c>
      <c r="N204" s="5" t="s">
        <v>88</v>
      </c>
      <c r="O204" s="5" t="s">
        <v>214</v>
      </c>
      <c r="P204" s="5" t="s">
        <v>215</v>
      </c>
      <c r="Q204" s="5" t="s">
        <v>440</v>
      </c>
      <c r="R204" s="5" t="s">
        <v>2608</v>
      </c>
      <c r="S204" s="5" t="s">
        <v>2609</v>
      </c>
      <c r="T204" s="5" t="s">
        <v>606</v>
      </c>
      <c r="U204" s="5" t="n">
        <v>365</v>
      </c>
      <c r="V204" s="5" t="s">
        <v>2610</v>
      </c>
      <c r="W204" s="5" t="s">
        <v>2611</v>
      </c>
      <c r="X204" s="5" t="s">
        <v>2652</v>
      </c>
      <c r="Y204" s="5" t="s">
        <v>2653</v>
      </c>
      <c r="Z204" s="5" t="s">
        <v>2654</v>
      </c>
      <c r="AA204" s="5"/>
      <c r="AB204" s="5"/>
      <c r="AC204" s="5"/>
      <c r="AD204" s="5"/>
      <c r="AE204" s="5"/>
      <c r="AF204" s="5" t="s">
        <v>2655</v>
      </c>
      <c r="AG204" s="5"/>
      <c r="AH204" s="5"/>
      <c r="AI204" s="5"/>
      <c r="AJ204" s="5"/>
      <c r="AK204" s="5"/>
      <c r="AL204" s="5" t="s">
        <v>2655</v>
      </c>
      <c r="AM204" s="5"/>
      <c r="AN204" s="5"/>
      <c r="AO204" s="5"/>
      <c r="AP204" s="5"/>
      <c r="AQ204" s="5" t="s">
        <v>2655</v>
      </c>
      <c r="AR204" s="5" t="s">
        <v>646</v>
      </c>
      <c r="AS204" s="5"/>
      <c r="AT204" s="5"/>
      <c r="AU204" s="5"/>
      <c r="AV204" s="5"/>
      <c r="AW204" s="5" t="s">
        <v>2656</v>
      </c>
    </row>
    <row r="205" customFormat="false" ht="135.8" hidden="false" customHeight="false" outlineLevel="0" collapsed="false">
      <c r="A205" s="5" t="s">
        <v>2657</v>
      </c>
      <c r="B205" s="5" t="s">
        <v>2658</v>
      </c>
      <c r="C205" s="5" t="s">
        <v>2602</v>
      </c>
      <c r="D205" s="5" t="s">
        <v>2603</v>
      </c>
      <c r="E205" s="5" t="s">
        <v>626</v>
      </c>
      <c r="F205" s="5" t="s">
        <v>2659</v>
      </c>
      <c r="G205" s="5" t="s">
        <v>2660</v>
      </c>
      <c r="H205" s="5" t="n">
        <v>8</v>
      </c>
      <c r="I205" s="5" t="s">
        <v>603</v>
      </c>
      <c r="J205" s="5" t="s">
        <v>557</v>
      </c>
      <c r="K205" s="5"/>
      <c r="L205" s="5" t="s">
        <v>30</v>
      </c>
      <c r="M205" s="5" t="s">
        <v>155</v>
      </c>
      <c r="N205" s="5" t="s">
        <v>398</v>
      </c>
      <c r="O205" s="5" t="s">
        <v>157</v>
      </c>
      <c r="P205" s="5" t="s">
        <v>215</v>
      </c>
      <c r="Q205" s="5" t="s">
        <v>440</v>
      </c>
      <c r="R205" s="5" t="s">
        <v>2608</v>
      </c>
      <c r="S205" s="5" t="s">
        <v>2609</v>
      </c>
      <c r="T205" s="5" t="s">
        <v>606</v>
      </c>
      <c r="U205" s="5" t="n">
        <v>90</v>
      </c>
      <c r="V205" s="5" t="s">
        <v>2610</v>
      </c>
      <c r="W205" s="5" t="s">
        <v>2611</v>
      </c>
      <c r="X205" s="5" t="s">
        <v>2661</v>
      </c>
      <c r="Y205" s="5" t="s">
        <v>2662</v>
      </c>
      <c r="Z205" s="5" t="s">
        <v>2663</v>
      </c>
      <c r="AA205" s="5"/>
      <c r="AB205" s="5"/>
      <c r="AC205" s="5"/>
      <c r="AD205" s="5"/>
      <c r="AE205" s="5"/>
      <c r="AF205" s="5" t="s">
        <v>2664</v>
      </c>
      <c r="AG205" s="5" t="s">
        <v>2664</v>
      </c>
      <c r="AH205" s="5"/>
      <c r="AI205" s="5"/>
      <c r="AJ205" s="5"/>
      <c r="AK205" s="5"/>
      <c r="AL205" s="5" t="s">
        <v>2664</v>
      </c>
      <c r="AM205" s="5"/>
      <c r="AN205" s="5"/>
      <c r="AO205" s="5"/>
      <c r="AP205" s="5"/>
      <c r="AQ205" s="5" t="s">
        <v>2664</v>
      </c>
      <c r="AR205" s="5" t="s">
        <v>2665</v>
      </c>
      <c r="AS205" s="5"/>
      <c r="AT205" s="5"/>
      <c r="AU205" s="5"/>
      <c r="AV205" s="5"/>
      <c r="AW205" s="5" t="s">
        <v>2656</v>
      </c>
    </row>
    <row r="206" customFormat="false" ht="169.4" hidden="false" customHeight="false" outlineLevel="0" collapsed="false">
      <c r="A206" s="5" t="s">
        <v>2666</v>
      </c>
      <c r="B206" s="5" t="s">
        <v>2667</v>
      </c>
      <c r="C206" s="5" t="s">
        <v>2602</v>
      </c>
      <c r="D206" s="5" t="s">
        <v>2603</v>
      </c>
      <c r="E206" s="5" t="s">
        <v>626</v>
      </c>
      <c r="F206" s="5" t="s">
        <v>2668</v>
      </c>
      <c r="G206" s="5" t="s">
        <v>2669</v>
      </c>
      <c r="H206" s="5" t="n">
        <v>10</v>
      </c>
      <c r="I206" s="5" t="s">
        <v>1221</v>
      </c>
      <c r="J206" s="5" t="s">
        <v>153</v>
      </c>
      <c r="K206" s="5" t="s">
        <v>2606</v>
      </c>
      <c r="L206" s="5" t="s">
        <v>30</v>
      </c>
      <c r="M206" s="5" t="s">
        <v>155</v>
      </c>
      <c r="N206" s="5" t="s">
        <v>2670</v>
      </c>
      <c r="O206" s="5" t="s">
        <v>570</v>
      </c>
      <c r="P206" s="5" t="s">
        <v>158</v>
      </c>
      <c r="Q206" s="5" t="s">
        <v>440</v>
      </c>
      <c r="R206" s="5" t="s">
        <v>2608</v>
      </c>
      <c r="S206" s="5" t="s">
        <v>2609</v>
      </c>
      <c r="T206" s="5" t="s">
        <v>277</v>
      </c>
      <c r="U206" s="5" t="n">
        <v>365</v>
      </c>
      <c r="V206" s="5" t="s">
        <v>2610</v>
      </c>
      <c r="W206" s="5" t="s">
        <v>2611</v>
      </c>
      <c r="X206" s="5" t="s">
        <v>2671</v>
      </c>
      <c r="Y206" s="5" t="s">
        <v>2672</v>
      </c>
      <c r="Z206" s="5" t="s">
        <v>2673</v>
      </c>
      <c r="AA206" s="5"/>
      <c r="AB206" s="5" t="s">
        <v>2674</v>
      </c>
      <c r="AC206" s="5"/>
      <c r="AD206" s="5" t="s">
        <v>2675</v>
      </c>
      <c r="AE206" s="5"/>
      <c r="AF206" s="5" t="s">
        <v>2676</v>
      </c>
      <c r="AG206" s="5" t="s">
        <v>2676</v>
      </c>
      <c r="AH206" s="5"/>
      <c r="AI206" s="5" t="s">
        <v>2621</v>
      </c>
      <c r="AJ206" s="5" t="s">
        <v>2677</v>
      </c>
      <c r="AK206" s="5" t="s">
        <v>2678</v>
      </c>
      <c r="AL206" s="5" t="s">
        <v>2676</v>
      </c>
      <c r="AM206" s="5" t="s">
        <v>2676</v>
      </c>
      <c r="AN206" s="5"/>
      <c r="AO206" s="5" t="s">
        <v>2679</v>
      </c>
      <c r="AP206" s="5" t="s">
        <v>2680</v>
      </c>
      <c r="AQ206" s="5" t="s">
        <v>2676</v>
      </c>
      <c r="AR206" s="5" t="s">
        <v>646</v>
      </c>
      <c r="AS206" s="5"/>
      <c r="AT206" s="5" t="s">
        <v>2681</v>
      </c>
      <c r="AU206" s="5" t="s">
        <v>2628</v>
      </c>
      <c r="AV206" s="5" t="s">
        <v>178</v>
      </c>
      <c r="AW206" s="5" t="s">
        <v>2682</v>
      </c>
    </row>
    <row r="207" customFormat="false" ht="214.15" hidden="false" customHeight="false" outlineLevel="0" collapsed="false">
      <c r="A207" s="5" t="s">
        <v>2683</v>
      </c>
      <c r="B207" s="5" t="s">
        <v>2684</v>
      </c>
      <c r="C207" s="5" t="s">
        <v>2602</v>
      </c>
      <c r="D207" s="5" t="s">
        <v>2603</v>
      </c>
      <c r="E207" s="5" t="s">
        <v>626</v>
      </c>
      <c r="F207" s="5" t="s">
        <v>2685</v>
      </c>
      <c r="G207" s="5" t="s">
        <v>2686</v>
      </c>
      <c r="H207" s="5" t="n">
        <v>10</v>
      </c>
      <c r="I207" s="5" t="s">
        <v>1221</v>
      </c>
      <c r="J207" s="5" t="s">
        <v>153</v>
      </c>
      <c r="K207" s="5" t="s">
        <v>2606</v>
      </c>
      <c r="L207" s="5" t="s">
        <v>30</v>
      </c>
      <c r="M207" s="5" t="s">
        <v>155</v>
      </c>
      <c r="N207" s="5" t="s">
        <v>2687</v>
      </c>
      <c r="O207" s="5" t="s">
        <v>570</v>
      </c>
      <c r="P207" s="5" t="s">
        <v>158</v>
      </c>
      <c r="Q207" s="5" t="s">
        <v>440</v>
      </c>
      <c r="R207" s="5" t="s">
        <v>2608</v>
      </c>
      <c r="S207" s="5" t="s">
        <v>2609</v>
      </c>
      <c r="T207" s="5" t="s">
        <v>277</v>
      </c>
      <c r="U207" s="5" t="n">
        <v>365</v>
      </c>
      <c r="V207" s="5" t="s">
        <v>2610</v>
      </c>
      <c r="W207" s="5" t="s">
        <v>2611</v>
      </c>
      <c r="X207" s="5" t="s">
        <v>2688</v>
      </c>
      <c r="Y207" s="5" t="s">
        <v>2689</v>
      </c>
      <c r="Z207" s="5" t="s">
        <v>2690</v>
      </c>
      <c r="AA207" s="5" t="s">
        <v>2174</v>
      </c>
      <c r="AB207" s="5" t="s">
        <v>2691</v>
      </c>
      <c r="AC207" s="5"/>
      <c r="AD207" s="5" t="s">
        <v>2692</v>
      </c>
      <c r="AE207" s="5"/>
      <c r="AF207" s="5" t="s">
        <v>2693</v>
      </c>
      <c r="AG207" s="5" t="s">
        <v>2694</v>
      </c>
      <c r="AH207" s="5"/>
      <c r="AI207" s="5" t="s">
        <v>2621</v>
      </c>
      <c r="AJ207" s="5"/>
      <c r="AK207" s="5" t="s">
        <v>2678</v>
      </c>
      <c r="AL207" s="5" t="s">
        <v>2693</v>
      </c>
      <c r="AM207" s="5" t="s">
        <v>2694</v>
      </c>
      <c r="AN207" s="5"/>
      <c r="AO207" s="5" t="s">
        <v>2695</v>
      </c>
      <c r="AP207" s="5" t="s">
        <v>2696</v>
      </c>
      <c r="AQ207" s="5" t="s">
        <v>2693</v>
      </c>
      <c r="AR207" s="5" t="s">
        <v>646</v>
      </c>
      <c r="AS207" s="5"/>
      <c r="AT207" s="5" t="s">
        <v>2627</v>
      </c>
      <c r="AU207" s="5" t="s">
        <v>2628</v>
      </c>
      <c r="AV207" s="5" t="s">
        <v>178</v>
      </c>
      <c r="AW207" s="5" t="s">
        <v>2656</v>
      </c>
    </row>
    <row r="208" customFormat="false" ht="214.15" hidden="false" customHeight="false" outlineLevel="0" collapsed="false">
      <c r="A208" s="5" t="s">
        <v>2697</v>
      </c>
      <c r="B208" s="5" t="s">
        <v>2698</v>
      </c>
      <c r="C208" s="5" t="s">
        <v>2602</v>
      </c>
      <c r="D208" s="5" t="s">
        <v>2603</v>
      </c>
      <c r="E208" s="5" t="s">
        <v>626</v>
      </c>
      <c r="F208" s="5" t="s">
        <v>2699</v>
      </c>
      <c r="G208" s="5" t="s">
        <v>2700</v>
      </c>
      <c r="H208" s="5" t="n">
        <v>10</v>
      </c>
      <c r="I208" s="5" t="s">
        <v>1221</v>
      </c>
      <c r="J208" s="5" t="s">
        <v>153</v>
      </c>
      <c r="K208" s="5" t="s">
        <v>2606</v>
      </c>
      <c r="L208" s="5" t="s">
        <v>30</v>
      </c>
      <c r="M208" s="5" t="s">
        <v>155</v>
      </c>
      <c r="N208" s="5" t="s">
        <v>2701</v>
      </c>
      <c r="O208" s="5" t="s">
        <v>570</v>
      </c>
      <c r="P208" s="5" t="s">
        <v>158</v>
      </c>
      <c r="Q208" s="5" t="s">
        <v>440</v>
      </c>
      <c r="R208" s="5" t="s">
        <v>2608</v>
      </c>
      <c r="S208" s="5" t="s">
        <v>2609</v>
      </c>
      <c r="T208" s="5" t="s">
        <v>277</v>
      </c>
      <c r="U208" s="5" t="n">
        <v>365</v>
      </c>
      <c r="V208" s="5" t="s">
        <v>2610</v>
      </c>
      <c r="W208" s="5" t="s">
        <v>2611</v>
      </c>
      <c r="X208" s="5" t="s">
        <v>2702</v>
      </c>
      <c r="Y208" s="5" t="s">
        <v>2703</v>
      </c>
      <c r="Z208" s="5" t="s">
        <v>2704</v>
      </c>
      <c r="AA208" s="5"/>
      <c r="AB208" s="5"/>
      <c r="AC208" s="5"/>
      <c r="AD208" s="5" t="s">
        <v>2705</v>
      </c>
      <c r="AE208" s="5"/>
      <c r="AF208" s="5" t="s">
        <v>2706</v>
      </c>
      <c r="AG208" s="5" t="s">
        <v>2706</v>
      </c>
      <c r="AH208" s="5"/>
      <c r="AI208" s="5" t="s">
        <v>2621</v>
      </c>
      <c r="AJ208" s="5" t="s">
        <v>2707</v>
      </c>
      <c r="AK208" s="5" t="s">
        <v>2638</v>
      </c>
      <c r="AL208" s="5" t="s">
        <v>2706</v>
      </c>
      <c r="AM208" s="5" t="s">
        <v>2708</v>
      </c>
      <c r="AN208" s="5"/>
      <c r="AO208" s="5" t="s">
        <v>2709</v>
      </c>
      <c r="AP208" s="5" t="s">
        <v>2710</v>
      </c>
      <c r="AQ208" s="5" t="s">
        <v>2706</v>
      </c>
      <c r="AR208" s="5" t="s">
        <v>646</v>
      </c>
      <c r="AS208" s="5"/>
      <c r="AT208" s="5" t="s">
        <v>2711</v>
      </c>
      <c r="AU208" s="5"/>
      <c r="AV208" s="5" t="s">
        <v>178</v>
      </c>
      <c r="AW208" s="5" t="s">
        <v>2712</v>
      </c>
    </row>
    <row r="209" customFormat="false" ht="191.75" hidden="false" customHeight="false" outlineLevel="0" collapsed="false">
      <c r="A209" s="5" t="s">
        <v>2713</v>
      </c>
      <c r="B209" s="5" t="s">
        <v>2714</v>
      </c>
      <c r="C209" s="5" t="s">
        <v>2602</v>
      </c>
      <c r="D209" s="5" t="s">
        <v>2603</v>
      </c>
      <c r="E209" s="5" t="s">
        <v>626</v>
      </c>
      <c r="F209" s="5" t="s">
        <v>2715</v>
      </c>
      <c r="G209" s="5" t="s">
        <v>2716</v>
      </c>
      <c r="H209" s="5" t="n">
        <v>5</v>
      </c>
      <c r="I209" s="5" t="s">
        <v>1221</v>
      </c>
      <c r="J209" s="5" t="s">
        <v>153</v>
      </c>
      <c r="K209" s="5"/>
      <c r="L209" s="5" t="s">
        <v>85</v>
      </c>
      <c r="M209" s="5" t="s">
        <v>185</v>
      </c>
      <c r="N209" s="5" t="s">
        <v>88</v>
      </c>
      <c r="O209" s="5" t="s">
        <v>214</v>
      </c>
      <c r="P209" s="5" t="s">
        <v>215</v>
      </c>
      <c r="Q209" s="5" t="s">
        <v>440</v>
      </c>
      <c r="R209" s="5" t="s">
        <v>2608</v>
      </c>
      <c r="S209" s="5" t="s">
        <v>2609</v>
      </c>
      <c r="T209" s="5" t="s">
        <v>277</v>
      </c>
      <c r="U209" s="5" t="n">
        <v>365</v>
      </c>
      <c r="V209" s="5" t="s">
        <v>2610</v>
      </c>
      <c r="W209" s="5" t="s">
        <v>2611</v>
      </c>
      <c r="X209" s="5" t="s">
        <v>2717</v>
      </c>
      <c r="Y209" s="5" t="s">
        <v>2718</v>
      </c>
      <c r="Z209" s="5" t="s">
        <v>2719</v>
      </c>
      <c r="AA209" s="5"/>
      <c r="AB209" s="5"/>
      <c r="AC209" s="5"/>
      <c r="AD209" s="5"/>
      <c r="AE209" s="5"/>
      <c r="AF209" s="5" t="s">
        <v>1185</v>
      </c>
      <c r="AG209" s="5"/>
      <c r="AH209" s="5"/>
      <c r="AI209" s="5"/>
      <c r="AJ209" s="5"/>
      <c r="AK209" s="5"/>
      <c r="AL209" s="5" t="s">
        <v>1185</v>
      </c>
      <c r="AM209" s="5"/>
      <c r="AN209" s="5"/>
      <c r="AO209" s="5"/>
      <c r="AP209" s="5"/>
      <c r="AQ209" s="5" t="s">
        <v>1185</v>
      </c>
      <c r="AR209" s="5" t="s">
        <v>646</v>
      </c>
      <c r="AS209" s="5"/>
      <c r="AT209" s="5"/>
      <c r="AU209" s="5"/>
      <c r="AV209" s="5"/>
      <c r="AW209" s="5" t="s">
        <v>2656</v>
      </c>
    </row>
    <row r="210" customFormat="false" ht="135.8" hidden="false" customHeight="false" outlineLevel="0" collapsed="false">
      <c r="A210" s="5" t="s">
        <v>2720</v>
      </c>
      <c r="B210" s="5" t="s">
        <v>2721</v>
      </c>
      <c r="C210" s="5" t="s">
        <v>2602</v>
      </c>
      <c r="D210" s="5" t="s">
        <v>2603</v>
      </c>
      <c r="E210" s="5" t="s">
        <v>626</v>
      </c>
      <c r="F210" s="5" t="s">
        <v>2722</v>
      </c>
      <c r="G210" s="5" t="s">
        <v>2723</v>
      </c>
      <c r="H210" s="5" t="n">
        <v>9</v>
      </c>
      <c r="I210" s="5" t="s">
        <v>603</v>
      </c>
      <c r="J210" s="5" t="s">
        <v>153</v>
      </c>
      <c r="K210" s="5"/>
      <c r="L210" s="5" t="s">
        <v>30</v>
      </c>
      <c r="M210" s="5" t="s">
        <v>155</v>
      </c>
      <c r="N210" s="5" t="s">
        <v>2724</v>
      </c>
      <c r="O210" s="5" t="s">
        <v>570</v>
      </c>
      <c r="P210" s="5" t="s">
        <v>215</v>
      </c>
      <c r="Q210" s="5" t="s">
        <v>440</v>
      </c>
      <c r="R210" s="5" t="s">
        <v>2608</v>
      </c>
      <c r="S210" s="5" t="s">
        <v>2609</v>
      </c>
      <c r="T210" s="5" t="s">
        <v>606</v>
      </c>
      <c r="U210" s="5" t="n">
        <v>365</v>
      </c>
      <c r="V210" s="5" t="s">
        <v>2610</v>
      </c>
      <c r="W210" s="5" t="s">
        <v>2611</v>
      </c>
      <c r="X210" s="5" t="s">
        <v>2725</v>
      </c>
      <c r="Y210" s="5" t="s">
        <v>2726</v>
      </c>
      <c r="Z210" s="5" t="s">
        <v>2727</v>
      </c>
      <c r="AA210" s="5"/>
      <c r="AB210" s="5" t="s">
        <v>2728</v>
      </c>
      <c r="AC210" s="5"/>
      <c r="AD210" s="5" t="s">
        <v>2729</v>
      </c>
      <c r="AE210" s="5" t="s">
        <v>2730</v>
      </c>
      <c r="AF210" s="5" t="s">
        <v>2731</v>
      </c>
      <c r="AG210" s="5" t="s">
        <v>2732</v>
      </c>
      <c r="AH210" s="5"/>
      <c r="AI210" s="5"/>
      <c r="AJ210" s="5"/>
      <c r="AK210" s="5"/>
      <c r="AL210" s="5" t="s">
        <v>2731</v>
      </c>
      <c r="AM210" s="5"/>
      <c r="AN210" s="5" t="s">
        <v>2732</v>
      </c>
      <c r="AO210" s="5" t="s">
        <v>2733</v>
      </c>
      <c r="AP210" s="5"/>
      <c r="AQ210" s="5" t="s">
        <v>2731</v>
      </c>
      <c r="AR210" s="5" t="s">
        <v>2734</v>
      </c>
      <c r="AS210" s="5"/>
      <c r="AT210" s="5"/>
      <c r="AU210" s="5" t="s">
        <v>2628</v>
      </c>
      <c r="AV210" s="5" t="s">
        <v>178</v>
      </c>
      <c r="AW210" s="5" t="s">
        <v>2735</v>
      </c>
    </row>
    <row r="211" customFormat="false" ht="191.75" hidden="false" customHeight="false" outlineLevel="0" collapsed="false">
      <c r="A211" s="5" t="s">
        <v>2736</v>
      </c>
      <c r="B211" s="5" t="s">
        <v>2737</v>
      </c>
      <c r="C211" s="5" t="s">
        <v>2602</v>
      </c>
      <c r="D211" s="5" t="s">
        <v>2603</v>
      </c>
      <c r="E211" s="5" t="s">
        <v>626</v>
      </c>
      <c r="F211" s="5" t="s">
        <v>2738</v>
      </c>
      <c r="G211" s="5" t="s">
        <v>2739</v>
      </c>
      <c r="H211" s="5" t="n">
        <v>9</v>
      </c>
      <c r="I211" s="5" t="s">
        <v>603</v>
      </c>
      <c r="J211" s="5" t="s">
        <v>153</v>
      </c>
      <c r="K211" s="5"/>
      <c r="L211" s="5" t="s">
        <v>30</v>
      </c>
      <c r="M211" s="5" t="s">
        <v>155</v>
      </c>
      <c r="N211" s="5" t="s">
        <v>2740</v>
      </c>
      <c r="O211" s="5" t="s">
        <v>570</v>
      </c>
      <c r="P211" s="5" t="s">
        <v>158</v>
      </c>
      <c r="Q211" s="5" t="s">
        <v>440</v>
      </c>
      <c r="R211" s="5" t="s">
        <v>2608</v>
      </c>
      <c r="S211" s="5" t="s">
        <v>2609</v>
      </c>
      <c r="T211" s="5" t="s">
        <v>606</v>
      </c>
      <c r="U211" s="5" t="n">
        <v>365</v>
      </c>
      <c r="V211" s="5" t="s">
        <v>2610</v>
      </c>
      <c r="W211" s="5" t="s">
        <v>2611</v>
      </c>
      <c r="X211" s="5" t="s">
        <v>2741</v>
      </c>
      <c r="Y211" s="5" t="s">
        <v>2742</v>
      </c>
      <c r="Z211" s="5" t="s">
        <v>2743</v>
      </c>
      <c r="AA211" s="5"/>
      <c r="AB211" s="5"/>
      <c r="AC211" s="5"/>
      <c r="AD211" s="5" t="s">
        <v>2744</v>
      </c>
      <c r="AE211" s="5"/>
      <c r="AF211" s="5" t="s">
        <v>2745</v>
      </c>
      <c r="AG211" s="5" t="s">
        <v>2745</v>
      </c>
      <c r="AH211" s="5"/>
      <c r="AI211" s="5"/>
      <c r="AJ211" s="5"/>
      <c r="AK211" s="5"/>
      <c r="AL211" s="5" t="s">
        <v>2745</v>
      </c>
      <c r="AM211" s="5" t="s">
        <v>2746</v>
      </c>
      <c r="AN211" s="5"/>
      <c r="AO211" s="5" t="s">
        <v>2747</v>
      </c>
      <c r="AP211" s="5"/>
      <c r="AQ211" s="5"/>
      <c r="AR211" s="5" t="s">
        <v>646</v>
      </c>
      <c r="AS211" s="5"/>
      <c r="AT211" s="5"/>
      <c r="AU211" s="5" t="s">
        <v>2628</v>
      </c>
      <c r="AV211" s="5" t="s">
        <v>178</v>
      </c>
      <c r="AW211" s="5" t="s">
        <v>2748</v>
      </c>
    </row>
    <row r="212" customFormat="false" ht="135.8" hidden="false" customHeight="false" outlineLevel="0" collapsed="false">
      <c r="A212" s="5" t="s">
        <v>2749</v>
      </c>
      <c r="B212" s="5" t="s">
        <v>2750</v>
      </c>
      <c r="C212" s="5" t="s">
        <v>2602</v>
      </c>
      <c r="D212" s="5" t="s">
        <v>2603</v>
      </c>
      <c r="E212" s="5" t="s">
        <v>626</v>
      </c>
      <c r="F212" s="5" t="s">
        <v>2751</v>
      </c>
      <c r="G212" s="5" t="s">
        <v>2752</v>
      </c>
      <c r="H212" s="5" t="n">
        <v>10</v>
      </c>
      <c r="I212" s="5" t="s">
        <v>603</v>
      </c>
      <c r="J212" s="5" t="s">
        <v>153</v>
      </c>
      <c r="K212" s="5" t="s">
        <v>2753</v>
      </c>
      <c r="L212" s="5" t="s">
        <v>30</v>
      </c>
      <c r="M212" s="5" t="s">
        <v>155</v>
      </c>
      <c r="N212" s="5" t="s">
        <v>2754</v>
      </c>
      <c r="O212" s="5" t="s">
        <v>570</v>
      </c>
      <c r="P212" s="5" t="s">
        <v>158</v>
      </c>
      <c r="Q212" s="5" t="s">
        <v>440</v>
      </c>
      <c r="R212" s="5" t="s">
        <v>2608</v>
      </c>
      <c r="S212" s="5" t="s">
        <v>2609</v>
      </c>
      <c r="T212" s="5" t="s">
        <v>606</v>
      </c>
      <c r="U212" s="5" t="n">
        <v>365</v>
      </c>
      <c r="V212" s="5" t="s">
        <v>2610</v>
      </c>
      <c r="W212" s="5" t="s">
        <v>2755</v>
      </c>
      <c r="X212" s="5" t="s">
        <v>2756</v>
      </c>
      <c r="Y212" s="5" t="s">
        <v>2757</v>
      </c>
      <c r="Z212" s="5" t="s">
        <v>2758</v>
      </c>
      <c r="AA212" s="5" t="s">
        <v>2759</v>
      </c>
      <c r="AB212" s="5"/>
      <c r="AC212" s="5"/>
      <c r="AD212" s="5" t="s">
        <v>2760</v>
      </c>
      <c r="AE212" s="5"/>
      <c r="AF212" s="5" t="s">
        <v>2761</v>
      </c>
      <c r="AG212" s="5"/>
      <c r="AH212" s="5"/>
      <c r="AI212" s="5"/>
      <c r="AJ212" s="5" t="s">
        <v>2762</v>
      </c>
      <c r="AK212" s="5"/>
      <c r="AL212" s="5" t="s">
        <v>2761</v>
      </c>
      <c r="AM212" s="5"/>
      <c r="AN212" s="5"/>
      <c r="AO212" s="5" t="s">
        <v>2763</v>
      </c>
      <c r="AP212" s="5"/>
      <c r="AQ212" s="5"/>
      <c r="AR212" s="5" t="s">
        <v>646</v>
      </c>
      <c r="AS212" s="5"/>
      <c r="AT212" s="5" t="s">
        <v>2711</v>
      </c>
      <c r="AU212" s="5"/>
      <c r="AV212" s="5" t="s">
        <v>178</v>
      </c>
      <c r="AW212" s="5" t="s">
        <v>2764</v>
      </c>
    </row>
    <row r="213" customFormat="false" ht="169.4" hidden="false" customHeight="false" outlineLevel="0" collapsed="false">
      <c r="A213" s="5" t="s">
        <v>2765</v>
      </c>
      <c r="B213" s="5" t="s">
        <v>2766</v>
      </c>
      <c r="C213" s="5" t="s">
        <v>2602</v>
      </c>
      <c r="D213" s="5" t="s">
        <v>2603</v>
      </c>
      <c r="E213" s="5" t="s">
        <v>626</v>
      </c>
      <c r="F213" s="5" t="s">
        <v>2767</v>
      </c>
      <c r="G213" s="5" t="s">
        <v>2768</v>
      </c>
      <c r="H213" s="5" t="n">
        <v>9</v>
      </c>
      <c r="I213" s="5" t="s">
        <v>603</v>
      </c>
      <c r="J213" s="5" t="s">
        <v>153</v>
      </c>
      <c r="K213" s="5" t="s">
        <v>2606</v>
      </c>
      <c r="L213" s="5" t="s">
        <v>30</v>
      </c>
      <c r="M213" s="5" t="s">
        <v>155</v>
      </c>
      <c r="N213" s="5" t="s">
        <v>127</v>
      </c>
      <c r="O213" s="5" t="s">
        <v>570</v>
      </c>
      <c r="P213" s="5" t="s">
        <v>158</v>
      </c>
      <c r="Q213" s="5" t="s">
        <v>440</v>
      </c>
      <c r="R213" s="5" t="s">
        <v>2608</v>
      </c>
      <c r="S213" s="5" t="s">
        <v>2609</v>
      </c>
      <c r="T213" s="5" t="s">
        <v>606</v>
      </c>
      <c r="U213" s="5" t="n">
        <v>365</v>
      </c>
      <c r="V213" s="5" t="s">
        <v>2610</v>
      </c>
      <c r="W213" s="5" t="s">
        <v>2755</v>
      </c>
      <c r="X213" s="5" t="s">
        <v>2769</v>
      </c>
      <c r="Y213" s="5" t="s">
        <v>2770</v>
      </c>
      <c r="Z213" s="5" t="s">
        <v>2771</v>
      </c>
      <c r="AA213" s="5"/>
      <c r="AB213" s="5"/>
      <c r="AC213" s="5"/>
      <c r="AD213" s="5" t="s">
        <v>2772</v>
      </c>
      <c r="AE213" s="5"/>
      <c r="AF213" s="5" t="s">
        <v>2773</v>
      </c>
      <c r="AG213" s="5"/>
      <c r="AH213" s="5"/>
      <c r="AI213" s="5"/>
      <c r="AJ213" s="5"/>
      <c r="AK213" s="5"/>
      <c r="AL213" s="5" t="s">
        <v>2773</v>
      </c>
      <c r="AM213" s="5"/>
      <c r="AN213" s="5"/>
      <c r="AO213" s="5"/>
      <c r="AP213" s="5"/>
      <c r="AQ213" s="5"/>
      <c r="AR213" s="5" t="s">
        <v>646</v>
      </c>
      <c r="AS213" s="5"/>
      <c r="AT213" s="5"/>
      <c r="AU213" s="5"/>
      <c r="AV213" s="5"/>
      <c r="AW213" s="5" t="s">
        <v>2764</v>
      </c>
    </row>
    <row r="214" customFormat="false" ht="124.6" hidden="false" customHeight="false" outlineLevel="0" collapsed="false">
      <c r="A214" s="5" t="s">
        <v>2774</v>
      </c>
      <c r="B214" s="5" t="s">
        <v>2775</v>
      </c>
      <c r="C214" s="5" t="s">
        <v>2602</v>
      </c>
      <c r="D214" s="5" t="s">
        <v>2603</v>
      </c>
      <c r="E214" s="5" t="s">
        <v>626</v>
      </c>
      <c r="F214" s="5" t="s">
        <v>2776</v>
      </c>
      <c r="G214" s="5" t="s">
        <v>2777</v>
      </c>
      <c r="H214" s="5" t="n">
        <v>8</v>
      </c>
      <c r="I214" s="5" t="s">
        <v>603</v>
      </c>
      <c r="J214" s="5" t="s">
        <v>153</v>
      </c>
      <c r="K214" s="5"/>
      <c r="L214" s="5" t="s">
        <v>68</v>
      </c>
      <c r="M214" s="5" t="s">
        <v>185</v>
      </c>
      <c r="N214" s="5" t="s">
        <v>72</v>
      </c>
      <c r="O214" s="5" t="s">
        <v>666</v>
      </c>
      <c r="P214" s="5" t="s">
        <v>158</v>
      </c>
      <c r="Q214" s="5" t="s">
        <v>277</v>
      </c>
      <c r="R214" s="5" t="s">
        <v>2608</v>
      </c>
      <c r="S214" s="5" t="s">
        <v>2609</v>
      </c>
      <c r="T214" s="5" t="s">
        <v>606</v>
      </c>
      <c r="U214" s="5" t="n">
        <v>365</v>
      </c>
      <c r="V214" s="5" t="s">
        <v>2610</v>
      </c>
      <c r="W214" s="5" t="s">
        <v>2755</v>
      </c>
      <c r="X214" s="5" t="s">
        <v>2778</v>
      </c>
      <c r="Y214" s="5" t="s">
        <v>2779</v>
      </c>
      <c r="Z214" s="5" t="s">
        <v>2780</v>
      </c>
      <c r="AA214" s="5"/>
      <c r="AB214" s="5"/>
      <c r="AC214" s="5"/>
      <c r="AD214" s="5"/>
      <c r="AE214" s="5"/>
      <c r="AF214" s="5" t="s">
        <v>2781</v>
      </c>
      <c r="AG214" s="5"/>
      <c r="AH214" s="5"/>
      <c r="AI214" s="5"/>
      <c r="AJ214" s="5"/>
      <c r="AK214" s="5"/>
      <c r="AL214" s="5" t="s">
        <v>2781</v>
      </c>
      <c r="AM214" s="5"/>
      <c r="AN214" s="5"/>
      <c r="AO214" s="5" t="s">
        <v>2782</v>
      </c>
      <c r="AP214" s="5"/>
      <c r="AQ214" s="5"/>
      <c r="AR214" s="5" t="s">
        <v>646</v>
      </c>
      <c r="AS214" s="5"/>
      <c r="AT214" s="5" t="s">
        <v>2711</v>
      </c>
      <c r="AU214" s="5"/>
      <c r="AV214" s="5" t="s">
        <v>178</v>
      </c>
      <c r="AW214" s="5" t="s">
        <v>2764</v>
      </c>
    </row>
    <row r="215" customFormat="false" ht="169.4" hidden="false" customHeight="false" outlineLevel="0" collapsed="false">
      <c r="A215" s="5" t="s">
        <v>2783</v>
      </c>
      <c r="B215" s="5" t="s">
        <v>2784</v>
      </c>
      <c r="C215" s="5" t="s">
        <v>2602</v>
      </c>
      <c r="D215" s="5" t="s">
        <v>2603</v>
      </c>
      <c r="E215" s="5" t="s">
        <v>626</v>
      </c>
      <c r="F215" s="5" t="s">
        <v>2785</v>
      </c>
      <c r="G215" s="5" t="s">
        <v>2786</v>
      </c>
      <c r="H215" s="5" t="n">
        <v>5</v>
      </c>
      <c r="I215" s="5" t="s">
        <v>603</v>
      </c>
      <c r="J215" s="5" t="s">
        <v>153</v>
      </c>
      <c r="K215" s="5"/>
      <c r="L215" s="5" t="s">
        <v>85</v>
      </c>
      <c r="M215" s="5" t="s">
        <v>185</v>
      </c>
      <c r="N215" s="5" t="s">
        <v>88</v>
      </c>
      <c r="O215" s="5" t="s">
        <v>214</v>
      </c>
      <c r="P215" s="5" t="s">
        <v>215</v>
      </c>
      <c r="Q215" s="5" t="s">
        <v>440</v>
      </c>
      <c r="R215" s="5" t="s">
        <v>2608</v>
      </c>
      <c r="S215" s="5" t="s">
        <v>2609</v>
      </c>
      <c r="T215" s="5" t="s">
        <v>606</v>
      </c>
      <c r="U215" s="5" t="n">
        <v>365</v>
      </c>
      <c r="V215" s="5" t="s">
        <v>2610</v>
      </c>
      <c r="W215" s="5" t="s">
        <v>2611</v>
      </c>
      <c r="X215" s="5" t="s">
        <v>2787</v>
      </c>
      <c r="Y215" s="5" t="s">
        <v>2788</v>
      </c>
      <c r="Z215" s="5" t="s">
        <v>2789</v>
      </c>
      <c r="AA215" s="5"/>
      <c r="AB215" s="5"/>
      <c r="AC215" s="5"/>
      <c r="AD215" s="5"/>
      <c r="AE215" s="5"/>
      <c r="AF215" s="5" t="s">
        <v>2790</v>
      </c>
      <c r="AG215" s="5"/>
      <c r="AH215" s="5"/>
      <c r="AI215" s="5"/>
      <c r="AJ215" s="5"/>
      <c r="AK215" s="5"/>
      <c r="AL215" s="5" t="s">
        <v>2790</v>
      </c>
      <c r="AM215" s="5"/>
      <c r="AN215" s="5"/>
      <c r="AO215" s="5"/>
      <c r="AP215" s="5"/>
      <c r="AQ215" s="5" t="s">
        <v>2791</v>
      </c>
      <c r="AR215" s="5" t="s">
        <v>646</v>
      </c>
      <c r="AS215" s="5"/>
      <c r="AT215" s="5"/>
      <c r="AU215" s="5"/>
      <c r="AV215" s="5"/>
      <c r="AW215" s="5" t="s">
        <v>2764</v>
      </c>
    </row>
    <row r="216" customFormat="false" ht="202.95" hidden="false" customHeight="false" outlineLevel="0" collapsed="false">
      <c r="A216" s="5" t="s">
        <v>2792</v>
      </c>
      <c r="B216" s="5" t="s">
        <v>2793</v>
      </c>
      <c r="C216" s="5" t="s">
        <v>2794</v>
      </c>
      <c r="D216" s="5" t="s">
        <v>2795</v>
      </c>
      <c r="E216" s="5" t="s">
        <v>149</v>
      </c>
      <c r="F216" s="5" t="s">
        <v>2796</v>
      </c>
      <c r="G216" s="5" t="s">
        <v>2797</v>
      </c>
      <c r="H216" s="5" t="n">
        <v>10</v>
      </c>
      <c r="I216" s="5" t="s">
        <v>1221</v>
      </c>
      <c r="J216" s="5" t="s">
        <v>153</v>
      </c>
      <c r="K216" s="5" t="s">
        <v>2606</v>
      </c>
      <c r="L216" s="5" t="s">
        <v>30</v>
      </c>
      <c r="M216" s="5" t="s">
        <v>155</v>
      </c>
      <c r="N216" s="5" t="s">
        <v>2798</v>
      </c>
      <c r="O216" s="5" t="s">
        <v>570</v>
      </c>
      <c r="P216" s="5" t="s">
        <v>158</v>
      </c>
      <c r="Q216" s="5" t="s">
        <v>277</v>
      </c>
      <c r="R216" s="5" t="s">
        <v>2799</v>
      </c>
      <c r="S216" s="5" t="s">
        <v>2800</v>
      </c>
      <c r="T216" s="5" t="s">
        <v>162</v>
      </c>
      <c r="U216" s="5" t="n">
        <v>365</v>
      </c>
      <c r="V216" s="5" t="s">
        <v>2801</v>
      </c>
      <c r="W216" s="5" t="s">
        <v>2802</v>
      </c>
      <c r="X216" s="5" t="s">
        <v>2803</v>
      </c>
      <c r="Y216" s="5" t="s">
        <v>2804</v>
      </c>
      <c r="Z216" s="5" t="s">
        <v>2805</v>
      </c>
      <c r="AA216" s="5" t="s">
        <v>2806</v>
      </c>
      <c r="AB216" s="5"/>
      <c r="AC216" s="5"/>
      <c r="AD216" s="5"/>
      <c r="AE216" s="5"/>
      <c r="AF216" s="5" t="s">
        <v>2807</v>
      </c>
      <c r="AG216" s="5" t="s">
        <v>2807</v>
      </c>
      <c r="AH216" s="5" t="s">
        <v>2808</v>
      </c>
      <c r="AI216" s="5" t="s">
        <v>2809</v>
      </c>
      <c r="AJ216" s="5"/>
      <c r="AK216" s="5" t="s">
        <v>2810</v>
      </c>
      <c r="AL216" s="5" t="s">
        <v>2807</v>
      </c>
      <c r="AM216" s="5"/>
      <c r="AN216" s="5" t="s">
        <v>2811</v>
      </c>
      <c r="AO216" s="5" t="s">
        <v>2812</v>
      </c>
      <c r="AP216" s="5" t="s">
        <v>2813</v>
      </c>
      <c r="AQ216" s="5" t="s">
        <v>2807</v>
      </c>
      <c r="AR216" s="5" t="s">
        <v>2814</v>
      </c>
      <c r="AS216" s="5"/>
      <c r="AT216" s="5" t="s">
        <v>2815</v>
      </c>
      <c r="AU216" s="5" t="s">
        <v>528</v>
      </c>
      <c r="AV216" s="5" t="s">
        <v>178</v>
      </c>
      <c r="AW216" s="5" t="s">
        <v>2816</v>
      </c>
    </row>
    <row r="217" customFormat="false" ht="124.6" hidden="false" customHeight="false" outlineLevel="0" collapsed="false">
      <c r="A217" s="5" t="s">
        <v>2817</v>
      </c>
      <c r="B217" s="5" t="s">
        <v>2818</v>
      </c>
      <c r="C217" s="5" t="s">
        <v>2794</v>
      </c>
      <c r="D217" s="5" t="s">
        <v>2795</v>
      </c>
      <c r="E217" s="5" t="s">
        <v>626</v>
      </c>
      <c r="F217" s="5" t="s">
        <v>2819</v>
      </c>
      <c r="G217" s="5" t="s">
        <v>2820</v>
      </c>
      <c r="H217" s="5" t="n">
        <v>10</v>
      </c>
      <c r="I217" s="5" t="s">
        <v>1221</v>
      </c>
      <c r="J217" s="5" t="s">
        <v>153</v>
      </c>
      <c r="K217" s="5" t="s">
        <v>2821</v>
      </c>
      <c r="L217" s="5" t="s">
        <v>30</v>
      </c>
      <c r="M217" s="5" t="s">
        <v>155</v>
      </c>
      <c r="N217" s="5" t="s">
        <v>2822</v>
      </c>
      <c r="O217" s="5" t="s">
        <v>157</v>
      </c>
      <c r="P217" s="5" t="s">
        <v>158</v>
      </c>
      <c r="Q217" s="5" t="s">
        <v>335</v>
      </c>
      <c r="R217" s="5" t="s">
        <v>2799</v>
      </c>
      <c r="S217" s="5" t="s">
        <v>2800</v>
      </c>
      <c r="T217" s="5" t="s">
        <v>277</v>
      </c>
      <c r="U217" s="5" t="n">
        <v>365</v>
      </c>
      <c r="V217" s="5" t="s">
        <v>2801</v>
      </c>
      <c r="W217" s="5" t="s">
        <v>2802</v>
      </c>
      <c r="X217" s="5" t="s">
        <v>2823</v>
      </c>
      <c r="Y217" s="5" t="s">
        <v>2824</v>
      </c>
      <c r="Z217" s="5" t="s">
        <v>2825</v>
      </c>
      <c r="AA217" s="5"/>
      <c r="AB217" s="5"/>
      <c r="AC217" s="5"/>
      <c r="AD217" s="5"/>
      <c r="AE217" s="5"/>
      <c r="AF217" s="5" t="s">
        <v>684</v>
      </c>
      <c r="AG217" s="5" t="s">
        <v>684</v>
      </c>
      <c r="AH217" s="5"/>
      <c r="AI217" s="5"/>
      <c r="AJ217" s="5"/>
      <c r="AK217" s="5" t="s">
        <v>2826</v>
      </c>
      <c r="AL217" s="5" t="s">
        <v>684</v>
      </c>
      <c r="AM217" s="5"/>
      <c r="AN217" s="5"/>
      <c r="AO217" s="5"/>
      <c r="AP217" s="5"/>
      <c r="AQ217" s="5" t="s">
        <v>684</v>
      </c>
      <c r="AR217" s="5" t="s">
        <v>687</v>
      </c>
      <c r="AS217" s="5"/>
      <c r="AT217" s="5"/>
      <c r="AU217" s="5"/>
      <c r="AV217" s="5" t="s">
        <v>178</v>
      </c>
      <c r="AW217" s="5" t="s">
        <v>2827</v>
      </c>
    </row>
    <row r="218" customFormat="false" ht="147" hidden="false" customHeight="false" outlineLevel="0" collapsed="false">
      <c r="A218" s="5" t="s">
        <v>2828</v>
      </c>
      <c r="B218" s="5" t="s">
        <v>2829</v>
      </c>
      <c r="C218" s="5" t="s">
        <v>2794</v>
      </c>
      <c r="D218" s="5" t="s">
        <v>2795</v>
      </c>
      <c r="E218" s="5" t="s">
        <v>626</v>
      </c>
      <c r="F218" s="5" t="s">
        <v>2830</v>
      </c>
      <c r="G218" s="5" t="s">
        <v>2831</v>
      </c>
      <c r="H218" s="5" t="n">
        <v>9</v>
      </c>
      <c r="I218" s="5" t="s">
        <v>1221</v>
      </c>
      <c r="J218" s="5" t="s">
        <v>153</v>
      </c>
      <c r="K218" s="5" t="s">
        <v>2832</v>
      </c>
      <c r="L218" s="5" t="s">
        <v>30</v>
      </c>
      <c r="M218" s="5" t="s">
        <v>155</v>
      </c>
      <c r="N218" s="5" t="s">
        <v>2833</v>
      </c>
      <c r="O218" s="5" t="s">
        <v>157</v>
      </c>
      <c r="P218" s="5" t="s">
        <v>158</v>
      </c>
      <c r="Q218" s="5" t="s">
        <v>605</v>
      </c>
      <c r="R218" s="5" t="s">
        <v>2799</v>
      </c>
      <c r="S218" s="5" t="s">
        <v>2800</v>
      </c>
      <c r="T218" s="5" t="s">
        <v>277</v>
      </c>
      <c r="U218" s="5" t="n">
        <v>365</v>
      </c>
      <c r="V218" s="5" t="s">
        <v>2801</v>
      </c>
      <c r="W218" s="5" t="s">
        <v>2802</v>
      </c>
      <c r="X218" s="5" t="s">
        <v>2834</v>
      </c>
      <c r="Y218" s="5" t="s">
        <v>2835</v>
      </c>
      <c r="Z218" s="5" t="s">
        <v>2836</v>
      </c>
      <c r="AA218" s="5" t="s">
        <v>2806</v>
      </c>
      <c r="AB218" s="5"/>
      <c r="AC218" s="5"/>
      <c r="AD218" s="5"/>
      <c r="AE218" s="5"/>
      <c r="AF218" s="5"/>
      <c r="AG218" s="5"/>
      <c r="AH218" s="5"/>
      <c r="AI218" s="5" t="s">
        <v>2809</v>
      </c>
      <c r="AJ218" s="5"/>
      <c r="AK218" s="5" t="s">
        <v>2837</v>
      </c>
      <c r="AL218" s="5"/>
      <c r="AM218" s="5"/>
      <c r="AN218" s="5"/>
      <c r="AO218" s="5"/>
      <c r="AP218" s="5" t="s">
        <v>2838</v>
      </c>
      <c r="AQ218" s="5"/>
      <c r="AR218" s="5"/>
      <c r="AS218" s="5"/>
      <c r="AT218" s="5"/>
      <c r="AU218" s="5" t="s">
        <v>2545</v>
      </c>
      <c r="AV218" s="5" t="s">
        <v>178</v>
      </c>
      <c r="AW218" s="5" t="s">
        <v>2839</v>
      </c>
    </row>
    <row r="219" customFormat="false" ht="124.6" hidden="false" customHeight="false" outlineLevel="0" collapsed="false">
      <c r="A219" s="5" t="s">
        <v>2840</v>
      </c>
      <c r="B219" s="5" t="s">
        <v>2841</v>
      </c>
      <c r="C219" s="5" t="s">
        <v>2794</v>
      </c>
      <c r="D219" s="5" t="s">
        <v>2795</v>
      </c>
      <c r="E219" s="5" t="s">
        <v>626</v>
      </c>
      <c r="F219" s="5" t="s">
        <v>2842</v>
      </c>
      <c r="G219" s="5" t="s">
        <v>2843</v>
      </c>
      <c r="H219" s="5" t="n">
        <v>6</v>
      </c>
      <c r="I219" s="5" t="s">
        <v>1221</v>
      </c>
      <c r="J219" s="5" t="s">
        <v>153</v>
      </c>
      <c r="K219" s="5" t="s">
        <v>2844</v>
      </c>
      <c r="L219" s="5" t="s">
        <v>55</v>
      </c>
      <c r="M219" s="5" t="s">
        <v>185</v>
      </c>
      <c r="N219" s="5" t="s">
        <v>54</v>
      </c>
      <c r="O219" s="5" t="s">
        <v>187</v>
      </c>
      <c r="P219" s="5" t="s">
        <v>215</v>
      </c>
      <c r="Q219" s="5" t="s">
        <v>440</v>
      </c>
      <c r="R219" s="5" t="s">
        <v>2799</v>
      </c>
      <c r="S219" s="5" t="s">
        <v>2800</v>
      </c>
      <c r="T219" s="5" t="s">
        <v>277</v>
      </c>
      <c r="U219" s="5" t="n">
        <v>365</v>
      </c>
      <c r="V219" s="5" t="s">
        <v>2801</v>
      </c>
      <c r="W219" s="5" t="s">
        <v>2802</v>
      </c>
      <c r="X219" s="5" t="s">
        <v>2845</v>
      </c>
      <c r="Y219" s="5" t="s">
        <v>2846</v>
      </c>
      <c r="Z219" s="5" t="s">
        <v>2847</v>
      </c>
      <c r="AA219" s="5"/>
      <c r="AB219" s="5"/>
      <c r="AC219" s="5"/>
      <c r="AD219" s="5"/>
      <c r="AE219" s="5"/>
      <c r="AF219" s="5"/>
      <c r="AG219" s="5"/>
      <c r="AH219" s="5"/>
      <c r="AI219" s="5"/>
      <c r="AJ219" s="5"/>
      <c r="AK219" s="5" t="s">
        <v>2837</v>
      </c>
      <c r="AL219" s="5"/>
      <c r="AM219" s="5"/>
      <c r="AN219" s="5"/>
      <c r="AO219" s="5"/>
      <c r="AP219" s="5"/>
      <c r="AQ219" s="5"/>
      <c r="AR219" s="5"/>
      <c r="AS219" s="5"/>
      <c r="AT219" s="5"/>
      <c r="AU219" s="5"/>
      <c r="AV219" s="5" t="s">
        <v>178</v>
      </c>
      <c r="AW219" s="5" t="s">
        <v>2848</v>
      </c>
    </row>
    <row r="220" customFormat="false" ht="135.8" hidden="false" customHeight="false" outlineLevel="0" collapsed="false">
      <c r="A220" s="5" t="s">
        <v>2849</v>
      </c>
      <c r="B220" s="5" t="s">
        <v>2850</v>
      </c>
      <c r="C220" s="5" t="s">
        <v>2794</v>
      </c>
      <c r="D220" s="5" t="s">
        <v>2795</v>
      </c>
      <c r="E220" s="5" t="s">
        <v>626</v>
      </c>
      <c r="F220" s="5" t="s">
        <v>2851</v>
      </c>
      <c r="G220" s="5" t="s">
        <v>2852</v>
      </c>
      <c r="H220" s="5" t="n">
        <v>9</v>
      </c>
      <c r="I220" s="5" t="s">
        <v>152</v>
      </c>
      <c r="J220" s="5" t="s">
        <v>153</v>
      </c>
      <c r="K220" s="5" t="s">
        <v>2853</v>
      </c>
      <c r="L220" s="5" t="s">
        <v>30</v>
      </c>
      <c r="M220" s="5" t="s">
        <v>155</v>
      </c>
      <c r="N220" s="5" t="s">
        <v>2854</v>
      </c>
      <c r="O220" s="5" t="s">
        <v>157</v>
      </c>
      <c r="P220" s="5" t="s">
        <v>215</v>
      </c>
      <c r="Q220" s="5" t="s">
        <v>440</v>
      </c>
      <c r="R220" s="5" t="s">
        <v>2799</v>
      </c>
      <c r="S220" s="5" t="s">
        <v>2800</v>
      </c>
      <c r="T220" s="5" t="s">
        <v>162</v>
      </c>
      <c r="U220" s="5" t="n">
        <v>365</v>
      </c>
      <c r="V220" s="5" t="s">
        <v>2801</v>
      </c>
      <c r="W220" s="5" t="s">
        <v>2802</v>
      </c>
      <c r="X220" s="5" t="s">
        <v>2855</v>
      </c>
      <c r="Y220" s="5" t="s">
        <v>2856</v>
      </c>
      <c r="Z220" s="5" t="s">
        <v>2857</v>
      </c>
      <c r="AA220" s="5"/>
      <c r="AB220" s="5"/>
      <c r="AC220" s="5"/>
      <c r="AD220" s="5"/>
      <c r="AE220" s="5"/>
      <c r="AF220" s="5"/>
      <c r="AG220" s="5"/>
      <c r="AH220" s="5"/>
      <c r="AI220" s="5" t="s">
        <v>2809</v>
      </c>
      <c r="AJ220" s="5"/>
      <c r="AK220" s="5" t="s">
        <v>2837</v>
      </c>
      <c r="AL220" s="5"/>
      <c r="AM220" s="5"/>
      <c r="AN220" s="5"/>
      <c r="AO220" s="5"/>
      <c r="AP220" s="5"/>
      <c r="AQ220" s="5"/>
      <c r="AR220" s="5"/>
      <c r="AS220" s="5"/>
      <c r="AT220" s="5"/>
      <c r="AU220" s="5" t="s">
        <v>2858</v>
      </c>
      <c r="AV220" s="5" t="s">
        <v>178</v>
      </c>
      <c r="AW220" s="5" t="s">
        <v>2839</v>
      </c>
    </row>
    <row r="221" customFormat="false" ht="147" hidden="false" customHeight="false" outlineLevel="0" collapsed="false">
      <c r="A221" s="5" t="s">
        <v>2859</v>
      </c>
      <c r="B221" s="5" t="s">
        <v>2860</v>
      </c>
      <c r="C221" s="5" t="s">
        <v>2794</v>
      </c>
      <c r="D221" s="5" t="s">
        <v>2795</v>
      </c>
      <c r="E221" s="5" t="s">
        <v>514</v>
      </c>
      <c r="F221" s="5" t="s">
        <v>2861</v>
      </c>
      <c r="G221" s="5" t="s">
        <v>2862</v>
      </c>
      <c r="H221" s="5" t="n">
        <v>10</v>
      </c>
      <c r="I221" s="5" t="s">
        <v>1221</v>
      </c>
      <c r="J221" s="5" t="s">
        <v>652</v>
      </c>
      <c r="K221" s="5" t="s">
        <v>2863</v>
      </c>
      <c r="L221" s="5" t="s">
        <v>30</v>
      </c>
      <c r="M221" s="5" t="s">
        <v>155</v>
      </c>
      <c r="N221" s="5" t="s">
        <v>2864</v>
      </c>
      <c r="O221" s="5" t="s">
        <v>570</v>
      </c>
      <c r="P221" s="5" t="s">
        <v>158</v>
      </c>
      <c r="Q221" s="5" t="s">
        <v>335</v>
      </c>
      <c r="R221" s="5" t="s">
        <v>2799</v>
      </c>
      <c r="S221" s="5" t="s">
        <v>2800</v>
      </c>
      <c r="T221" s="5" t="s">
        <v>277</v>
      </c>
      <c r="U221" s="5" t="n">
        <v>180</v>
      </c>
      <c r="V221" s="5" t="s">
        <v>2801</v>
      </c>
      <c r="W221" s="5" t="s">
        <v>2802</v>
      </c>
      <c r="X221" s="5" t="s">
        <v>2865</v>
      </c>
      <c r="Y221" s="5" t="s">
        <v>2866</v>
      </c>
      <c r="Z221" s="5" t="s">
        <v>2867</v>
      </c>
      <c r="AA221" s="5" t="s">
        <v>2868</v>
      </c>
      <c r="AB221" s="5"/>
      <c r="AC221" s="5"/>
      <c r="AD221" s="5"/>
      <c r="AE221" s="5" t="s">
        <v>2869</v>
      </c>
      <c r="AF221" s="5"/>
      <c r="AG221" s="5"/>
      <c r="AH221" s="5"/>
      <c r="AI221" s="5" t="s">
        <v>2809</v>
      </c>
      <c r="AJ221" s="5"/>
      <c r="AK221" s="5" t="s">
        <v>2870</v>
      </c>
      <c r="AL221" s="5"/>
      <c r="AM221" s="5"/>
      <c r="AN221" s="5"/>
      <c r="AO221" s="5" t="s">
        <v>2871</v>
      </c>
      <c r="AP221" s="5"/>
      <c r="AQ221" s="5"/>
      <c r="AR221" s="5"/>
      <c r="AS221" s="5"/>
      <c r="AT221" s="5" t="s">
        <v>2872</v>
      </c>
      <c r="AU221" s="5" t="s">
        <v>528</v>
      </c>
      <c r="AV221" s="5" t="s">
        <v>178</v>
      </c>
      <c r="AW221" s="5" t="s">
        <v>2873</v>
      </c>
    </row>
    <row r="222" customFormat="false" ht="124.6" hidden="false" customHeight="false" outlineLevel="0" collapsed="false">
      <c r="A222" s="5" t="s">
        <v>2874</v>
      </c>
      <c r="B222" s="5" t="s">
        <v>2875</v>
      </c>
      <c r="C222" s="5" t="s">
        <v>2794</v>
      </c>
      <c r="D222" s="5" t="s">
        <v>2795</v>
      </c>
      <c r="E222" s="5" t="s">
        <v>626</v>
      </c>
      <c r="F222" s="5" t="s">
        <v>2876</v>
      </c>
      <c r="G222" s="5" t="s">
        <v>2877</v>
      </c>
      <c r="H222" s="5" t="n">
        <v>8</v>
      </c>
      <c r="I222" s="5" t="s">
        <v>1221</v>
      </c>
      <c r="J222" s="5" t="s">
        <v>153</v>
      </c>
      <c r="K222" s="5"/>
      <c r="L222" s="5" t="s">
        <v>68</v>
      </c>
      <c r="M222" s="5" t="s">
        <v>185</v>
      </c>
      <c r="N222" s="5" t="s">
        <v>72</v>
      </c>
      <c r="O222" s="5" t="s">
        <v>666</v>
      </c>
      <c r="P222" s="5" t="s">
        <v>215</v>
      </c>
      <c r="Q222" s="5" t="s">
        <v>440</v>
      </c>
      <c r="R222" s="5" t="s">
        <v>2799</v>
      </c>
      <c r="S222" s="5" t="s">
        <v>2800</v>
      </c>
      <c r="T222" s="5" t="s">
        <v>277</v>
      </c>
      <c r="U222" s="5" t="n">
        <v>365</v>
      </c>
      <c r="V222" s="5" t="s">
        <v>2801</v>
      </c>
      <c r="W222" s="5" t="s">
        <v>2802</v>
      </c>
      <c r="X222" s="5" t="s">
        <v>2878</v>
      </c>
      <c r="Y222" s="5" t="s">
        <v>2879</v>
      </c>
      <c r="Z222" s="5" t="s">
        <v>2880</v>
      </c>
      <c r="AA222" s="5"/>
      <c r="AB222" s="5"/>
      <c r="AC222" s="5"/>
      <c r="AD222" s="5"/>
      <c r="AE222" s="5"/>
      <c r="AF222" s="5"/>
      <c r="AG222" s="5"/>
      <c r="AH222" s="5"/>
      <c r="AI222" s="5"/>
      <c r="AJ222" s="5"/>
      <c r="AK222" s="5"/>
      <c r="AL222" s="5"/>
      <c r="AM222" s="5"/>
      <c r="AN222" s="5"/>
      <c r="AO222" s="5" t="s">
        <v>2881</v>
      </c>
      <c r="AP222" s="5"/>
      <c r="AQ222" s="5"/>
      <c r="AR222" s="5"/>
      <c r="AS222" s="5"/>
      <c r="AT222" s="5"/>
      <c r="AU222" s="5"/>
      <c r="AV222" s="5"/>
      <c r="AW222" s="5" t="s">
        <v>2873</v>
      </c>
    </row>
    <row r="223" customFormat="false" ht="135.8" hidden="false" customHeight="false" outlineLevel="0" collapsed="false">
      <c r="A223" s="5" t="s">
        <v>2882</v>
      </c>
      <c r="B223" s="5" t="s">
        <v>2883</v>
      </c>
      <c r="C223" s="5" t="s">
        <v>2794</v>
      </c>
      <c r="D223" s="5" t="s">
        <v>2795</v>
      </c>
      <c r="E223" s="5" t="s">
        <v>626</v>
      </c>
      <c r="F223" s="5" t="s">
        <v>2884</v>
      </c>
      <c r="G223" s="5" t="s">
        <v>2885</v>
      </c>
      <c r="H223" s="5" t="n">
        <v>8</v>
      </c>
      <c r="I223" s="5" t="s">
        <v>1221</v>
      </c>
      <c r="J223" s="5" t="s">
        <v>153</v>
      </c>
      <c r="K223" s="5" t="s">
        <v>2886</v>
      </c>
      <c r="L223" s="5" t="s">
        <v>30</v>
      </c>
      <c r="M223" s="5" t="s">
        <v>155</v>
      </c>
      <c r="N223" s="5" t="s">
        <v>2887</v>
      </c>
      <c r="O223" s="5" t="s">
        <v>157</v>
      </c>
      <c r="P223" s="5" t="s">
        <v>158</v>
      </c>
      <c r="Q223" s="5" t="s">
        <v>440</v>
      </c>
      <c r="R223" s="5" t="s">
        <v>2799</v>
      </c>
      <c r="S223" s="5" t="s">
        <v>2800</v>
      </c>
      <c r="T223" s="5" t="s">
        <v>277</v>
      </c>
      <c r="U223" s="5" t="n">
        <v>365</v>
      </c>
      <c r="V223" s="5" t="s">
        <v>2801</v>
      </c>
      <c r="W223" s="5" t="s">
        <v>2802</v>
      </c>
      <c r="X223" s="5" t="s">
        <v>2888</v>
      </c>
      <c r="Y223" s="5" t="s">
        <v>2889</v>
      </c>
      <c r="Z223" s="5" t="s">
        <v>2890</v>
      </c>
      <c r="AA223" s="5"/>
      <c r="AB223" s="5"/>
      <c r="AC223" s="5"/>
      <c r="AD223" s="5"/>
      <c r="AE223" s="5"/>
      <c r="AF223" s="5" t="s">
        <v>2891</v>
      </c>
      <c r="AG223" s="5" t="s">
        <v>2891</v>
      </c>
      <c r="AH223" s="5"/>
      <c r="AI223" s="5" t="s">
        <v>2809</v>
      </c>
      <c r="AJ223" s="5"/>
      <c r="AK223" s="5" t="s">
        <v>2837</v>
      </c>
      <c r="AL223" s="5" t="s">
        <v>2891</v>
      </c>
      <c r="AM223" s="5"/>
      <c r="AN223" s="5"/>
      <c r="AO223" s="5"/>
      <c r="AP223" s="5"/>
      <c r="AQ223" s="5" t="s">
        <v>2891</v>
      </c>
      <c r="AR223" s="5" t="s">
        <v>2814</v>
      </c>
      <c r="AS223" s="5"/>
      <c r="AT223" s="5" t="s">
        <v>2892</v>
      </c>
      <c r="AU223" s="5"/>
      <c r="AV223" s="5" t="s">
        <v>178</v>
      </c>
      <c r="AW223" s="5" t="s">
        <v>2839</v>
      </c>
    </row>
    <row r="224" customFormat="false" ht="180.55" hidden="false" customHeight="false" outlineLevel="0" collapsed="false">
      <c r="A224" s="5" t="s">
        <v>2893</v>
      </c>
      <c r="B224" s="5" t="s">
        <v>2894</v>
      </c>
      <c r="C224" s="5" t="s">
        <v>2794</v>
      </c>
      <c r="D224" s="5" t="s">
        <v>2795</v>
      </c>
      <c r="E224" s="5" t="s">
        <v>626</v>
      </c>
      <c r="F224" s="5" t="s">
        <v>2895</v>
      </c>
      <c r="G224" s="5" t="s">
        <v>2896</v>
      </c>
      <c r="H224" s="5" t="n">
        <v>7</v>
      </c>
      <c r="I224" s="5" t="s">
        <v>1221</v>
      </c>
      <c r="J224" s="5" t="s">
        <v>153</v>
      </c>
      <c r="K224" s="5"/>
      <c r="L224" s="5" t="s">
        <v>30</v>
      </c>
      <c r="M224" s="5" t="s">
        <v>155</v>
      </c>
      <c r="N224" s="5" t="s">
        <v>994</v>
      </c>
      <c r="O224" s="5" t="s">
        <v>157</v>
      </c>
      <c r="P224" s="5" t="s">
        <v>641</v>
      </c>
      <c r="Q224" s="5" t="s">
        <v>277</v>
      </c>
      <c r="R224" s="5" t="s">
        <v>2799</v>
      </c>
      <c r="S224" s="5" t="s">
        <v>2800</v>
      </c>
      <c r="T224" s="5" t="s">
        <v>277</v>
      </c>
      <c r="U224" s="5" t="n">
        <v>365</v>
      </c>
      <c r="V224" s="5" t="s">
        <v>2801</v>
      </c>
      <c r="W224" s="5" t="s">
        <v>2802</v>
      </c>
      <c r="X224" s="5" t="s">
        <v>2897</v>
      </c>
      <c r="Y224" s="5" t="s">
        <v>2898</v>
      </c>
      <c r="Z224" s="5" t="s">
        <v>2899</v>
      </c>
      <c r="AA224" s="5"/>
      <c r="AB224" s="5"/>
      <c r="AC224" s="5"/>
      <c r="AD224" s="5"/>
      <c r="AE224" s="5"/>
      <c r="AF224" s="5" t="s">
        <v>2900</v>
      </c>
      <c r="AG224" s="5" t="s">
        <v>2900</v>
      </c>
      <c r="AH224" s="5"/>
      <c r="AI224" s="5"/>
      <c r="AJ224" s="5"/>
      <c r="AK224" s="5"/>
      <c r="AL224" s="5" t="s">
        <v>2900</v>
      </c>
      <c r="AM224" s="5" t="s">
        <v>2900</v>
      </c>
      <c r="AN224" s="5"/>
      <c r="AO224" s="5"/>
      <c r="AP224" s="5"/>
      <c r="AQ224" s="5" t="s">
        <v>2900</v>
      </c>
      <c r="AR224" s="5" t="s">
        <v>2814</v>
      </c>
      <c r="AS224" s="5"/>
      <c r="AT224" s="5" t="s">
        <v>2901</v>
      </c>
      <c r="AU224" s="5"/>
      <c r="AV224" s="5" t="s">
        <v>178</v>
      </c>
      <c r="AW224" s="5" t="s">
        <v>2902</v>
      </c>
    </row>
    <row r="225" customFormat="false" ht="135.8" hidden="false" customHeight="false" outlineLevel="0" collapsed="false">
      <c r="A225" s="5" t="s">
        <v>2903</v>
      </c>
      <c r="B225" s="5" t="s">
        <v>2904</v>
      </c>
      <c r="C225" s="5" t="s">
        <v>2794</v>
      </c>
      <c r="D225" s="5" t="s">
        <v>2795</v>
      </c>
      <c r="E225" s="5" t="s">
        <v>626</v>
      </c>
      <c r="F225" s="5" t="s">
        <v>2905</v>
      </c>
      <c r="G225" s="5" t="s">
        <v>2906</v>
      </c>
      <c r="H225" s="5" t="n">
        <v>2</v>
      </c>
      <c r="I225" s="5" t="s">
        <v>603</v>
      </c>
      <c r="J225" s="5" t="s">
        <v>557</v>
      </c>
      <c r="K225" s="5"/>
      <c r="L225" s="5" t="s">
        <v>30</v>
      </c>
      <c r="M225" s="5" t="s">
        <v>155</v>
      </c>
      <c r="N225" s="5" t="s">
        <v>994</v>
      </c>
      <c r="O225" s="5" t="s">
        <v>157</v>
      </c>
      <c r="P225" s="5" t="s">
        <v>215</v>
      </c>
      <c r="Q225" s="5" t="s">
        <v>440</v>
      </c>
      <c r="R225" s="5" t="s">
        <v>2799</v>
      </c>
      <c r="S225" s="5" t="s">
        <v>2800</v>
      </c>
      <c r="T225" s="5" t="s">
        <v>606</v>
      </c>
      <c r="U225" s="5" t="n">
        <v>90</v>
      </c>
      <c r="V225" s="5" t="s">
        <v>2801</v>
      </c>
      <c r="W225" s="5" t="s">
        <v>2802</v>
      </c>
      <c r="X225" s="5" t="s">
        <v>2907</v>
      </c>
      <c r="Y225" s="5" t="s">
        <v>2908</v>
      </c>
      <c r="Z225" s="5" t="s">
        <v>2909</v>
      </c>
      <c r="AA225" s="5"/>
      <c r="AB225" s="5"/>
      <c r="AC225" s="5"/>
      <c r="AD225" s="5"/>
      <c r="AE225" s="5"/>
      <c r="AF225" s="5" t="s">
        <v>2900</v>
      </c>
      <c r="AG225" s="5" t="s">
        <v>2900</v>
      </c>
      <c r="AH225" s="5"/>
      <c r="AI225" s="5"/>
      <c r="AJ225" s="5"/>
      <c r="AK225" s="5"/>
      <c r="AL225" s="5" t="s">
        <v>2900</v>
      </c>
      <c r="AM225" s="5" t="s">
        <v>2900</v>
      </c>
      <c r="AN225" s="5"/>
      <c r="AO225" s="5"/>
      <c r="AP225" s="5"/>
      <c r="AQ225" s="5" t="s">
        <v>2900</v>
      </c>
      <c r="AR225" s="5" t="s">
        <v>2814</v>
      </c>
      <c r="AS225" s="5"/>
      <c r="AT225" s="5"/>
      <c r="AU225" s="5"/>
      <c r="AV225" s="5"/>
      <c r="AW225" s="5" t="s">
        <v>2902</v>
      </c>
    </row>
    <row r="226" customFormat="false" ht="169.4" hidden="false" customHeight="false" outlineLevel="0" collapsed="false">
      <c r="A226" s="5" t="s">
        <v>2910</v>
      </c>
      <c r="B226" s="5" t="s">
        <v>2911</v>
      </c>
      <c r="C226" s="5" t="s">
        <v>2794</v>
      </c>
      <c r="D226" s="5" t="s">
        <v>2795</v>
      </c>
      <c r="E226" s="5" t="s">
        <v>626</v>
      </c>
      <c r="F226" s="5" t="s">
        <v>2912</v>
      </c>
      <c r="G226" s="5" t="s">
        <v>2913</v>
      </c>
      <c r="H226" s="5" t="n">
        <v>2</v>
      </c>
      <c r="I226" s="5" t="s">
        <v>603</v>
      </c>
      <c r="J226" s="5" t="s">
        <v>153</v>
      </c>
      <c r="K226" s="5"/>
      <c r="L226" s="5" t="s">
        <v>68</v>
      </c>
      <c r="M226" s="5" t="s">
        <v>185</v>
      </c>
      <c r="N226" s="5" t="s">
        <v>2914</v>
      </c>
      <c r="O226" s="5" t="s">
        <v>666</v>
      </c>
      <c r="P226" s="5" t="s">
        <v>215</v>
      </c>
      <c r="Q226" s="5" t="s">
        <v>440</v>
      </c>
      <c r="R226" s="5" t="s">
        <v>2799</v>
      </c>
      <c r="S226" s="5" t="s">
        <v>2800</v>
      </c>
      <c r="T226" s="5" t="s">
        <v>606</v>
      </c>
      <c r="U226" s="5" t="n">
        <v>365</v>
      </c>
      <c r="V226" s="5" t="s">
        <v>2801</v>
      </c>
      <c r="W226" s="5" t="s">
        <v>2802</v>
      </c>
      <c r="X226" s="5" t="s">
        <v>2915</v>
      </c>
      <c r="Y226" s="5" t="s">
        <v>2916</v>
      </c>
      <c r="Z226" s="5" t="s">
        <v>2917</v>
      </c>
      <c r="AA226" s="5"/>
      <c r="AB226" s="5"/>
      <c r="AC226" s="5"/>
      <c r="AD226" s="5"/>
      <c r="AE226" s="5"/>
      <c r="AF226" s="5" t="s">
        <v>2918</v>
      </c>
      <c r="AG226" s="5"/>
      <c r="AH226" s="5"/>
      <c r="AI226" s="5"/>
      <c r="AJ226" s="5"/>
      <c r="AK226" s="5"/>
      <c r="AL226" s="5" t="s">
        <v>2918</v>
      </c>
      <c r="AM226" s="5"/>
      <c r="AN226" s="5"/>
      <c r="AO226" s="5" t="s">
        <v>2919</v>
      </c>
      <c r="AP226" s="5" t="s">
        <v>2920</v>
      </c>
      <c r="AQ226" s="5"/>
      <c r="AR226" s="5" t="s">
        <v>2921</v>
      </c>
      <c r="AS226" s="5"/>
      <c r="AT226" s="5"/>
      <c r="AU226" s="5"/>
      <c r="AV226" s="5"/>
      <c r="AW226" s="5" t="s">
        <v>2922</v>
      </c>
    </row>
    <row r="227" customFormat="false" ht="169.4" hidden="false" customHeight="false" outlineLevel="0" collapsed="false">
      <c r="A227" s="5" t="s">
        <v>2923</v>
      </c>
      <c r="B227" s="5" t="s">
        <v>2924</v>
      </c>
      <c r="C227" s="5" t="s">
        <v>2794</v>
      </c>
      <c r="D227" s="5" t="s">
        <v>2795</v>
      </c>
      <c r="E227" s="5" t="s">
        <v>626</v>
      </c>
      <c r="F227" s="5" t="s">
        <v>2925</v>
      </c>
      <c r="G227" s="5" t="s">
        <v>2926</v>
      </c>
      <c r="H227" s="5" t="n">
        <v>8</v>
      </c>
      <c r="I227" s="5" t="s">
        <v>1221</v>
      </c>
      <c r="J227" s="5" t="s">
        <v>153</v>
      </c>
      <c r="K227" s="5" t="s">
        <v>2927</v>
      </c>
      <c r="L227" s="5" t="s">
        <v>30</v>
      </c>
      <c r="M227" s="5" t="s">
        <v>155</v>
      </c>
      <c r="N227" s="5" t="s">
        <v>895</v>
      </c>
      <c r="O227" s="5" t="s">
        <v>157</v>
      </c>
      <c r="P227" s="5" t="s">
        <v>158</v>
      </c>
      <c r="Q227" s="5" t="s">
        <v>277</v>
      </c>
      <c r="R227" s="5" t="s">
        <v>2799</v>
      </c>
      <c r="S227" s="5" t="s">
        <v>2800</v>
      </c>
      <c r="T227" s="5" t="s">
        <v>277</v>
      </c>
      <c r="U227" s="5" t="n">
        <v>365</v>
      </c>
      <c r="V227" s="5" t="s">
        <v>2801</v>
      </c>
      <c r="W227" s="5" t="s">
        <v>2802</v>
      </c>
      <c r="X227" s="5" t="s">
        <v>2928</v>
      </c>
      <c r="Y227" s="5" t="s">
        <v>2929</v>
      </c>
      <c r="Z227" s="5" t="s">
        <v>2930</v>
      </c>
      <c r="AA227" s="5"/>
      <c r="AB227" s="5"/>
      <c r="AC227" s="5"/>
      <c r="AD227" s="5"/>
      <c r="AE227" s="5"/>
      <c r="AF227" s="5" t="s">
        <v>2931</v>
      </c>
      <c r="AG227" s="5" t="s">
        <v>2931</v>
      </c>
      <c r="AH227" s="5"/>
      <c r="AI227" s="5"/>
      <c r="AJ227" s="5"/>
      <c r="AK227" s="5" t="s">
        <v>2932</v>
      </c>
      <c r="AL227" s="5" t="s">
        <v>2931</v>
      </c>
      <c r="AM227" s="5" t="s">
        <v>2931</v>
      </c>
      <c r="AN227" s="5"/>
      <c r="AO227" s="5"/>
      <c r="AP227" s="5"/>
      <c r="AQ227" s="5"/>
      <c r="AR227" s="5" t="s">
        <v>2814</v>
      </c>
      <c r="AS227" s="5"/>
      <c r="AT227" s="5" t="s">
        <v>2892</v>
      </c>
      <c r="AU227" s="5"/>
      <c r="AV227" s="5" t="s">
        <v>178</v>
      </c>
      <c r="AW227" s="5" t="s">
        <v>2933</v>
      </c>
    </row>
    <row r="228" customFormat="false" ht="124.6" hidden="false" customHeight="false" outlineLevel="0" collapsed="false">
      <c r="A228" s="5" t="s">
        <v>2934</v>
      </c>
      <c r="B228" s="5" t="s">
        <v>2935</v>
      </c>
      <c r="C228" s="5" t="s">
        <v>2794</v>
      </c>
      <c r="D228" s="5" t="s">
        <v>2795</v>
      </c>
      <c r="E228" s="5" t="s">
        <v>600</v>
      </c>
      <c r="F228" s="5" t="s">
        <v>2936</v>
      </c>
      <c r="G228" s="5" t="s">
        <v>2937</v>
      </c>
      <c r="H228" s="5" t="n">
        <v>9</v>
      </c>
      <c r="I228" s="5" t="s">
        <v>1221</v>
      </c>
      <c r="J228" s="5" t="s">
        <v>153</v>
      </c>
      <c r="K228" s="5" t="s">
        <v>2844</v>
      </c>
      <c r="L228" s="5" t="s">
        <v>55</v>
      </c>
      <c r="M228" s="5" t="s">
        <v>185</v>
      </c>
      <c r="N228" s="5" t="s">
        <v>374</v>
      </c>
      <c r="O228" s="5" t="s">
        <v>187</v>
      </c>
      <c r="P228" s="5" t="s">
        <v>158</v>
      </c>
      <c r="Q228" s="5" t="s">
        <v>440</v>
      </c>
      <c r="R228" s="5" t="s">
        <v>2799</v>
      </c>
      <c r="S228" s="5" t="s">
        <v>2800</v>
      </c>
      <c r="T228" s="5" t="s">
        <v>277</v>
      </c>
      <c r="U228" s="5" t="n">
        <v>365</v>
      </c>
      <c r="V228" s="5" t="s">
        <v>2801</v>
      </c>
      <c r="W228" s="5" t="s">
        <v>2802</v>
      </c>
      <c r="X228" s="5" t="s">
        <v>2938</v>
      </c>
      <c r="Y228" s="5" t="s">
        <v>2939</v>
      </c>
      <c r="Z228" s="5" t="s">
        <v>2940</v>
      </c>
      <c r="AA228" s="5"/>
      <c r="AB228" s="5"/>
      <c r="AC228" s="5"/>
      <c r="AD228" s="5"/>
      <c r="AE228" s="5"/>
      <c r="AF228" s="5"/>
      <c r="AG228" s="5"/>
      <c r="AH228" s="5"/>
      <c r="AI228" s="5"/>
      <c r="AJ228" s="5"/>
      <c r="AK228" s="5" t="s">
        <v>2932</v>
      </c>
      <c r="AL228" s="5"/>
      <c r="AM228" s="5"/>
      <c r="AN228" s="5"/>
      <c r="AO228" s="5"/>
      <c r="AP228" s="5" t="s">
        <v>2941</v>
      </c>
      <c r="AQ228" s="5"/>
      <c r="AR228" s="5"/>
      <c r="AS228" s="5"/>
      <c r="AT228" s="5"/>
      <c r="AU228" s="5" t="s">
        <v>528</v>
      </c>
      <c r="AV228" s="5" t="s">
        <v>178</v>
      </c>
      <c r="AW228" s="5" t="s">
        <v>2942</v>
      </c>
    </row>
    <row r="229" customFormat="false" ht="135.8" hidden="false" customHeight="false" outlineLevel="0" collapsed="false">
      <c r="A229" s="5" t="s">
        <v>2943</v>
      </c>
      <c r="B229" s="5" t="s">
        <v>2944</v>
      </c>
      <c r="C229" s="5" t="s">
        <v>2794</v>
      </c>
      <c r="D229" s="5" t="s">
        <v>2795</v>
      </c>
      <c r="E229" s="5" t="s">
        <v>600</v>
      </c>
      <c r="F229" s="5" t="s">
        <v>2945</v>
      </c>
      <c r="G229" s="5" t="s">
        <v>2946</v>
      </c>
      <c r="H229" s="5" t="n">
        <v>7</v>
      </c>
      <c r="I229" s="5" t="s">
        <v>603</v>
      </c>
      <c r="J229" s="5" t="s">
        <v>652</v>
      </c>
      <c r="K229" s="5" t="s">
        <v>2947</v>
      </c>
      <c r="L229" s="5" t="s">
        <v>55</v>
      </c>
      <c r="M229" s="5" t="s">
        <v>185</v>
      </c>
      <c r="N229" s="5" t="s">
        <v>54</v>
      </c>
      <c r="O229" s="5" t="s">
        <v>187</v>
      </c>
      <c r="P229" s="5" t="s">
        <v>215</v>
      </c>
      <c r="Q229" s="5" t="s">
        <v>440</v>
      </c>
      <c r="R229" s="5" t="s">
        <v>2799</v>
      </c>
      <c r="S229" s="5" t="s">
        <v>2800</v>
      </c>
      <c r="T229" s="5" t="s">
        <v>606</v>
      </c>
      <c r="U229" s="5" t="n">
        <v>180</v>
      </c>
      <c r="V229" s="5" t="s">
        <v>2801</v>
      </c>
      <c r="W229" s="5" t="s">
        <v>2802</v>
      </c>
      <c r="X229" s="5" t="s">
        <v>2948</v>
      </c>
      <c r="Y229" s="5" t="s">
        <v>2949</v>
      </c>
      <c r="Z229" s="5" t="s">
        <v>2950</v>
      </c>
      <c r="AA229" s="5"/>
      <c r="AB229" s="5"/>
      <c r="AC229" s="5"/>
      <c r="AD229" s="5"/>
      <c r="AE229" s="5"/>
      <c r="AF229" s="5"/>
      <c r="AG229" s="5"/>
      <c r="AH229" s="5"/>
      <c r="AI229" s="5"/>
      <c r="AJ229" s="5"/>
      <c r="AK229" s="5" t="s">
        <v>2932</v>
      </c>
      <c r="AL229" s="5"/>
      <c r="AM229" s="5"/>
      <c r="AN229" s="5"/>
      <c r="AO229" s="5"/>
      <c r="AP229" s="5"/>
      <c r="AQ229" s="5"/>
      <c r="AR229" s="5"/>
      <c r="AS229" s="5"/>
      <c r="AT229" s="5"/>
      <c r="AU229" s="5"/>
      <c r="AV229" s="5" t="s">
        <v>178</v>
      </c>
      <c r="AW229" s="5" t="s">
        <v>2951</v>
      </c>
    </row>
    <row r="230" customFormat="false" ht="202.95" hidden="false" customHeight="false" outlineLevel="0" collapsed="false">
      <c r="A230" s="5" t="s">
        <v>2952</v>
      </c>
      <c r="B230" s="5" t="s">
        <v>2953</v>
      </c>
      <c r="C230" s="5" t="s">
        <v>2794</v>
      </c>
      <c r="D230" s="5" t="s">
        <v>2795</v>
      </c>
      <c r="E230" s="5" t="s">
        <v>626</v>
      </c>
      <c r="F230" s="5" t="s">
        <v>2954</v>
      </c>
      <c r="G230" s="5" t="s">
        <v>2955</v>
      </c>
      <c r="H230" s="5" t="n">
        <v>9</v>
      </c>
      <c r="I230" s="5" t="s">
        <v>1221</v>
      </c>
      <c r="J230" s="5" t="s">
        <v>153</v>
      </c>
      <c r="K230" s="5" t="s">
        <v>2956</v>
      </c>
      <c r="L230" s="5" t="s">
        <v>30</v>
      </c>
      <c r="M230" s="5" t="s">
        <v>155</v>
      </c>
      <c r="N230" s="5" t="s">
        <v>1030</v>
      </c>
      <c r="O230" s="5" t="s">
        <v>157</v>
      </c>
      <c r="P230" s="5" t="s">
        <v>158</v>
      </c>
      <c r="Q230" s="5" t="s">
        <v>277</v>
      </c>
      <c r="R230" s="5" t="s">
        <v>2799</v>
      </c>
      <c r="S230" s="5" t="s">
        <v>2800</v>
      </c>
      <c r="T230" s="5" t="s">
        <v>277</v>
      </c>
      <c r="U230" s="5" t="n">
        <v>365</v>
      </c>
      <c r="V230" s="5" t="s">
        <v>2801</v>
      </c>
      <c r="W230" s="5" t="s">
        <v>2802</v>
      </c>
      <c r="X230" s="5" t="s">
        <v>2957</v>
      </c>
      <c r="Y230" s="5" t="s">
        <v>2958</v>
      </c>
      <c r="Z230" s="5" t="s">
        <v>2959</v>
      </c>
      <c r="AA230" s="5"/>
      <c r="AB230" s="5"/>
      <c r="AC230" s="5"/>
      <c r="AD230" s="5"/>
      <c r="AE230" s="5"/>
      <c r="AF230" s="5" t="s">
        <v>2960</v>
      </c>
      <c r="AG230" s="5" t="s">
        <v>2960</v>
      </c>
      <c r="AH230" s="5"/>
      <c r="AI230" s="5"/>
      <c r="AJ230" s="5"/>
      <c r="AK230" s="5"/>
      <c r="AL230" s="5" t="s">
        <v>2960</v>
      </c>
      <c r="AM230" s="5" t="s">
        <v>2960</v>
      </c>
      <c r="AN230" s="5"/>
      <c r="AO230" s="5"/>
      <c r="AP230" s="5"/>
      <c r="AQ230" s="5"/>
      <c r="AR230" s="5" t="s">
        <v>2814</v>
      </c>
      <c r="AS230" s="5"/>
      <c r="AT230" s="5" t="s">
        <v>2961</v>
      </c>
      <c r="AU230" s="5"/>
      <c r="AV230" s="5" t="s">
        <v>178</v>
      </c>
      <c r="AW230" s="5" t="s">
        <v>2962</v>
      </c>
    </row>
    <row r="231" customFormat="false" ht="147" hidden="false" customHeight="false" outlineLevel="0" collapsed="false">
      <c r="A231" s="5" t="s">
        <v>2963</v>
      </c>
      <c r="B231" s="5" t="s">
        <v>2964</v>
      </c>
      <c r="C231" s="5" t="s">
        <v>2794</v>
      </c>
      <c r="D231" s="5" t="s">
        <v>2795</v>
      </c>
      <c r="E231" s="5" t="s">
        <v>626</v>
      </c>
      <c r="F231" s="5" t="s">
        <v>2965</v>
      </c>
      <c r="G231" s="5" t="s">
        <v>2966</v>
      </c>
      <c r="H231" s="5" t="n">
        <v>5</v>
      </c>
      <c r="I231" s="5" t="s">
        <v>1221</v>
      </c>
      <c r="J231" s="5" t="s">
        <v>153</v>
      </c>
      <c r="K231" s="5"/>
      <c r="L231" s="5" t="s">
        <v>30</v>
      </c>
      <c r="M231" s="5" t="s">
        <v>155</v>
      </c>
      <c r="N231" s="5" t="s">
        <v>994</v>
      </c>
      <c r="O231" s="5" t="s">
        <v>157</v>
      </c>
      <c r="P231" s="5" t="s">
        <v>215</v>
      </c>
      <c r="Q231" s="5" t="s">
        <v>440</v>
      </c>
      <c r="R231" s="5" t="s">
        <v>2799</v>
      </c>
      <c r="S231" s="5" t="s">
        <v>2800</v>
      </c>
      <c r="T231" s="5" t="s">
        <v>277</v>
      </c>
      <c r="U231" s="5" t="n">
        <v>365</v>
      </c>
      <c r="V231" s="5" t="s">
        <v>2801</v>
      </c>
      <c r="W231" s="5" t="s">
        <v>2802</v>
      </c>
      <c r="X231" s="5" t="s">
        <v>2967</v>
      </c>
      <c r="Y231" s="5" t="s">
        <v>2968</v>
      </c>
      <c r="Z231" s="5" t="s">
        <v>2969</v>
      </c>
      <c r="AA231" s="5"/>
      <c r="AB231" s="5"/>
      <c r="AC231" s="5"/>
      <c r="AD231" s="5"/>
      <c r="AE231" s="5"/>
      <c r="AF231" s="5" t="s">
        <v>1229</v>
      </c>
      <c r="AG231" s="5" t="s">
        <v>1229</v>
      </c>
      <c r="AH231" s="5"/>
      <c r="AI231" s="5"/>
      <c r="AJ231" s="5"/>
      <c r="AK231" s="5"/>
      <c r="AL231" s="5" t="s">
        <v>1229</v>
      </c>
      <c r="AM231" s="5" t="s">
        <v>1229</v>
      </c>
      <c r="AN231" s="5"/>
      <c r="AO231" s="5"/>
      <c r="AP231" s="5"/>
      <c r="AQ231" s="5" t="s">
        <v>1229</v>
      </c>
      <c r="AR231" s="5" t="s">
        <v>646</v>
      </c>
      <c r="AS231" s="5"/>
      <c r="AT231" s="5" t="s">
        <v>2892</v>
      </c>
      <c r="AU231" s="5"/>
      <c r="AV231" s="5" t="s">
        <v>178</v>
      </c>
      <c r="AW231" s="5" t="s">
        <v>2970</v>
      </c>
    </row>
    <row r="232" customFormat="false" ht="180.55" hidden="false" customHeight="false" outlineLevel="0" collapsed="false">
      <c r="A232" s="5" t="s">
        <v>2971</v>
      </c>
      <c r="B232" s="5" t="s">
        <v>2972</v>
      </c>
      <c r="C232" s="5" t="s">
        <v>2794</v>
      </c>
      <c r="D232" s="5" t="s">
        <v>2795</v>
      </c>
      <c r="E232" s="5" t="s">
        <v>626</v>
      </c>
      <c r="F232" s="5" t="s">
        <v>2973</v>
      </c>
      <c r="G232" s="5" t="s">
        <v>2974</v>
      </c>
      <c r="H232" s="5" t="n">
        <v>10</v>
      </c>
      <c r="I232" s="5" t="s">
        <v>1221</v>
      </c>
      <c r="J232" s="5" t="s">
        <v>153</v>
      </c>
      <c r="K232" s="5" t="s">
        <v>780</v>
      </c>
      <c r="L232" s="5" t="s">
        <v>30</v>
      </c>
      <c r="M232" s="5" t="s">
        <v>155</v>
      </c>
      <c r="N232" s="5" t="s">
        <v>2975</v>
      </c>
      <c r="O232" s="5" t="s">
        <v>570</v>
      </c>
      <c r="P232" s="5" t="s">
        <v>158</v>
      </c>
      <c r="Q232" s="5" t="s">
        <v>440</v>
      </c>
      <c r="R232" s="5" t="s">
        <v>2799</v>
      </c>
      <c r="S232" s="5" t="s">
        <v>2800</v>
      </c>
      <c r="T232" s="5" t="s">
        <v>277</v>
      </c>
      <c r="U232" s="5" t="n">
        <v>365</v>
      </c>
      <c r="V232" s="5" t="s">
        <v>2801</v>
      </c>
      <c r="W232" s="5" t="s">
        <v>2802</v>
      </c>
      <c r="X232" s="5" t="s">
        <v>2976</v>
      </c>
      <c r="Y232" s="5" t="s">
        <v>2977</v>
      </c>
      <c r="Z232" s="5" t="s">
        <v>2978</v>
      </c>
      <c r="AA232" s="5"/>
      <c r="AB232" s="5"/>
      <c r="AC232" s="5"/>
      <c r="AD232" s="5"/>
      <c r="AE232" s="5"/>
      <c r="AF232" s="5" t="s">
        <v>2979</v>
      </c>
      <c r="AG232" s="5" t="s">
        <v>2979</v>
      </c>
      <c r="AH232" s="5"/>
      <c r="AI232" s="5"/>
      <c r="AJ232" s="5"/>
      <c r="AK232" s="5"/>
      <c r="AL232" s="5" t="s">
        <v>2979</v>
      </c>
      <c r="AM232" s="5"/>
      <c r="AN232" s="5" t="s">
        <v>2980</v>
      </c>
      <c r="AO232" s="5" t="s">
        <v>787</v>
      </c>
      <c r="AP232" s="5"/>
      <c r="AQ232" s="5" t="s">
        <v>2979</v>
      </c>
      <c r="AR232" s="5" t="s">
        <v>2814</v>
      </c>
      <c r="AS232" s="5"/>
      <c r="AT232" s="5" t="s">
        <v>2981</v>
      </c>
      <c r="AU232" s="5"/>
      <c r="AV232" s="5" t="s">
        <v>178</v>
      </c>
      <c r="AW232" s="5" t="s">
        <v>789</v>
      </c>
    </row>
    <row r="233" customFormat="false" ht="191.75" hidden="false" customHeight="false" outlineLevel="0" collapsed="false">
      <c r="A233" s="5" t="s">
        <v>2982</v>
      </c>
      <c r="B233" s="5" t="s">
        <v>2983</v>
      </c>
      <c r="C233" s="5" t="s">
        <v>2794</v>
      </c>
      <c r="D233" s="5" t="s">
        <v>2795</v>
      </c>
      <c r="E233" s="5" t="s">
        <v>626</v>
      </c>
      <c r="F233" s="5" t="s">
        <v>2984</v>
      </c>
      <c r="G233" s="5" t="s">
        <v>2985</v>
      </c>
      <c r="H233" s="5" t="n">
        <v>10</v>
      </c>
      <c r="I233" s="5" t="s">
        <v>1221</v>
      </c>
      <c r="J233" s="5" t="s">
        <v>153</v>
      </c>
      <c r="K233" s="5" t="s">
        <v>2986</v>
      </c>
      <c r="L233" s="5" t="s">
        <v>30</v>
      </c>
      <c r="M233" s="5" t="s">
        <v>155</v>
      </c>
      <c r="N233" s="5" t="s">
        <v>2987</v>
      </c>
      <c r="O233" s="5" t="s">
        <v>570</v>
      </c>
      <c r="P233" s="5" t="s">
        <v>158</v>
      </c>
      <c r="Q233" s="5" t="s">
        <v>440</v>
      </c>
      <c r="R233" s="5" t="s">
        <v>2799</v>
      </c>
      <c r="S233" s="5" t="s">
        <v>2800</v>
      </c>
      <c r="T233" s="5" t="s">
        <v>277</v>
      </c>
      <c r="U233" s="5" t="n">
        <v>365</v>
      </c>
      <c r="V233" s="5" t="s">
        <v>2801</v>
      </c>
      <c r="W233" s="5" t="s">
        <v>2802</v>
      </c>
      <c r="X233" s="5" t="s">
        <v>2988</v>
      </c>
      <c r="Y233" s="5" t="s">
        <v>2989</v>
      </c>
      <c r="Z233" s="5" t="s">
        <v>2990</v>
      </c>
      <c r="AA233" s="5"/>
      <c r="AB233" s="5"/>
      <c r="AC233" s="5"/>
      <c r="AD233" s="5" t="s">
        <v>2991</v>
      </c>
      <c r="AE233" s="5"/>
      <c r="AF233" s="5" t="s">
        <v>2992</v>
      </c>
      <c r="AG233" s="5" t="s">
        <v>2979</v>
      </c>
      <c r="AH233" s="5" t="s">
        <v>2993</v>
      </c>
      <c r="AI233" s="5"/>
      <c r="AJ233" s="5" t="s">
        <v>2994</v>
      </c>
      <c r="AK233" s="5"/>
      <c r="AL233" s="5" t="s">
        <v>2992</v>
      </c>
      <c r="AM233" s="5"/>
      <c r="AN233" s="5" t="s">
        <v>2980</v>
      </c>
      <c r="AO233" s="5"/>
      <c r="AP233" s="5" t="s">
        <v>2995</v>
      </c>
      <c r="AQ233" s="5" t="s">
        <v>2992</v>
      </c>
      <c r="AR233" s="5" t="s">
        <v>2814</v>
      </c>
      <c r="AS233" s="5"/>
      <c r="AT233" s="5" t="s">
        <v>2996</v>
      </c>
      <c r="AU233" s="5"/>
      <c r="AV233" s="5" t="s">
        <v>178</v>
      </c>
      <c r="AW233" s="5" t="s">
        <v>789</v>
      </c>
    </row>
    <row r="234" customFormat="false" ht="135.8" hidden="false" customHeight="false" outlineLevel="0" collapsed="false">
      <c r="A234" s="5" t="s">
        <v>2997</v>
      </c>
      <c r="B234" s="5" t="s">
        <v>2998</v>
      </c>
      <c r="C234" s="5" t="s">
        <v>2794</v>
      </c>
      <c r="D234" s="5" t="s">
        <v>2795</v>
      </c>
      <c r="E234" s="5" t="s">
        <v>626</v>
      </c>
      <c r="F234" s="5" t="s">
        <v>2999</v>
      </c>
      <c r="G234" s="5" t="s">
        <v>3000</v>
      </c>
      <c r="H234" s="5" t="n">
        <v>9</v>
      </c>
      <c r="I234" s="5" t="s">
        <v>1221</v>
      </c>
      <c r="J234" s="5" t="s">
        <v>153</v>
      </c>
      <c r="K234" s="5"/>
      <c r="L234" s="5" t="s">
        <v>30</v>
      </c>
      <c r="M234" s="5" t="s">
        <v>155</v>
      </c>
      <c r="N234" s="5" t="s">
        <v>619</v>
      </c>
      <c r="O234" s="5" t="s">
        <v>157</v>
      </c>
      <c r="P234" s="5" t="s">
        <v>641</v>
      </c>
      <c r="Q234" s="5" t="s">
        <v>461</v>
      </c>
      <c r="R234" s="5" t="s">
        <v>2799</v>
      </c>
      <c r="S234" s="5" t="s">
        <v>2800</v>
      </c>
      <c r="T234" s="5" t="s">
        <v>277</v>
      </c>
      <c r="U234" s="5" t="n">
        <v>365</v>
      </c>
      <c r="V234" s="5" t="s">
        <v>2801</v>
      </c>
      <c r="W234" s="5" t="s">
        <v>2802</v>
      </c>
      <c r="X234" s="5" t="s">
        <v>3001</v>
      </c>
      <c r="Y234" s="5" t="s">
        <v>3002</v>
      </c>
      <c r="Z234" s="5" t="s">
        <v>3003</v>
      </c>
      <c r="AA234" s="5"/>
      <c r="AB234" s="5"/>
      <c r="AC234" s="5"/>
      <c r="AD234" s="5"/>
      <c r="AE234" s="5"/>
      <c r="AF234" s="5" t="s">
        <v>2992</v>
      </c>
      <c r="AG234" s="5" t="s">
        <v>2979</v>
      </c>
      <c r="AH234" s="5"/>
      <c r="AI234" s="5"/>
      <c r="AJ234" s="5"/>
      <c r="AK234" s="5"/>
      <c r="AL234" s="5" t="s">
        <v>2992</v>
      </c>
      <c r="AM234" s="5"/>
      <c r="AN234" s="5" t="s">
        <v>2980</v>
      </c>
      <c r="AO234" s="5"/>
      <c r="AP234" s="5"/>
      <c r="AQ234" s="5" t="s">
        <v>2992</v>
      </c>
      <c r="AR234" s="5" t="s">
        <v>2814</v>
      </c>
      <c r="AS234" s="5"/>
      <c r="AT234" s="5" t="s">
        <v>2996</v>
      </c>
      <c r="AU234" s="5"/>
      <c r="AV234" s="5" t="s">
        <v>178</v>
      </c>
      <c r="AW234" s="5" t="s">
        <v>3004</v>
      </c>
    </row>
    <row r="235" customFormat="false" ht="124.6" hidden="false" customHeight="false" outlineLevel="0" collapsed="false">
      <c r="A235" s="5" t="s">
        <v>3005</v>
      </c>
      <c r="B235" s="5" t="s">
        <v>3006</v>
      </c>
      <c r="C235" s="5" t="s">
        <v>2794</v>
      </c>
      <c r="D235" s="5" t="s">
        <v>2795</v>
      </c>
      <c r="E235" s="5" t="s">
        <v>626</v>
      </c>
      <c r="F235" s="5" t="s">
        <v>3007</v>
      </c>
      <c r="G235" s="5" t="s">
        <v>3008</v>
      </c>
      <c r="H235" s="5" t="n">
        <v>5</v>
      </c>
      <c r="I235" s="5" t="s">
        <v>603</v>
      </c>
      <c r="J235" s="5" t="s">
        <v>153</v>
      </c>
      <c r="K235" s="5"/>
      <c r="L235" s="5" t="s">
        <v>85</v>
      </c>
      <c r="M235" s="5" t="s">
        <v>185</v>
      </c>
      <c r="N235" s="5" t="s">
        <v>88</v>
      </c>
      <c r="O235" s="5" t="s">
        <v>214</v>
      </c>
      <c r="P235" s="5" t="s">
        <v>641</v>
      </c>
      <c r="Q235" s="5" t="s">
        <v>440</v>
      </c>
      <c r="R235" s="5" t="s">
        <v>2799</v>
      </c>
      <c r="S235" s="5" t="s">
        <v>2800</v>
      </c>
      <c r="T235" s="5" t="s">
        <v>606</v>
      </c>
      <c r="U235" s="5" t="n">
        <v>365</v>
      </c>
      <c r="V235" s="5" t="s">
        <v>2801</v>
      </c>
      <c r="W235" s="5" t="s">
        <v>2802</v>
      </c>
      <c r="X235" s="5" t="s">
        <v>3009</v>
      </c>
      <c r="Y235" s="5" t="s">
        <v>3010</v>
      </c>
      <c r="Z235" s="5" t="s">
        <v>3011</v>
      </c>
      <c r="AA235" s="5"/>
      <c r="AB235" s="5"/>
      <c r="AC235" s="5"/>
      <c r="AD235" s="5"/>
      <c r="AE235" s="5"/>
      <c r="AF235" s="5" t="s">
        <v>3012</v>
      </c>
      <c r="AG235" s="5"/>
      <c r="AH235" s="5"/>
      <c r="AI235" s="5"/>
      <c r="AJ235" s="5"/>
      <c r="AK235" s="5"/>
      <c r="AL235" s="5" t="s">
        <v>3012</v>
      </c>
      <c r="AM235" s="5"/>
      <c r="AN235" s="5"/>
      <c r="AO235" s="5"/>
      <c r="AP235" s="5"/>
      <c r="AQ235" s="5" t="s">
        <v>3012</v>
      </c>
      <c r="AR235" s="5" t="s">
        <v>2814</v>
      </c>
      <c r="AS235" s="5"/>
      <c r="AT235" s="5"/>
      <c r="AU235" s="5"/>
      <c r="AV235" s="5"/>
      <c r="AW235" s="5" t="s">
        <v>3013</v>
      </c>
    </row>
    <row r="236" customFormat="false" ht="191.75" hidden="false" customHeight="false" outlineLevel="0" collapsed="false">
      <c r="A236" s="5" t="s">
        <v>3014</v>
      </c>
      <c r="B236" s="5" t="s">
        <v>3015</v>
      </c>
      <c r="C236" s="5" t="s">
        <v>2794</v>
      </c>
      <c r="D236" s="5" t="s">
        <v>2795</v>
      </c>
      <c r="E236" s="5" t="s">
        <v>626</v>
      </c>
      <c r="F236" s="5" t="s">
        <v>3016</v>
      </c>
      <c r="G236" s="5" t="s">
        <v>3017</v>
      </c>
      <c r="H236" s="5" t="n">
        <v>8</v>
      </c>
      <c r="I236" s="5" t="s">
        <v>603</v>
      </c>
      <c r="J236" s="5" t="s">
        <v>153</v>
      </c>
      <c r="K236" s="5"/>
      <c r="L236" s="5" t="s">
        <v>30</v>
      </c>
      <c r="M236" s="5" t="s">
        <v>155</v>
      </c>
      <c r="N236" s="5" t="s">
        <v>398</v>
      </c>
      <c r="O236" s="5" t="s">
        <v>157</v>
      </c>
      <c r="P236" s="5" t="s">
        <v>158</v>
      </c>
      <c r="Q236" s="5" t="s">
        <v>277</v>
      </c>
      <c r="R236" s="5" t="s">
        <v>2799</v>
      </c>
      <c r="S236" s="5" t="s">
        <v>2800</v>
      </c>
      <c r="T236" s="5" t="s">
        <v>606</v>
      </c>
      <c r="U236" s="5" t="n">
        <v>365</v>
      </c>
      <c r="V236" s="5" t="s">
        <v>2801</v>
      </c>
      <c r="W236" s="5" t="s">
        <v>2802</v>
      </c>
      <c r="X236" s="5" t="s">
        <v>3018</v>
      </c>
      <c r="Y236" s="5" t="s">
        <v>3019</v>
      </c>
      <c r="Z236" s="5" t="s">
        <v>3020</v>
      </c>
      <c r="AA236" s="5"/>
      <c r="AB236" s="5"/>
      <c r="AC236" s="5"/>
      <c r="AD236" s="5"/>
      <c r="AE236" s="5"/>
      <c r="AF236" s="5" t="s">
        <v>3021</v>
      </c>
      <c r="AG236" s="5" t="s">
        <v>3022</v>
      </c>
      <c r="AH236" s="5"/>
      <c r="AI236" s="5"/>
      <c r="AJ236" s="5"/>
      <c r="AK236" s="5"/>
      <c r="AL236" s="5" t="s">
        <v>3021</v>
      </c>
      <c r="AM236" s="5"/>
      <c r="AN236" s="5"/>
      <c r="AO236" s="5"/>
      <c r="AP236" s="5"/>
      <c r="AQ236" s="5" t="s">
        <v>3021</v>
      </c>
      <c r="AR236" s="5" t="s">
        <v>3023</v>
      </c>
      <c r="AS236" s="5"/>
      <c r="AT236" s="5" t="s">
        <v>2892</v>
      </c>
      <c r="AU236" s="5"/>
      <c r="AV236" s="5" t="s">
        <v>178</v>
      </c>
      <c r="AW236" s="5" t="s">
        <v>1664</v>
      </c>
    </row>
    <row r="237" customFormat="false" ht="135.8" hidden="false" customHeight="false" outlineLevel="0" collapsed="false">
      <c r="A237" s="5" t="s">
        <v>3024</v>
      </c>
      <c r="B237" s="5" t="s">
        <v>3025</v>
      </c>
      <c r="C237" s="5" t="s">
        <v>2794</v>
      </c>
      <c r="D237" s="5" t="s">
        <v>2795</v>
      </c>
      <c r="E237" s="5" t="s">
        <v>626</v>
      </c>
      <c r="F237" s="5" t="s">
        <v>3026</v>
      </c>
      <c r="G237" s="5" t="s">
        <v>3027</v>
      </c>
      <c r="H237" s="5" t="n">
        <v>5</v>
      </c>
      <c r="I237" s="5" t="s">
        <v>603</v>
      </c>
      <c r="J237" s="5" t="s">
        <v>153</v>
      </c>
      <c r="K237" s="5"/>
      <c r="L237" s="5" t="s">
        <v>30</v>
      </c>
      <c r="M237" s="5" t="s">
        <v>155</v>
      </c>
      <c r="N237" s="5" t="s">
        <v>398</v>
      </c>
      <c r="O237" s="5" t="s">
        <v>157</v>
      </c>
      <c r="P237" s="5" t="s">
        <v>641</v>
      </c>
      <c r="Q237" s="5" t="s">
        <v>519</v>
      </c>
      <c r="R237" s="5" t="s">
        <v>2799</v>
      </c>
      <c r="S237" s="5" t="s">
        <v>2800</v>
      </c>
      <c r="T237" s="5" t="s">
        <v>606</v>
      </c>
      <c r="U237" s="5" t="n">
        <v>365</v>
      </c>
      <c r="V237" s="5" t="s">
        <v>2801</v>
      </c>
      <c r="W237" s="5" t="s">
        <v>2802</v>
      </c>
      <c r="X237" s="5" t="s">
        <v>3028</v>
      </c>
      <c r="Y237" s="5" t="s">
        <v>3029</v>
      </c>
      <c r="Z237" s="5" t="s">
        <v>3030</v>
      </c>
      <c r="AA237" s="5"/>
      <c r="AB237" s="5"/>
      <c r="AC237" s="5"/>
      <c r="AD237" s="5"/>
      <c r="AE237" s="5"/>
      <c r="AF237" s="5" t="s">
        <v>3022</v>
      </c>
      <c r="AG237" s="5" t="s">
        <v>3022</v>
      </c>
      <c r="AH237" s="5"/>
      <c r="AI237" s="5"/>
      <c r="AJ237" s="5"/>
      <c r="AK237" s="5"/>
      <c r="AL237" s="5" t="s">
        <v>3022</v>
      </c>
      <c r="AM237" s="5"/>
      <c r="AN237" s="5"/>
      <c r="AO237" s="5"/>
      <c r="AP237" s="5"/>
      <c r="AQ237" s="5" t="s">
        <v>3022</v>
      </c>
      <c r="AR237" s="5" t="s">
        <v>2814</v>
      </c>
      <c r="AS237" s="5"/>
      <c r="AT237" s="5"/>
      <c r="AU237" s="5"/>
      <c r="AV237" s="5" t="s">
        <v>178</v>
      </c>
      <c r="AW237" s="5" t="s">
        <v>2951</v>
      </c>
    </row>
    <row r="238" customFormat="false" ht="135.8" hidden="false" customHeight="false" outlineLevel="0" collapsed="false">
      <c r="A238" s="5" t="s">
        <v>3031</v>
      </c>
      <c r="B238" s="5" t="s">
        <v>3032</v>
      </c>
      <c r="C238" s="5" t="s">
        <v>2794</v>
      </c>
      <c r="D238" s="5" t="s">
        <v>2795</v>
      </c>
      <c r="E238" s="5" t="s">
        <v>626</v>
      </c>
      <c r="F238" s="5" t="s">
        <v>3033</v>
      </c>
      <c r="G238" s="5" t="s">
        <v>3034</v>
      </c>
      <c r="H238" s="5" t="n">
        <v>10</v>
      </c>
      <c r="I238" s="5" t="s">
        <v>1221</v>
      </c>
      <c r="J238" s="5" t="s">
        <v>153</v>
      </c>
      <c r="K238" s="5"/>
      <c r="L238" s="5" t="s">
        <v>30</v>
      </c>
      <c r="M238" s="5" t="s">
        <v>155</v>
      </c>
      <c r="N238" s="5" t="s">
        <v>3035</v>
      </c>
      <c r="O238" s="5" t="s">
        <v>157</v>
      </c>
      <c r="P238" s="5" t="s">
        <v>158</v>
      </c>
      <c r="Q238" s="5" t="s">
        <v>277</v>
      </c>
      <c r="R238" s="5" t="s">
        <v>2799</v>
      </c>
      <c r="S238" s="5" t="s">
        <v>2800</v>
      </c>
      <c r="T238" s="5" t="s">
        <v>277</v>
      </c>
      <c r="U238" s="5" t="n">
        <v>365</v>
      </c>
      <c r="V238" s="5" t="s">
        <v>2801</v>
      </c>
      <c r="W238" s="5" t="s">
        <v>3036</v>
      </c>
      <c r="X238" s="5" t="s">
        <v>3037</v>
      </c>
      <c r="Y238" s="5" t="s">
        <v>3038</v>
      </c>
      <c r="Z238" s="5" t="s">
        <v>3039</v>
      </c>
      <c r="AA238" s="5" t="s">
        <v>3040</v>
      </c>
      <c r="AB238" s="5"/>
      <c r="AC238" s="5"/>
      <c r="AD238" s="5"/>
      <c r="AE238" s="5" t="s">
        <v>562</v>
      </c>
      <c r="AF238" s="5"/>
      <c r="AG238" s="5"/>
      <c r="AH238" s="5"/>
      <c r="AI238" s="5" t="s">
        <v>3041</v>
      </c>
      <c r="AJ238" s="5" t="s">
        <v>3042</v>
      </c>
      <c r="AK238" s="5"/>
      <c r="AL238" s="5"/>
      <c r="AM238" s="5"/>
      <c r="AN238" s="5"/>
      <c r="AO238" s="5"/>
      <c r="AP238" s="5" t="s">
        <v>3043</v>
      </c>
      <c r="AQ238" s="5"/>
      <c r="AR238" s="5"/>
      <c r="AS238" s="5"/>
      <c r="AT238" s="5" t="s">
        <v>2892</v>
      </c>
      <c r="AU238" s="5"/>
      <c r="AV238" s="5" t="s">
        <v>178</v>
      </c>
      <c r="AW238" s="5" t="s">
        <v>3044</v>
      </c>
    </row>
    <row r="239" customFormat="false" ht="169.4" hidden="false" customHeight="false" outlineLevel="0" collapsed="false">
      <c r="A239" s="5" t="s">
        <v>3045</v>
      </c>
      <c r="B239" s="5" t="s">
        <v>3046</v>
      </c>
      <c r="C239" s="5" t="s">
        <v>2794</v>
      </c>
      <c r="D239" s="5" t="s">
        <v>2795</v>
      </c>
      <c r="E239" s="5" t="s">
        <v>626</v>
      </c>
      <c r="F239" s="5" t="s">
        <v>3047</v>
      </c>
      <c r="G239" s="5" t="s">
        <v>3048</v>
      </c>
      <c r="H239" s="5" t="n">
        <v>9</v>
      </c>
      <c r="I239" s="5" t="s">
        <v>603</v>
      </c>
      <c r="J239" s="5" t="s">
        <v>153</v>
      </c>
      <c r="K239" s="5"/>
      <c r="L239" s="5" t="s">
        <v>30</v>
      </c>
      <c r="M239" s="5" t="s">
        <v>155</v>
      </c>
      <c r="N239" s="5" t="s">
        <v>1003</v>
      </c>
      <c r="O239" s="5" t="s">
        <v>157</v>
      </c>
      <c r="P239" s="5" t="s">
        <v>158</v>
      </c>
      <c r="Q239" s="5" t="s">
        <v>277</v>
      </c>
      <c r="R239" s="5" t="s">
        <v>2799</v>
      </c>
      <c r="S239" s="5" t="s">
        <v>2800</v>
      </c>
      <c r="T239" s="5" t="s">
        <v>606</v>
      </c>
      <c r="U239" s="5" t="n">
        <v>365</v>
      </c>
      <c r="V239" s="5" t="s">
        <v>2801</v>
      </c>
      <c r="W239" s="5" t="s">
        <v>2802</v>
      </c>
      <c r="X239" s="5" t="s">
        <v>3049</v>
      </c>
      <c r="Y239" s="5" t="s">
        <v>3050</v>
      </c>
      <c r="Z239" s="5" t="s">
        <v>3051</v>
      </c>
      <c r="AA239" s="5"/>
      <c r="AB239" s="5"/>
      <c r="AC239" s="5"/>
      <c r="AD239" s="5"/>
      <c r="AE239" s="5"/>
      <c r="AF239" s="5" t="s">
        <v>3052</v>
      </c>
      <c r="AG239" s="5" t="s">
        <v>3052</v>
      </c>
      <c r="AH239" s="5"/>
      <c r="AI239" s="5"/>
      <c r="AJ239" s="5"/>
      <c r="AK239" s="5"/>
      <c r="AL239" s="5" t="s">
        <v>3052</v>
      </c>
      <c r="AM239" s="5"/>
      <c r="AN239" s="5" t="s">
        <v>3052</v>
      </c>
      <c r="AO239" s="5"/>
      <c r="AP239" s="5"/>
      <c r="AQ239" s="5"/>
      <c r="AR239" s="5" t="s">
        <v>2921</v>
      </c>
      <c r="AS239" s="5"/>
      <c r="AT239" s="5"/>
      <c r="AU239" s="5"/>
      <c r="AV239" s="5" t="s">
        <v>178</v>
      </c>
      <c r="AW239" s="5" t="s">
        <v>3053</v>
      </c>
    </row>
    <row r="240" customFormat="false" ht="135.8" hidden="false" customHeight="false" outlineLevel="0" collapsed="false">
      <c r="A240" s="5" t="s">
        <v>3054</v>
      </c>
      <c r="B240" s="5" t="s">
        <v>3055</v>
      </c>
      <c r="C240" s="5" t="s">
        <v>2794</v>
      </c>
      <c r="D240" s="5" t="s">
        <v>2795</v>
      </c>
      <c r="E240" s="5" t="s">
        <v>626</v>
      </c>
      <c r="F240" s="5" t="s">
        <v>3056</v>
      </c>
      <c r="G240" s="5" t="s">
        <v>3057</v>
      </c>
      <c r="H240" s="5" t="n">
        <v>8</v>
      </c>
      <c r="I240" s="5" t="s">
        <v>603</v>
      </c>
      <c r="J240" s="5" t="s">
        <v>153</v>
      </c>
      <c r="K240" s="5"/>
      <c r="L240" s="5" t="s">
        <v>30</v>
      </c>
      <c r="M240" s="5" t="s">
        <v>155</v>
      </c>
      <c r="N240" s="5" t="s">
        <v>1030</v>
      </c>
      <c r="O240" s="5" t="s">
        <v>157</v>
      </c>
      <c r="P240" s="5" t="s">
        <v>641</v>
      </c>
      <c r="Q240" s="5" t="s">
        <v>159</v>
      </c>
      <c r="R240" s="5" t="s">
        <v>2799</v>
      </c>
      <c r="S240" s="5" t="s">
        <v>2800</v>
      </c>
      <c r="T240" s="5" t="s">
        <v>606</v>
      </c>
      <c r="U240" s="5" t="n">
        <v>365</v>
      </c>
      <c r="V240" s="5" t="s">
        <v>2801</v>
      </c>
      <c r="W240" s="5" t="s">
        <v>2802</v>
      </c>
      <c r="X240" s="5" t="s">
        <v>3058</v>
      </c>
      <c r="Y240" s="5" t="s">
        <v>3059</v>
      </c>
      <c r="Z240" s="5" t="s">
        <v>3060</v>
      </c>
      <c r="AA240" s="5"/>
      <c r="AB240" s="5"/>
      <c r="AC240" s="5"/>
      <c r="AD240" s="5"/>
      <c r="AE240" s="5"/>
      <c r="AF240" s="5" t="s">
        <v>3061</v>
      </c>
      <c r="AG240" s="5" t="s">
        <v>3061</v>
      </c>
      <c r="AH240" s="5"/>
      <c r="AI240" s="5"/>
      <c r="AJ240" s="5"/>
      <c r="AK240" s="5"/>
      <c r="AL240" s="5" t="s">
        <v>3061</v>
      </c>
      <c r="AM240" s="5" t="s">
        <v>3061</v>
      </c>
      <c r="AN240" s="5"/>
      <c r="AO240" s="5"/>
      <c r="AP240" s="5"/>
      <c r="AQ240" s="5"/>
      <c r="AR240" s="5" t="s">
        <v>2921</v>
      </c>
      <c r="AS240" s="5"/>
      <c r="AT240" s="5"/>
      <c r="AU240" s="5" t="s">
        <v>1430</v>
      </c>
      <c r="AV240" s="5" t="s">
        <v>178</v>
      </c>
      <c r="AW240" s="5" t="s">
        <v>3062</v>
      </c>
    </row>
    <row r="241" customFormat="false" ht="180.55" hidden="false" customHeight="false" outlineLevel="0" collapsed="false">
      <c r="A241" s="5" t="s">
        <v>3063</v>
      </c>
      <c r="B241" s="5" t="s">
        <v>3064</v>
      </c>
      <c r="C241" s="5" t="s">
        <v>2794</v>
      </c>
      <c r="D241" s="5" t="s">
        <v>2795</v>
      </c>
      <c r="E241" s="5" t="s">
        <v>626</v>
      </c>
      <c r="F241" s="5" t="s">
        <v>3065</v>
      </c>
      <c r="G241" s="5" t="s">
        <v>3066</v>
      </c>
      <c r="H241" s="5" t="n">
        <v>9</v>
      </c>
      <c r="I241" s="5" t="s">
        <v>603</v>
      </c>
      <c r="J241" s="5" t="s">
        <v>153</v>
      </c>
      <c r="K241" s="5"/>
      <c r="L241" s="5" t="s">
        <v>30</v>
      </c>
      <c r="M241" s="5" t="s">
        <v>155</v>
      </c>
      <c r="N241" s="5" t="s">
        <v>3067</v>
      </c>
      <c r="O241" s="5" t="s">
        <v>157</v>
      </c>
      <c r="P241" s="5" t="s">
        <v>158</v>
      </c>
      <c r="Q241" s="5" t="s">
        <v>277</v>
      </c>
      <c r="R241" s="5" t="s">
        <v>2799</v>
      </c>
      <c r="S241" s="5" t="s">
        <v>2800</v>
      </c>
      <c r="T241" s="5" t="s">
        <v>606</v>
      </c>
      <c r="U241" s="5" t="n">
        <v>365</v>
      </c>
      <c r="V241" s="5" t="s">
        <v>2801</v>
      </c>
      <c r="W241" s="5" t="s">
        <v>2802</v>
      </c>
      <c r="X241" s="5" t="s">
        <v>3068</v>
      </c>
      <c r="Y241" s="5" t="s">
        <v>3069</v>
      </c>
      <c r="Z241" s="5" t="s">
        <v>3070</v>
      </c>
      <c r="AA241" s="5" t="s">
        <v>3071</v>
      </c>
      <c r="AB241" s="5"/>
      <c r="AC241" s="5"/>
      <c r="AD241" s="5"/>
      <c r="AE241" s="5"/>
      <c r="AF241" s="5" t="s">
        <v>3072</v>
      </c>
      <c r="AG241" s="5" t="s">
        <v>3073</v>
      </c>
      <c r="AH241" s="5"/>
      <c r="AI241" s="5"/>
      <c r="AJ241" s="5"/>
      <c r="AK241" s="5"/>
      <c r="AL241" s="5" t="s">
        <v>3072</v>
      </c>
      <c r="AM241" s="5" t="s">
        <v>3073</v>
      </c>
      <c r="AN241" s="5"/>
      <c r="AO241" s="5"/>
      <c r="AP241" s="5"/>
      <c r="AQ241" s="5"/>
      <c r="AR241" s="5" t="s">
        <v>2921</v>
      </c>
      <c r="AS241" s="5"/>
      <c r="AT241" s="5"/>
      <c r="AU241" s="5"/>
      <c r="AV241" s="5" t="s">
        <v>178</v>
      </c>
      <c r="AW241" s="5" t="s">
        <v>3074</v>
      </c>
    </row>
    <row r="242" customFormat="false" ht="147" hidden="false" customHeight="false" outlineLevel="0" collapsed="false">
      <c r="A242" s="5" t="s">
        <v>3075</v>
      </c>
      <c r="B242" s="5" t="s">
        <v>3076</v>
      </c>
      <c r="C242" s="5" t="s">
        <v>2794</v>
      </c>
      <c r="D242" s="5" t="s">
        <v>2795</v>
      </c>
      <c r="E242" s="5" t="s">
        <v>626</v>
      </c>
      <c r="F242" s="5" t="s">
        <v>3077</v>
      </c>
      <c r="G242" s="5" t="s">
        <v>3078</v>
      </c>
      <c r="H242" s="5" t="n">
        <v>10</v>
      </c>
      <c r="I242" s="5" t="s">
        <v>1221</v>
      </c>
      <c r="J242" s="5" t="s">
        <v>652</v>
      </c>
      <c r="K242" s="5"/>
      <c r="L242" s="5" t="s">
        <v>30</v>
      </c>
      <c r="M242" s="5" t="s">
        <v>155</v>
      </c>
      <c r="N242" s="5" t="s">
        <v>398</v>
      </c>
      <c r="O242" s="5" t="s">
        <v>157</v>
      </c>
      <c r="P242" s="5" t="s">
        <v>215</v>
      </c>
      <c r="Q242" s="5" t="s">
        <v>440</v>
      </c>
      <c r="R242" s="5" t="s">
        <v>2799</v>
      </c>
      <c r="S242" s="5" t="s">
        <v>2800</v>
      </c>
      <c r="T242" s="5" t="s">
        <v>277</v>
      </c>
      <c r="U242" s="5" t="n">
        <v>180</v>
      </c>
      <c r="V242" s="5" t="s">
        <v>2801</v>
      </c>
      <c r="W242" s="5" t="s">
        <v>2802</v>
      </c>
      <c r="X242" s="5" t="s">
        <v>3079</v>
      </c>
      <c r="Y242" s="5" t="s">
        <v>3080</v>
      </c>
      <c r="Z242" s="5" t="s">
        <v>3081</v>
      </c>
      <c r="AA242" s="5"/>
      <c r="AB242" s="5"/>
      <c r="AC242" s="5"/>
      <c r="AD242" s="5"/>
      <c r="AE242" s="5"/>
      <c r="AF242" s="5" t="s">
        <v>3082</v>
      </c>
      <c r="AG242" s="5" t="s">
        <v>3082</v>
      </c>
      <c r="AH242" s="5"/>
      <c r="AI242" s="5"/>
      <c r="AJ242" s="5"/>
      <c r="AK242" s="5"/>
      <c r="AL242" s="5" t="s">
        <v>3082</v>
      </c>
      <c r="AM242" s="5"/>
      <c r="AN242" s="5"/>
      <c r="AO242" s="5"/>
      <c r="AP242" s="5"/>
      <c r="AQ242" s="5" t="s">
        <v>3082</v>
      </c>
      <c r="AR242" s="5" t="s">
        <v>175</v>
      </c>
      <c r="AS242" s="5"/>
      <c r="AT242" s="5"/>
      <c r="AU242" s="5" t="s">
        <v>2858</v>
      </c>
      <c r="AV242" s="5" t="s">
        <v>178</v>
      </c>
      <c r="AW242" s="5" t="s">
        <v>3062</v>
      </c>
    </row>
    <row r="243" customFormat="false" ht="135.8" hidden="false" customHeight="false" outlineLevel="0" collapsed="false">
      <c r="A243" s="5" t="s">
        <v>3083</v>
      </c>
      <c r="B243" s="5" t="s">
        <v>3084</v>
      </c>
      <c r="C243" s="5" t="s">
        <v>2794</v>
      </c>
      <c r="D243" s="5" t="s">
        <v>2795</v>
      </c>
      <c r="E243" s="5" t="s">
        <v>626</v>
      </c>
      <c r="F243" s="5" t="s">
        <v>3085</v>
      </c>
      <c r="G243" s="5" t="s">
        <v>3086</v>
      </c>
      <c r="H243" s="5" t="n">
        <v>9</v>
      </c>
      <c r="I243" s="5" t="s">
        <v>152</v>
      </c>
      <c r="J243" s="5" t="s">
        <v>153</v>
      </c>
      <c r="K243" s="5" t="s">
        <v>3087</v>
      </c>
      <c r="L243" s="5" t="s">
        <v>55</v>
      </c>
      <c r="M243" s="5" t="s">
        <v>185</v>
      </c>
      <c r="N243" s="5" t="s">
        <v>3088</v>
      </c>
      <c r="O243" s="5" t="s">
        <v>187</v>
      </c>
      <c r="P243" s="5" t="s">
        <v>158</v>
      </c>
      <c r="Q243" s="5" t="s">
        <v>335</v>
      </c>
      <c r="R243" s="5" t="s">
        <v>2799</v>
      </c>
      <c r="S243" s="5" t="s">
        <v>2800</v>
      </c>
      <c r="T243" s="5" t="s">
        <v>162</v>
      </c>
      <c r="U243" s="5" t="n">
        <v>365</v>
      </c>
      <c r="V243" s="5" t="s">
        <v>2801</v>
      </c>
      <c r="W243" s="5" t="s">
        <v>2802</v>
      </c>
      <c r="X243" s="5" t="s">
        <v>3089</v>
      </c>
      <c r="Y243" s="5" t="s">
        <v>3090</v>
      </c>
      <c r="Z243" s="5" t="s">
        <v>3091</v>
      </c>
      <c r="AA243" s="5"/>
      <c r="AB243" s="5"/>
      <c r="AC243" s="5"/>
      <c r="AD243" s="5"/>
      <c r="AE243" s="5"/>
      <c r="AF243" s="5" t="s">
        <v>3092</v>
      </c>
      <c r="AG243" s="5"/>
      <c r="AH243" s="5"/>
      <c r="AI243" s="5"/>
      <c r="AJ243" s="5"/>
      <c r="AK243" s="5"/>
      <c r="AL243" s="5" t="s">
        <v>3092</v>
      </c>
      <c r="AM243" s="5" t="s">
        <v>3092</v>
      </c>
      <c r="AN243" s="5"/>
      <c r="AO243" s="5"/>
      <c r="AP243" s="5"/>
      <c r="AQ243" s="5" t="s">
        <v>3092</v>
      </c>
      <c r="AR243" s="5" t="s">
        <v>2921</v>
      </c>
      <c r="AS243" s="5"/>
      <c r="AT243" s="5" t="s">
        <v>3093</v>
      </c>
      <c r="AU243" s="5"/>
      <c r="AV243" s="5" t="s">
        <v>178</v>
      </c>
      <c r="AW243" s="5" t="s">
        <v>3094</v>
      </c>
    </row>
    <row r="244" customFormat="false" ht="202.95" hidden="false" customHeight="false" outlineLevel="0" collapsed="false">
      <c r="A244" s="5" t="s">
        <v>3095</v>
      </c>
      <c r="B244" s="5" t="s">
        <v>3096</v>
      </c>
      <c r="C244" s="5" t="s">
        <v>2794</v>
      </c>
      <c r="D244" s="5" t="s">
        <v>2795</v>
      </c>
      <c r="E244" s="5" t="s">
        <v>626</v>
      </c>
      <c r="F244" s="5" t="s">
        <v>3097</v>
      </c>
      <c r="G244" s="5" t="s">
        <v>3098</v>
      </c>
      <c r="H244" s="5" t="n">
        <v>10</v>
      </c>
      <c r="I244" s="5" t="s">
        <v>1221</v>
      </c>
      <c r="J244" s="5" t="s">
        <v>153</v>
      </c>
      <c r="K244" s="5" t="s">
        <v>3099</v>
      </c>
      <c r="L244" s="5" t="s">
        <v>30</v>
      </c>
      <c r="M244" s="5" t="s">
        <v>155</v>
      </c>
      <c r="N244" s="5" t="s">
        <v>1003</v>
      </c>
      <c r="O244" s="5" t="s">
        <v>157</v>
      </c>
      <c r="P244" s="5" t="s">
        <v>158</v>
      </c>
      <c r="Q244" s="5" t="s">
        <v>399</v>
      </c>
      <c r="R244" s="5" t="s">
        <v>2799</v>
      </c>
      <c r="S244" s="5" t="s">
        <v>2800</v>
      </c>
      <c r="T244" s="5" t="s">
        <v>277</v>
      </c>
      <c r="U244" s="5" t="n">
        <v>365</v>
      </c>
      <c r="V244" s="5" t="s">
        <v>2801</v>
      </c>
      <c r="W244" s="5" t="s">
        <v>2802</v>
      </c>
      <c r="X244" s="5" t="s">
        <v>3100</v>
      </c>
      <c r="Y244" s="5" t="s">
        <v>3101</v>
      </c>
      <c r="Z244" s="5" t="s">
        <v>3102</v>
      </c>
      <c r="AA244" s="5"/>
      <c r="AB244" s="5"/>
      <c r="AC244" s="5"/>
      <c r="AD244" s="5"/>
      <c r="AE244" s="5"/>
      <c r="AF244" s="5" t="s">
        <v>3103</v>
      </c>
      <c r="AG244" s="5" t="s">
        <v>3103</v>
      </c>
      <c r="AH244" s="5"/>
      <c r="AI244" s="5"/>
      <c r="AJ244" s="5"/>
      <c r="AK244" s="5"/>
      <c r="AL244" s="5" t="s">
        <v>3103</v>
      </c>
      <c r="AM244" s="5"/>
      <c r="AN244" s="5" t="s">
        <v>3103</v>
      </c>
      <c r="AO244" s="5"/>
      <c r="AP244" s="5"/>
      <c r="AQ244" s="5"/>
      <c r="AR244" s="5" t="s">
        <v>2921</v>
      </c>
      <c r="AS244" s="5"/>
      <c r="AT244" s="5"/>
      <c r="AU244" s="5"/>
      <c r="AV244" s="5" t="s">
        <v>178</v>
      </c>
      <c r="AW244" s="5" t="s">
        <v>2951</v>
      </c>
    </row>
    <row r="245" customFormat="false" ht="124.6" hidden="false" customHeight="false" outlineLevel="0" collapsed="false">
      <c r="A245" s="5" t="s">
        <v>3104</v>
      </c>
      <c r="B245" s="5" t="s">
        <v>3105</v>
      </c>
      <c r="C245" s="5" t="s">
        <v>2794</v>
      </c>
      <c r="D245" s="5" t="s">
        <v>2795</v>
      </c>
      <c r="E245" s="5" t="s">
        <v>626</v>
      </c>
      <c r="F245" s="5" t="s">
        <v>3106</v>
      </c>
      <c r="G245" s="5" t="s">
        <v>3107</v>
      </c>
      <c r="H245" s="5" t="n">
        <v>7</v>
      </c>
      <c r="I245" s="5" t="s">
        <v>1221</v>
      </c>
      <c r="J245" s="5" t="s">
        <v>153</v>
      </c>
      <c r="K245" s="5"/>
      <c r="L245" s="5" t="s">
        <v>85</v>
      </c>
      <c r="M245" s="5" t="s">
        <v>185</v>
      </c>
      <c r="N245" s="5" t="s">
        <v>88</v>
      </c>
      <c r="O245" s="5" t="s">
        <v>214</v>
      </c>
      <c r="P245" s="5" t="s">
        <v>215</v>
      </c>
      <c r="Q245" s="5" t="s">
        <v>440</v>
      </c>
      <c r="R245" s="5" t="s">
        <v>2799</v>
      </c>
      <c r="S245" s="5" t="s">
        <v>2800</v>
      </c>
      <c r="T245" s="5" t="s">
        <v>277</v>
      </c>
      <c r="U245" s="5" t="n">
        <v>365</v>
      </c>
      <c r="V245" s="5" t="s">
        <v>2801</v>
      </c>
      <c r="W245" s="5" t="s">
        <v>2802</v>
      </c>
      <c r="X245" s="5" t="s">
        <v>3108</v>
      </c>
      <c r="Y245" s="5" t="s">
        <v>3109</v>
      </c>
      <c r="Z245" s="5" t="s">
        <v>3110</v>
      </c>
      <c r="AA245" s="5"/>
      <c r="AB245" s="5"/>
      <c r="AC245" s="5"/>
      <c r="AD245" s="5"/>
      <c r="AE245" s="5"/>
      <c r="AF245" s="5" t="s">
        <v>3111</v>
      </c>
      <c r="AG245" s="5"/>
      <c r="AH245" s="5"/>
      <c r="AI245" s="5"/>
      <c r="AJ245" s="5"/>
      <c r="AK245" s="5"/>
      <c r="AL245" s="5" t="s">
        <v>3111</v>
      </c>
      <c r="AM245" s="5"/>
      <c r="AN245" s="5"/>
      <c r="AO245" s="5"/>
      <c r="AP245" s="5"/>
      <c r="AQ245" s="5" t="s">
        <v>3111</v>
      </c>
      <c r="AR245" s="5" t="s">
        <v>2921</v>
      </c>
      <c r="AS245" s="5"/>
      <c r="AT245" s="5"/>
      <c r="AU245" s="5"/>
      <c r="AV245" s="5"/>
      <c r="AW245" s="5" t="s">
        <v>3112</v>
      </c>
    </row>
    <row r="246" customFormat="false" ht="214.15" hidden="false" customHeight="false" outlineLevel="0" collapsed="false">
      <c r="A246" s="5" t="s">
        <v>3113</v>
      </c>
      <c r="B246" s="5" t="s">
        <v>3114</v>
      </c>
      <c r="C246" s="5" t="s">
        <v>2794</v>
      </c>
      <c r="D246" s="5" t="s">
        <v>2795</v>
      </c>
      <c r="E246" s="5" t="s">
        <v>626</v>
      </c>
      <c r="F246" s="5" t="s">
        <v>3115</v>
      </c>
      <c r="G246" s="5" t="s">
        <v>3116</v>
      </c>
      <c r="H246" s="5" t="n">
        <v>8</v>
      </c>
      <c r="I246" s="5" t="s">
        <v>1221</v>
      </c>
      <c r="J246" s="5" t="s">
        <v>652</v>
      </c>
      <c r="K246" s="5" t="s">
        <v>2490</v>
      </c>
      <c r="L246" s="5" t="s">
        <v>30</v>
      </c>
      <c r="M246" s="5" t="s">
        <v>155</v>
      </c>
      <c r="N246" s="5" t="s">
        <v>3117</v>
      </c>
      <c r="O246" s="5" t="s">
        <v>157</v>
      </c>
      <c r="P246" s="5" t="s">
        <v>158</v>
      </c>
      <c r="Q246" s="5" t="s">
        <v>461</v>
      </c>
      <c r="R246" s="5" t="s">
        <v>2799</v>
      </c>
      <c r="S246" s="5" t="s">
        <v>2800</v>
      </c>
      <c r="T246" s="5" t="s">
        <v>277</v>
      </c>
      <c r="U246" s="5" t="n">
        <v>180</v>
      </c>
      <c r="V246" s="5" t="s">
        <v>2801</v>
      </c>
      <c r="W246" s="5" t="s">
        <v>2802</v>
      </c>
      <c r="X246" s="5" t="s">
        <v>3118</v>
      </c>
      <c r="Y246" s="5" t="s">
        <v>3119</v>
      </c>
      <c r="Z246" s="5" t="s">
        <v>3120</v>
      </c>
      <c r="AA246" s="5" t="s">
        <v>3121</v>
      </c>
      <c r="AB246" s="5"/>
      <c r="AC246" s="5"/>
      <c r="AD246" s="5"/>
      <c r="AE246" s="5"/>
      <c r="AF246" s="5" t="s">
        <v>3122</v>
      </c>
      <c r="AG246" s="5" t="s">
        <v>3122</v>
      </c>
      <c r="AH246" s="5" t="s">
        <v>3123</v>
      </c>
      <c r="AI246" s="5"/>
      <c r="AJ246" s="5"/>
      <c r="AK246" s="5"/>
      <c r="AL246" s="5" t="s">
        <v>3122</v>
      </c>
      <c r="AM246" s="5"/>
      <c r="AN246" s="5" t="s">
        <v>3124</v>
      </c>
      <c r="AO246" s="5"/>
      <c r="AP246" s="5" t="s">
        <v>3125</v>
      </c>
      <c r="AQ246" s="5" t="s">
        <v>3122</v>
      </c>
      <c r="AR246" s="5" t="s">
        <v>3126</v>
      </c>
      <c r="AS246" s="5"/>
      <c r="AT246" s="5" t="s">
        <v>3127</v>
      </c>
      <c r="AU246" s="5"/>
      <c r="AV246" s="5" t="s">
        <v>178</v>
      </c>
      <c r="AW246" s="5" t="s">
        <v>3128</v>
      </c>
    </row>
    <row r="247" customFormat="false" ht="124.6" hidden="false" customHeight="false" outlineLevel="0" collapsed="false">
      <c r="A247" s="5" t="s">
        <v>3129</v>
      </c>
      <c r="B247" s="5" t="s">
        <v>3130</v>
      </c>
      <c r="C247" s="5" t="s">
        <v>2794</v>
      </c>
      <c r="D247" s="5" t="s">
        <v>2795</v>
      </c>
      <c r="E247" s="5" t="s">
        <v>626</v>
      </c>
      <c r="F247" s="5" t="s">
        <v>3131</v>
      </c>
      <c r="G247" s="5" t="s">
        <v>3132</v>
      </c>
      <c r="H247" s="5" t="n">
        <v>8</v>
      </c>
      <c r="I247" s="5" t="s">
        <v>1221</v>
      </c>
      <c r="J247" s="5" t="s">
        <v>153</v>
      </c>
      <c r="K247" s="5"/>
      <c r="L247" s="5" t="s">
        <v>85</v>
      </c>
      <c r="M247" s="5" t="s">
        <v>185</v>
      </c>
      <c r="N247" s="5" t="s">
        <v>3133</v>
      </c>
      <c r="O247" s="5" t="s">
        <v>214</v>
      </c>
      <c r="P247" s="5" t="s">
        <v>641</v>
      </c>
      <c r="Q247" s="5" t="s">
        <v>440</v>
      </c>
      <c r="R247" s="5" t="s">
        <v>2799</v>
      </c>
      <c r="S247" s="5" t="s">
        <v>2800</v>
      </c>
      <c r="T247" s="5" t="s">
        <v>277</v>
      </c>
      <c r="U247" s="5" t="n">
        <v>365</v>
      </c>
      <c r="V247" s="5" t="s">
        <v>2801</v>
      </c>
      <c r="W247" s="5" t="s">
        <v>2802</v>
      </c>
      <c r="X247" s="5" t="s">
        <v>3134</v>
      </c>
      <c r="Y247" s="5" t="s">
        <v>3135</v>
      </c>
      <c r="Z247" s="5" t="s">
        <v>3136</v>
      </c>
      <c r="AA247" s="5"/>
      <c r="AB247" s="5"/>
      <c r="AC247" s="5"/>
      <c r="AD247" s="5"/>
      <c r="AE247" s="5"/>
      <c r="AF247" s="5" t="s">
        <v>3137</v>
      </c>
      <c r="AG247" s="5"/>
      <c r="AH247" s="5"/>
      <c r="AI247" s="5"/>
      <c r="AJ247" s="5"/>
      <c r="AK247" s="5"/>
      <c r="AL247" s="5" t="s">
        <v>3137</v>
      </c>
      <c r="AM247" s="5"/>
      <c r="AN247" s="5"/>
      <c r="AO247" s="5"/>
      <c r="AP247" s="5" t="s">
        <v>2085</v>
      </c>
      <c r="AQ247" s="5" t="s">
        <v>3137</v>
      </c>
      <c r="AR247" s="5" t="s">
        <v>1294</v>
      </c>
      <c r="AS247" s="5"/>
      <c r="AT247" s="5"/>
      <c r="AU247" s="5"/>
      <c r="AV247" s="5"/>
      <c r="AW247" s="5" t="s">
        <v>3138</v>
      </c>
    </row>
    <row r="248" customFormat="false" ht="147" hidden="false" customHeight="false" outlineLevel="0" collapsed="false">
      <c r="A248" s="5" t="s">
        <v>3139</v>
      </c>
      <c r="B248" s="5" t="s">
        <v>3140</v>
      </c>
      <c r="C248" s="5" t="s">
        <v>2794</v>
      </c>
      <c r="D248" s="5" t="s">
        <v>2795</v>
      </c>
      <c r="E248" s="5" t="s">
        <v>626</v>
      </c>
      <c r="F248" s="5" t="s">
        <v>3141</v>
      </c>
      <c r="G248" s="5" t="s">
        <v>3142</v>
      </c>
      <c r="H248" s="5" t="n">
        <v>8</v>
      </c>
      <c r="I248" s="5" t="s">
        <v>1221</v>
      </c>
      <c r="J248" s="5" t="s">
        <v>153</v>
      </c>
      <c r="K248" s="5"/>
      <c r="L248" s="5" t="s">
        <v>30</v>
      </c>
      <c r="M248" s="5" t="s">
        <v>155</v>
      </c>
      <c r="N248" s="5" t="s">
        <v>398</v>
      </c>
      <c r="O248" s="5" t="s">
        <v>157</v>
      </c>
      <c r="P248" s="5" t="s">
        <v>641</v>
      </c>
      <c r="Q248" s="5" t="s">
        <v>440</v>
      </c>
      <c r="R248" s="5" t="s">
        <v>2799</v>
      </c>
      <c r="S248" s="5" t="s">
        <v>2800</v>
      </c>
      <c r="T248" s="5" t="s">
        <v>277</v>
      </c>
      <c r="U248" s="5" t="n">
        <v>365</v>
      </c>
      <c r="V248" s="5" t="s">
        <v>2801</v>
      </c>
      <c r="W248" s="5" t="s">
        <v>2802</v>
      </c>
      <c r="X248" s="5" t="s">
        <v>3143</v>
      </c>
      <c r="Y248" s="5" t="s">
        <v>3144</v>
      </c>
      <c r="Z248" s="5" t="s">
        <v>3145</v>
      </c>
      <c r="AA248" s="5"/>
      <c r="AB248" s="5"/>
      <c r="AC248" s="5"/>
      <c r="AD248" s="5"/>
      <c r="AE248" s="5"/>
      <c r="AF248" s="5" t="s">
        <v>3146</v>
      </c>
      <c r="AG248" s="5" t="s">
        <v>3147</v>
      </c>
      <c r="AH248" s="5"/>
      <c r="AI248" s="5"/>
      <c r="AJ248" s="5"/>
      <c r="AK248" s="5"/>
      <c r="AL248" s="5" t="s">
        <v>3146</v>
      </c>
      <c r="AM248" s="5"/>
      <c r="AN248" s="5"/>
      <c r="AO248" s="5"/>
      <c r="AP248" s="5"/>
      <c r="AQ248" s="5" t="s">
        <v>3148</v>
      </c>
      <c r="AR248" s="5" t="s">
        <v>3149</v>
      </c>
      <c r="AS248" s="5"/>
      <c r="AT248" s="5"/>
      <c r="AU248" s="5"/>
      <c r="AV248" s="5"/>
      <c r="AW248" s="5" t="s">
        <v>3150</v>
      </c>
    </row>
    <row r="249" customFormat="false" ht="147" hidden="false" customHeight="false" outlineLevel="0" collapsed="false">
      <c r="A249" s="5" t="s">
        <v>3151</v>
      </c>
      <c r="B249" s="5" t="s">
        <v>3152</v>
      </c>
      <c r="C249" s="5" t="s">
        <v>2794</v>
      </c>
      <c r="D249" s="5" t="s">
        <v>2795</v>
      </c>
      <c r="E249" s="5" t="s">
        <v>514</v>
      </c>
      <c r="F249" s="5" t="s">
        <v>3153</v>
      </c>
      <c r="G249" s="5" t="s">
        <v>3154</v>
      </c>
      <c r="H249" s="5" t="n">
        <v>9</v>
      </c>
      <c r="I249" s="5" t="s">
        <v>1221</v>
      </c>
      <c r="J249" s="5" t="s">
        <v>153</v>
      </c>
      <c r="K249" s="5" t="s">
        <v>3155</v>
      </c>
      <c r="L249" s="5" t="s">
        <v>55</v>
      </c>
      <c r="M249" s="5" t="s">
        <v>185</v>
      </c>
      <c r="N249" s="5" t="s">
        <v>3156</v>
      </c>
      <c r="O249" s="5" t="s">
        <v>666</v>
      </c>
      <c r="P249" s="5" t="s">
        <v>158</v>
      </c>
      <c r="Q249" s="5" t="s">
        <v>399</v>
      </c>
      <c r="R249" s="5" t="s">
        <v>2799</v>
      </c>
      <c r="S249" s="5" t="s">
        <v>2800</v>
      </c>
      <c r="T249" s="5" t="s">
        <v>277</v>
      </c>
      <c r="U249" s="5" t="n">
        <v>365</v>
      </c>
      <c r="V249" s="5" t="s">
        <v>2801</v>
      </c>
      <c r="W249" s="5" t="s">
        <v>2802</v>
      </c>
      <c r="X249" s="5" t="s">
        <v>3157</v>
      </c>
      <c r="Y249" s="5" t="s">
        <v>3158</v>
      </c>
      <c r="Z249" s="5" t="s">
        <v>3159</v>
      </c>
      <c r="AA249" s="5"/>
      <c r="AB249" s="5"/>
      <c r="AC249" s="5"/>
      <c r="AD249" s="5"/>
      <c r="AE249" s="5"/>
      <c r="AF249" s="5" t="s">
        <v>1645</v>
      </c>
      <c r="AG249" s="5"/>
      <c r="AH249" s="5"/>
      <c r="AI249" s="5"/>
      <c r="AJ249" s="5"/>
      <c r="AK249" s="5" t="s">
        <v>721</v>
      </c>
      <c r="AL249" s="5" t="s">
        <v>1645</v>
      </c>
      <c r="AM249" s="5"/>
      <c r="AN249" s="5"/>
      <c r="AO249" s="5" t="s">
        <v>3160</v>
      </c>
      <c r="AP249" s="5" t="s">
        <v>724</v>
      </c>
      <c r="AQ249" s="5" t="s">
        <v>1645</v>
      </c>
      <c r="AR249" s="5" t="s">
        <v>687</v>
      </c>
      <c r="AS249" s="5"/>
      <c r="AT249" s="5"/>
      <c r="AU249" s="5"/>
      <c r="AV249" s="5" t="s">
        <v>178</v>
      </c>
      <c r="AW249" s="5" t="s">
        <v>3161</v>
      </c>
    </row>
    <row r="250" customFormat="false" ht="124.6" hidden="false" customHeight="false" outlineLevel="0" collapsed="false">
      <c r="A250" s="5" t="s">
        <v>3162</v>
      </c>
      <c r="B250" s="5" t="s">
        <v>3163</v>
      </c>
      <c r="C250" s="5" t="s">
        <v>2794</v>
      </c>
      <c r="D250" s="5" t="s">
        <v>2795</v>
      </c>
      <c r="E250" s="5" t="s">
        <v>626</v>
      </c>
      <c r="F250" s="5" t="s">
        <v>3164</v>
      </c>
      <c r="G250" s="5" t="s">
        <v>3165</v>
      </c>
      <c r="H250" s="5" t="n">
        <v>10</v>
      </c>
      <c r="I250" s="5" t="s">
        <v>1221</v>
      </c>
      <c r="J250" s="5" t="s">
        <v>153</v>
      </c>
      <c r="K250" s="5"/>
      <c r="L250" s="5" t="s">
        <v>68</v>
      </c>
      <c r="M250" s="5" t="s">
        <v>185</v>
      </c>
      <c r="N250" s="5" t="s">
        <v>2038</v>
      </c>
      <c r="O250" s="5" t="s">
        <v>666</v>
      </c>
      <c r="P250" s="5" t="s">
        <v>158</v>
      </c>
      <c r="Q250" s="5" t="s">
        <v>277</v>
      </c>
      <c r="R250" s="5" t="s">
        <v>2799</v>
      </c>
      <c r="S250" s="5" t="s">
        <v>2800</v>
      </c>
      <c r="T250" s="5" t="s">
        <v>277</v>
      </c>
      <c r="U250" s="5" t="n">
        <v>365</v>
      </c>
      <c r="V250" s="5" t="s">
        <v>2801</v>
      </c>
      <c r="W250" s="5" t="s">
        <v>2802</v>
      </c>
      <c r="X250" s="5" t="s">
        <v>3166</v>
      </c>
      <c r="Y250" s="5" t="s">
        <v>3167</v>
      </c>
      <c r="Z250" s="5" t="s">
        <v>3168</v>
      </c>
      <c r="AA250" s="5"/>
      <c r="AB250" s="5"/>
      <c r="AC250" s="5"/>
      <c r="AD250" s="5"/>
      <c r="AE250" s="5"/>
      <c r="AF250" s="5" t="s">
        <v>3169</v>
      </c>
      <c r="AG250" s="5"/>
      <c r="AH250" s="5"/>
      <c r="AI250" s="5"/>
      <c r="AJ250" s="5"/>
      <c r="AK250" s="5"/>
      <c r="AL250" s="5" t="s">
        <v>3169</v>
      </c>
      <c r="AM250" s="5"/>
      <c r="AN250" s="5"/>
      <c r="AO250" s="5" t="s">
        <v>787</v>
      </c>
      <c r="AP250" s="5"/>
      <c r="AQ250" s="5" t="s">
        <v>3169</v>
      </c>
      <c r="AR250" s="5" t="s">
        <v>1294</v>
      </c>
      <c r="AS250" s="5"/>
      <c r="AT250" s="5" t="s">
        <v>2996</v>
      </c>
      <c r="AU250" s="5"/>
      <c r="AV250" s="5" t="s">
        <v>178</v>
      </c>
      <c r="AW250" s="5" t="s">
        <v>789</v>
      </c>
    </row>
    <row r="251" customFormat="false" ht="236.55" hidden="false" customHeight="false" outlineLevel="0" collapsed="false">
      <c r="A251" s="5" t="s">
        <v>3170</v>
      </c>
      <c r="B251" s="5" t="s">
        <v>3171</v>
      </c>
      <c r="C251" s="5" t="s">
        <v>2794</v>
      </c>
      <c r="D251" s="5" t="s">
        <v>2795</v>
      </c>
      <c r="E251" s="5" t="s">
        <v>626</v>
      </c>
      <c r="F251" s="5" t="s">
        <v>3172</v>
      </c>
      <c r="G251" s="5" t="s">
        <v>3173</v>
      </c>
      <c r="H251" s="5" t="n">
        <v>5</v>
      </c>
      <c r="I251" s="5" t="s">
        <v>1221</v>
      </c>
      <c r="J251" s="5" t="s">
        <v>153</v>
      </c>
      <c r="K251" s="5"/>
      <c r="L251" s="5" t="s">
        <v>30</v>
      </c>
      <c r="M251" s="5" t="s">
        <v>155</v>
      </c>
      <c r="N251" s="5" t="s">
        <v>398</v>
      </c>
      <c r="O251" s="5" t="s">
        <v>157</v>
      </c>
      <c r="P251" s="5" t="s">
        <v>158</v>
      </c>
      <c r="Q251" s="5" t="s">
        <v>461</v>
      </c>
      <c r="R251" s="5" t="s">
        <v>2799</v>
      </c>
      <c r="S251" s="5" t="s">
        <v>2800</v>
      </c>
      <c r="T251" s="5" t="s">
        <v>277</v>
      </c>
      <c r="U251" s="5" t="n">
        <v>365</v>
      </c>
      <c r="V251" s="5" t="s">
        <v>2801</v>
      </c>
      <c r="W251" s="5" t="s">
        <v>2802</v>
      </c>
      <c r="X251" s="5" t="s">
        <v>3174</v>
      </c>
      <c r="Y251" s="5" t="s">
        <v>3175</v>
      </c>
      <c r="Z251" s="5" t="s">
        <v>3176</v>
      </c>
      <c r="AA251" s="5"/>
      <c r="AB251" s="5"/>
      <c r="AC251" s="5"/>
      <c r="AD251" s="5"/>
      <c r="AE251" s="5"/>
      <c r="AF251" s="5" t="s">
        <v>3177</v>
      </c>
      <c r="AG251" s="5" t="s">
        <v>3178</v>
      </c>
      <c r="AH251" s="5"/>
      <c r="AI251" s="5"/>
      <c r="AJ251" s="5"/>
      <c r="AK251" s="5"/>
      <c r="AL251" s="5" t="s">
        <v>3177</v>
      </c>
      <c r="AM251" s="5"/>
      <c r="AN251" s="5"/>
      <c r="AO251" s="5"/>
      <c r="AP251" s="5"/>
      <c r="AQ251" s="5" t="s">
        <v>3179</v>
      </c>
      <c r="AR251" s="5" t="s">
        <v>3180</v>
      </c>
      <c r="AS251" s="5"/>
      <c r="AT251" s="5"/>
      <c r="AU251" s="5"/>
      <c r="AV251" s="5"/>
      <c r="AW251" s="5" t="s">
        <v>3181</v>
      </c>
    </row>
    <row r="252" customFormat="false" ht="169.4" hidden="false" customHeight="false" outlineLevel="0" collapsed="false">
      <c r="A252" s="5" t="s">
        <v>3182</v>
      </c>
      <c r="B252" s="5" t="s">
        <v>3183</v>
      </c>
      <c r="C252" s="5" t="s">
        <v>2794</v>
      </c>
      <c r="D252" s="5" t="s">
        <v>2795</v>
      </c>
      <c r="E252" s="5" t="s">
        <v>626</v>
      </c>
      <c r="F252" s="5" t="s">
        <v>3184</v>
      </c>
      <c r="G252" s="5" t="s">
        <v>3185</v>
      </c>
      <c r="H252" s="5" t="n">
        <v>6</v>
      </c>
      <c r="I252" s="5" t="s">
        <v>1221</v>
      </c>
      <c r="J252" s="5" t="s">
        <v>153</v>
      </c>
      <c r="K252" s="5"/>
      <c r="L252" s="5" t="s">
        <v>85</v>
      </c>
      <c r="M252" s="5" t="s">
        <v>185</v>
      </c>
      <c r="N252" s="5" t="s">
        <v>88</v>
      </c>
      <c r="O252" s="5" t="s">
        <v>214</v>
      </c>
      <c r="P252" s="5" t="s">
        <v>641</v>
      </c>
      <c r="Q252" s="5" t="s">
        <v>461</v>
      </c>
      <c r="R252" s="5" t="s">
        <v>2799</v>
      </c>
      <c r="S252" s="5" t="s">
        <v>2800</v>
      </c>
      <c r="T252" s="5" t="s">
        <v>277</v>
      </c>
      <c r="U252" s="5" t="n">
        <v>365</v>
      </c>
      <c r="V252" s="5" t="s">
        <v>2801</v>
      </c>
      <c r="W252" s="5" t="s">
        <v>2802</v>
      </c>
      <c r="X252" s="5" t="s">
        <v>3186</v>
      </c>
      <c r="Y252" s="5" t="s">
        <v>3187</v>
      </c>
      <c r="Z252" s="5" t="s">
        <v>3188</v>
      </c>
      <c r="AA252" s="5"/>
      <c r="AB252" s="5"/>
      <c r="AC252" s="5"/>
      <c r="AD252" s="5"/>
      <c r="AE252" s="5"/>
      <c r="AF252" s="5" t="s">
        <v>3189</v>
      </c>
      <c r="AG252" s="5"/>
      <c r="AH252" s="5"/>
      <c r="AI252" s="5"/>
      <c r="AJ252" s="5"/>
      <c r="AK252" s="5"/>
      <c r="AL252" s="5" t="s">
        <v>3189</v>
      </c>
      <c r="AM252" s="5"/>
      <c r="AN252" s="5"/>
      <c r="AO252" s="5"/>
      <c r="AP252" s="5"/>
      <c r="AQ252" s="5" t="s">
        <v>3189</v>
      </c>
      <c r="AR252" s="5" t="s">
        <v>1294</v>
      </c>
      <c r="AS252" s="5"/>
      <c r="AT252" s="5"/>
      <c r="AU252" s="5"/>
      <c r="AV252" s="5"/>
      <c r="AW252" s="5" t="s">
        <v>3181</v>
      </c>
    </row>
    <row r="253" customFormat="false" ht="135.8" hidden="false" customHeight="false" outlineLevel="0" collapsed="false">
      <c r="A253" s="5" t="s">
        <v>3190</v>
      </c>
      <c r="B253" s="5" t="s">
        <v>3191</v>
      </c>
      <c r="C253" s="5" t="s">
        <v>2794</v>
      </c>
      <c r="D253" s="5" t="s">
        <v>2795</v>
      </c>
      <c r="E253" s="5" t="s">
        <v>626</v>
      </c>
      <c r="F253" s="5" t="s">
        <v>3192</v>
      </c>
      <c r="G253" s="5" t="s">
        <v>3193</v>
      </c>
      <c r="H253" s="5" t="n">
        <v>3</v>
      </c>
      <c r="I253" s="5" t="s">
        <v>1221</v>
      </c>
      <c r="J253" s="5" t="s">
        <v>153</v>
      </c>
      <c r="K253" s="5"/>
      <c r="L253" s="5" t="s">
        <v>85</v>
      </c>
      <c r="M253" s="5" t="s">
        <v>185</v>
      </c>
      <c r="N253" s="5" t="s">
        <v>88</v>
      </c>
      <c r="O253" s="5" t="s">
        <v>214</v>
      </c>
      <c r="P253" s="5" t="s">
        <v>215</v>
      </c>
      <c r="Q253" s="5" t="s">
        <v>440</v>
      </c>
      <c r="R253" s="5" t="s">
        <v>2799</v>
      </c>
      <c r="S253" s="5" t="s">
        <v>2800</v>
      </c>
      <c r="T253" s="5" t="s">
        <v>277</v>
      </c>
      <c r="U253" s="5" t="n">
        <v>365</v>
      </c>
      <c r="V253" s="5" t="s">
        <v>2801</v>
      </c>
      <c r="W253" s="5" t="s">
        <v>2802</v>
      </c>
      <c r="X253" s="5" t="s">
        <v>3194</v>
      </c>
      <c r="Y253" s="5" t="s">
        <v>3195</v>
      </c>
      <c r="Z253" s="5" t="s">
        <v>3196</v>
      </c>
      <c r="AA253" s="5"/>
      <c r="AB253" s="5"/>
      <c r="AC253" s="5"/>
      <c r="AD253" s="5"/>
      <c r="AE253" s="5"/>
      <c r="AF253" s="5" t="s">
        <v>3197</v>
      </c>
      <c r="AG253" s="5"/>
      <c r="AH253" s="5"/>
      <c r="AI253" s="5"/>
      <c r="AJ253" s="5"/>
      <c r="AK253" s="5"/>
      <c r="AL253" s="5" t="s">
        <v>3197</v>
      </c>
      <c r="AM253" s="5"/>
      <c r="AN253" s="5"/>
      <c r="AO253" s="5"/>
      <c r="AP253" s="5"/>
      <c r="AQ253" s="5" t="s">
        <v>3198</v>
      </c>
      <c r="AR253" s="5" t="s">
        <v>3199</v>
      </c>
      <c r="AS253" s="5"/>
      <c r="AT253" s="5"/>
      <c r="AU253" s="5"/>
      <c r="AV253" s="5" t="s">
        <v>178</v>
      </c>
      <c r="AW253" s="5" t="s">
        <v>2848</v>
      </c>
    </row>
    <row r="254" customFormat="false" ht="124.6" hidden="false" customHeight="false" outlineLevel="0" collapsed="false">
      <c r="A254" s="5" t="s">
        <v>3200</v>
      </c>
      <c r="B254" s="5" t="s">
        <v>3201</v>
      </c>
      <c r="C254" s="5" t="s">
        <v>2794</v>
      </c>
      <c r="D254" s="5" t="s">
        <v>2795</v>
      </c>
      <c r="E254" s="5" t="s">
        <v>514</v>
      </c>
      <c r="F254" s="5" t="s">
        <v>3202</v>
      </c>
      <c r="G254" s="5" t="s">
        <v>3203</v>
      </c>
      <c r="H254" s="5" t="n">
        <v>8</v>
      </c>
      <c r="I254" s="5" t="s">
        <v>1221</v>
      </c>
      <c r="J254" s="5" t="s">
        <v>153</v>
      </c>
      <c r="K254" s="5"/>
      <c r="L254" s="5" t="s">
        <v>85</v>
      </c>
      <c r="M254" s="5" t="s">
        <v>185</v>
      </c>
      <c r="N254" s="5" t="s">
        <v>88</v>
      </c>
      <c r="O254" s="5" t="s">
        <v>214</v>
      </c>
      <c r="P254" s="5" t="s">
        <v>641</v>
      </c>
      <c r="Q254" s="5" t="s">
        <v>461</v>
      </c>
      <c r="R254" s="5" t="s">
        <v>2799</v>
      </c>
      <c r="S254" s="5" t="s">
        <v>2800</v>
      </c>
      <c r="T254" s="5" t="s">
        <v>277</v>
      </c>
      <c r="U254" s="5" t="n">
        <v>365</v>
      </c>
      <c r="V254" s="5" t="s">
        <v>2801</v>
      </c>
      <c r="W254" s="5" t="s">
        <v>2802</v>
      </c>
      <c r="X254" s="5" t="s">
        <v>3204</v>
      </c>
      <c r="Y254" s="5" t="s">
        <v>3205</v>
      </c>
      <c r="Z254" s="5" t="s">
        <v>3206</v>
      </c>
      <c r="AA254" s="5"/>
      <c r="AB254" s="5"/>
      <c r="AC254" s="5"/>
      <c r="AD254" s="5"/>
      <c r="AE254" s="5"/>
      <c r="AF254" s="5" t="s">
        <v>3207</v>
      </c>
      <c r="AG254" s="5"/>
      <c r="AH254" s="5"/>
      <c r="AI254" s="5"/>
      <c r="AJ254" s="5"/>
      <c r="AK254" s="5"/>
      <c r="AL254" s="5" t="s">
        <v>3207</v>
      </c>
      <c r="AM254" s="5"/>
      <c r="AN254" s="5"/>
      <c r="AO254" s="5"/>
      <c r="AP254" s="5"/>
      <c r="AQ254" s="5" t="s">
        <v>3208</v>
      </c>
      <c r="AR254" s="5" t="s">
        <v>1294</v>
      </c>
      <c r="AS254" s="5"/>
      <c r="AT254" s="5"/>
      <c r="AU254" s="5"/>
      <c r="AV254" s="5"/>
      <c r="AW254" s="5" t="s">
        <v>3209</v>
      </c>
    </row>
    <row r="255" customFormat="false" ht="135.8" hidden="false" customHeight="false" outlineLevel="0" collapsed="false">
      <c r="A255" s="5" t="s">
        <v>3210</v>
      </c>
      <c r="B255" s="5" t="s">
        <v>3211</v>
      </c>
      <c r="C255" s="5" t="s">
        <v>2794</v>
      </c>
      <c r="D255" s="5" t="s">
        <v>2795</v>
      </c>
      <c r="E255" s="5" t="s">
        <v>626</v>
      </c>
      <c r="F255" s="5" t="s">
        <v>3212</v>
      </c>
      <c r="G255" s="5" t="s">
        <v>3213</v>
      </c>
      <c r="H255" s="5" t="n">
        <v>8</v>
      </c>
      <c r="I255" s="5" t="s">
        <v>1221</v>
      </c>
      <c r="J255" s="5" t="s">
        <v>153</v>
      </c>
      <c r="K255" s="5"/>
      <c r="L255" s="5" t="s">
        <v>68</v>
      </c>
      <c r="M255" s="5" t="s">
        <v>185</v>
      </c>
      <c r="N255" s="5" t="s">
        <v>3214</v>
      </c>
      <c r="O255" s="5" t="s">
        <v>666</v>
      </c>
      <c r="P255" s="5" t="s">
        <v>641</v>
      </c>
      <c r="Q255" s="5" t="s">
        <v>461</v>
      </c>
      <c r="R255" s="5" t="s">
        <v>2799</v>
      </c>
      <c r="S255" s="5" t="s">
        <v>2800</v>
      </c>
      <c r="T255" s="5" t="s">
        <v>277</v>
      </c>
      <c r="U255" s="5" t="n">
        <v>365</v>
      </c>
      <c r="V255" s="5" t="s">
        <v>2801</v>
      </c>
      <c r="W255" s="5" t="s">
        <v>2802</v>
      </c>
      <c r="X255" s="5" t="s">
        <v>3215</v>
      </c>
      <c r="Y255" s="5" t="s">
        <v>3216</v>
      </c>
      <c r="Z255" s="5" t="s">
        <v>3217</v>
      </c>
      <c r="AA255" s="5"/>
      <c r="AB255" s="5"/>
      <c r="AC255" s="5"/>
      <c r="AD255" s="5"/>
      <c r="AE255" s="5"/>
      <c r="AF255" s="5" t="s">
        <v>3218</v>
      </c>
      <c r="AG255" s="5"/>
      <c r="AH255" s="5"/>
      <c r="AI255" s="5"/>
      <c r="AJ255" s="5"/>
      <c r="AK255" s="5"/>
      <c r="AL255" s="5" t="s">
        <v>3218</v>
      </c>
      <c r="AM255" s="5"/>
      <c r="AN255" s="5"/>
      <c r="AO255" s="5" t="s">
        <v>1455</v>
      </c>
      <c r="AP255" s="5" t="s">
        <v>3219</v>
      </c>
      <c r="AQ255" s="5" t="s">
        <v>3218</v>
      </c>
      <c r="AR255" s="5" t="s">
        <v>1294</v>
      </c>
      <c r="AS255" s="5"/>
      <c r="AT255" s="5" t="s">
        <v>3220</v>
      </c>
      <c r="AU255" s="5"/>
      <c r="AV255" s="5"/>
      <c r="AW255" s="5" t="s">
        <v>3221</v>
      </c>
    </row>
    <row r="256" customFormat="false" ht="124.6" hidden="false" customHeight="false" outlineLevel="0" collapsed="false">
      <c r="A256" s="5" t="s">
        <v>3222</v>
      </c>
      <c r="B256" s="5" t="s">
        <v>3223</v>
      </c>
      <c r="C256" s="5" t="s">
        <v>2794</v>
      </c>
      <c r="D256" s="5" t="s">
        <v>2795</v>
      </c>
      <c r="E256" s="5" t="s">
        <v>626</v>
      </c>
      <c r="F256" s="5" t="s">
        <v>3224</v>
      </c>
      <c r="G256" s="5" t="s">
        <v>3225</v>
      </c>
      <c r="H256" s="5" t="n">
        <v>8</v>
      </c>
      <c r="I256" s="5" t="s">
        <v>1221</v>
      </c>
      <c r="J256" s="5" t="s">
        <v>153</v>
      </c>
      <c r="K256" s="5"/>
      <c r="L256" s="5" t="s">
        <v>85</v>
      </c>
      <c r="M256" s="5" t="s">
        <v>185</v>
      </c>
      <c r="N256" s="5" t="s">
        <v>88</v>
      </c>
      <c r="O256" s="5" t="s">
        <v>214</v>
      </c>
      <c r="P256" s="5" t="s">
        <v>641</v>
      </c>
      <c r="Q256" s="5" t="s">
        <v>461</v>
      </c>
      <c r="R256" s="5" t="s">
        <v>2799</v>
      </c>
      <c r="S256" s="5" t="s">
        <v>2800</v>
      </c>
      <c r="T256" s="5" t="s">
        <v>277</v>
      </c>
      <c r="U256" s="5" t="n">
        <v>365</v>
      </c>
      <c r="V256" s="5" t="s">
        <v>2801</v>
      </c>
      <c r="W256" s="5" t="s">
        <v>2802</v>
      </c>
      <c r="X256" s="5" t="s">
        <v>3226</v>
      </c>
      <c r="Y256" s="5" t="s">
        <v>3227</v>
      </c>
      <c r="Z256" s="5" t="s">
        <v>3228</v>
      </c>
      <c r="AA256" s="5"/>
      <c r="AB256" s="5"/>
      <c r="AC256" s="5"/>
      <c r="AD256" s="5"/>
      <c r="AE256" s="5"/>
      <c r="AF256" s="5" t="s">
        <v>3208</v>
      </c>
      <c r="AG256" s="5"/>
      <c r="AH256" s="5"/>
      <c r="AI256" s="5"/>
      <c r="AJ256" s="5"/>
      <c r="AK256" s="5"/>
      <c r="AL256" s="5" t="s">
        <v>3208</v>
      </c>
      <c r="AM256" s="5"/>
      <c r="AN256" s="5"/>
      <c r="AO256" s="5"/>
      <c r="AP256" s="5"/>
      <c r="AQ256" s="5" t="s">
        <v>3208</v>
      </c>
      <c r="AR256" s="5" t="s">
        <v>1294</v>
      </c>
      <c r="AS256" s="5"/>
      <c r="AT256" s="5"/>
      <c r="AU256" s="5"/>
      <c r="AV256" s="5"/>
      <c r="AW256" s="5" t="s">
        <v>3221</v>
      </c>
    </row>
    <row r="257" customFormat="false" ht="124.6" hidden="false" customHeight="false" outlineLevel="0" collapsed="false">
      <c r="A257" s="5" t="s">
        <v>3229</v>
      </c>
      <c r="B257" s="5" t="s">
        <v>3230</v>
      </c>
      <c r="C257" s="5" t="s">
        <v>2794</v>
      </c>
      <c r="D257" s="5" t="s">
        <v>2795</v>
      </c>
      <c r="E257" s="5" t="s">
        <v>626</v>
      </c>
      <c r="F257" s="5" t="s">
        <v>3231</v>
      </c>
      <c r="G257" s="5" t="s">
        <v>3232</v>
      </c>
      <c r="H257" s="5" t="n">
        <v>8</v>
      </c>
      <c r="I257" s="5" t="s">
        <v>1221</v>
      </c>
      <c r="J257" s="5" t="s">
        <v>153</v>
      </c>
      <c r="K257" s="5"/>
      <c r="L257" s="5" t="s">
        <v>85</v>
      </c>
      <c r="M257" s="5" t="s">
        <v>185</v>
      </c>
      <c r="N257" s="5" t="s">
        <v>88</v>
      </c>
      <c r="O257" s="5" t="s">
        <v>214</v>
      </c>
      <c r="P257" s="5" t="s">
        <v>641</v>
      </c>
      <c r="Q257" s="5" t="s">
        <v>440</v>
      </c>
      <c r="R257" s="5" t="s">
        <v>2799</v>
      </c>
      <c r="S257" s="5" t="s">
        <v>2800</v>
      </c>
      <c r="T257" s="5" t="s">
        <v>277</v>
      </c>
      <c r="U257" s="5" t="n">
        <v>365</v>
      </c>
      <c r="V257" s="5" t="s">
        <v>2801</v>
      </c>
      <c r="W257" s="5" t="s">
        <v>2802</v>
      </c>
      <c r="X257" s="5" t="s">
        <v>3233</v>
      </c>
      <c r="Y257" s="5" t="s">
        <v>3234</v>
      </c>
      <c r="Z257" s="5" t="s">
        <v>3235</v>
      </c>
      <c r="AA257" s="5"/>
      <c r="AB257" s="5"/>
      <c r="AC257" s="5"/>
      <c r="AD257" s="5"/>
      <c r="AE257" s="5"/>
      <c r="AF257" s="5" t="s">
        <v>3236</v>
      </c>
      <c r="AG257" s="5"/>
      <c r="AH257" s="5"/>
      <c r="AI257" s="5"/>
      <c r="AJ257" s="5"/>
      <c r="AK257" s="5"/>
      <c r="AL257" s="5" t="s">
        <v>3236</v>
      </c>
      <c r="AM257" s="5"/>
      <c r="AN257" s="5"/>
      <c r="AO257" s="5"/>
      <c r="AP257" s="5"/>
      <c r="AQ257" s="5" t="s">
        <v>3236</v>
      </c>
      <c r="AR257" s="5" t="s">
        <v>1294</v>
      </c>
      <c r="AS257" s="5"/>
      <c r="AT257" s="5" t="s">
        <v>3237</v>
      </c>
      <c r="AU257" s="5"/>
      <c r="AV257" s="5"/>
      <c r="AW257" s="5" t="s">
        <v>3221</v>
      </c>
    </row>
    <row r="258" customFormat="false" ht="214.15" hidden="false" customHeight="false" outlineLevel="0" collapsed="false">
      <c r="A258" s="5" t="s">
        <v>3238</v>
      </c>
      <c r="B258" s="5" t="s">
        <v>3239</v>
      </c>
      <c r="C258" s="5" t="s">
        <v>2794</v>
      </c>
      <c r="D258" s="5" t="s">
        <v>2795</v>
      </c>
      <c r="E258" s="5" t="s">
        <v>514</v>
      </c>
      <c r="F258" s="5" t="s">
        <v>3240</v>
      </c>
      <c r="G258" s="5" t="s">
        <v>3241</v>
      </c>
      <c r="H258" s="5" t="n">
        <v>10</v>
      </c>
      <c r="I258" s="5" t="s">
        <v>1221</v>
      </c>
      <c r="J258" s="5" t="s">
        <v>153</v>
      </c>
      <c r="K258" s="5" t="s">
        <v>3155</v>
      </c>
      <c r="L258" s="5" t="s">
        <v>30</v>
      </c>
      <c r="M258" s="5" t="s">
        <v>155</v>
      </c>
      <c r="N258" s="5" t="s">
        <v>1030</v>
      </c>
      <c r="O258" s="5" t="s">
        <v>157</v>
      </c>
      <c r="P258" s="5" t="s">
        <v>158</v>
      </c>
      <c r="Q258" s="5" t="s">
        <v>399</v>
      </c>
      <c r="R258" s="5" t="s">
        <v>2799</v>
      </c>
      <c r="S258" s="5" t="s">
        <v>2800</v>
      </c>
      <c r="T258" s="5" t="s">
        <v>277</v>
      </c>
      <c r="U258" s="5" t="n">
        <v>365</v>
      </c>
      <c r="V258" s="5" t="s">
        <v>2801</v>
      </c>
      <c r="W258" s="5" t="s">
        <v>2802</v>
      </c>
      <c r="X258" s="5" t="s">
        <v>3242</v>
      </c>
      <c r="Y258" s="5" t="s">
        <v>3243</v>
      </c>
      <c r="Z258" s="5" t="s">
        <v>3244</v>
      </c>
      <c r="AA258" s="5"/>
      <c r="AB258" s="5"/>
      <c r="AC258" s="5"/>
      <c r="AD258" s="5"/>
      <c r="AE258" s="5"/>
      <c r="AF258" s="5" t="s">
        <v>3245</v>
      </c>
      <c r="AG258" s="5" t="s">
        <v>3245</v>
      </c>
      <c r="AH258" s="5"/>
      <c r="AI258" s="5"/>
      <c r="AJ258" s="5"/>
      <c r="AK258" s="5"/>
      <c r="AL258" s="5" t="s">
        <v>3245</v>
      </c>
      <c r="AM258" s="5" t="s">
        <v>3245</v>
      </c>
      <c r="AN258" s="5"/>
      <c r="AO258" s="5"/>
      <c r="AP258" s="5"/>
      <c r="AQ258" s="5"/>
      <c r="AR258" s="5" t="s">
        <v>596</v>
      </c>
      <c r="AS258" s="5"/>
      <c r="AT258" s="5"/>
      <c r="AU258" s="5" t="s">
        <v>528</v>
      </c>
      <c r="AV258" s="5"/>
      <c r="AW258" s="5" t="s">
        <v>3246</v>
      </c>
    </row>
    <row r="259" customFormat="false" ht="124.6" hidden="false" customHeight="false" outlineLevel="0" collapsed="false">
      <c r="A259" s="5" t="s">
        <v>3247</v>
      </c>
      <c r="B259" s="5" t="s">
        <v>3248</v>
      </c>
      <c r="C259" s="5" t="s">
        <v>2794</v>
      </c>
      <c r="D259" s="5" t="s">
        <v>2795</v>
      </c>
      <c r="E259" s="5" t="s">
        <v>514</v>
      </c>
      <c r="F259" s="5" t="s">
        <v>3249</v>
      </c>
      <c r="G259" s="5" t="s">
        <v>3250</v>
      </c>
      <c r="H259" s="5" t="n">
        <v>6</v>
      </c>
      <c r="I259" s="5" t="s">
        <v>603</v>
      </c>
      <c r="J259" s="5" t="s">
        <v>557</v>
      </c>
      <c r="K259" s="5"/>
      <c r="L259" s="5" t="s">
        <v>30</v>
      </c>
      <c r="M259" s="5" t="s">
        <v>155</v>
      </c>
      <c r="N259" s="5" t="s">
        <v>1030</v>
      </c>
      <c r="O259" s="5" t="s">
        <v>157</v>
      </c>
      <c r="P259" s="5" t="s">
        <v>215</v>
      </c>
      <c r="Q259" s="5" t="s">
        <v>440</v>
      </c>
      <c r="R259" s="5" t="s">
        <v>2799</v>
      </c>
      <c r="S259" s="5" t="s">
        <v>2800</v>
      </c>
      <c r="T259" s="5" t="s">
        <v>606</v>
      </c>
      <c r="U259" s="5" t="n">
        <v>90</v>
      </c>
      <c r="V259" s="5" t="s">
        <v>2801</v>
      </c>
      <c r="W259" s="5" t="s">
        <v>2802</v>
      </c>
      <c r="X259" s="5" t="s">
        <v>3251</v>
      </c>
      <c r="Y259" s="5" t="s">
        <v>3252</v>
      </c>
      <c r="Z259" s="5" t="s">
        <v>3253</v>
      </c>
      <c r="AA259" s="5"/>
      <c r="AB259" s="5"/>
      <c r="AC259" s="5"/>
      <c r="AD259" s="5"/>
      <c r="AE259" s="5"/>
      <c r="AF259" s="5" t="s">
        <v>3254</v>
      </c>
      <c r="AG259" s="5" t="s">
        <v>3254</v>
      </c>
      <c r="AH259" s="5"/>
      <c r="AI259" s="5"/>
      <c r="AJ259" s="5"/>
      <c r="AK259" s="5"/>
      <c r="AL259" s="5" t="s">
        <v>3254</v>
      </c>
      <c r="AM259" s="5" t="s">
        <v>3254</v>
      </c>
      <c r="AN259" s="5"/>
      <c r="AO259" s="5"/>
      <c r="AP259" s="5"/>
      <c r="AQ259" s="5"/>
      <c r="AR259" s="5" t="s">
        <v>596</v>
      </c>
      <c r="AS259" s="5"/>
      <c r="AT259" s="5"/>
      <c r="AU259" s="5" t="s">
        <v>3255</v>
      </c>
      <c r="AV259" s="5"/>
      <c r="AW259" s="5" t="s">
        <v>3256</v>
      </c>
    </row>
    <row r="260" customFormat="false" ht="124.6" hidden="false" customHeight="false" outlineLevel="0" collapsed="false">
      <c r="A260" s="5" t="s">
        <v>3257</v>
      </c>
      <c r="B260" s="5" t="s">
        <v>3258</v>
      </c>
      <c r="C260" s="5" t="s">
        <v>2794</v>
      </c>
      <c r="D260" s="5" t="s">
        <v>2795</v>
      </c>
      <c r="E260" s="5" t="s">
        <v>626</v>
      </c>
      <c r="F260" s="5" t="s">
        <v>3259</v>
      </c>
      <c r="G260" s="5" t="s">
        <v>3260</v>
      </c>
      <c r="H260" s="5" t="n">
        <v>10</v>
      </c>
      <c r="I260" s="5" t="s">
        <v>1221</v>
      </c>
      <c r="J260" s="5" t="s">
        <v>153</v>
      </c>
      <c r="K260" s="5"/>
      <c r="L260" s="5" t="s">
        <v>68</v>
      </c>
      <c r="M260" s="5" t="s">
        <v>185</v>
      </c>
      <c r="N260" s="5" t="s">
        <v>72</v>
      </c>
      <c r="O260" s="5" t="s">
        <v>666</v>
      </c>
      <c r="P260" s="5" t="s">
        <v>215</v>
      </c>
      <c r="Q260" s="5" t="s">
        <v>440</v>
      </c>
      <c r="R260" s="5" t="s">
        <v>2799</v>
      </c>
      <c r="S260" s="5" t="s">
        <v>2800</v>
      </c>
      <c r="T260" s="5" t="s">
        <v>277</v>
      </c>
      <c r="U260" s="5" t="n">
        <v>365</v>
      </c>
      <c r="V260" s="5" t="s">
        <v>2801</v>
      </c>
      <c r="W260" s="5" t="s">
        <v>2802</v>
      </c>
      <c r="X260" s="5" t="s">
        <v>3261</v>
      </c>
      <c r="Y260" s="5" t="s">
        <v>3262</v>
      </c>
      <c r="Z260" s="5" t="s">
        <v>3263</v>
      </c>
      <c r="AA260" s="5"/>
      <c r="AB260" s="5"/>
      <c r="AC260" s="5"/>
      <c r="AD260" s="5"/>
      <c r="AE260" s="5"/>
      <c r="AF260" s="5"/>
      <c r="AG260" s="5"/>
      <c r="AH260" s="5"/>
      <c r="AI260" s="5"/>
      <c r="AJ260" s="5"/>
      <c r="AK260" s="5"/>
      <c r="AL260" s="5"/>
      <c r="AM260" s="5"/>
      <c r="AN260" s="5"/>
      <c r="AO260" s="5" t="s">
        <v>2812</v>
      </c>
      <c r="AP260" s="5"/>
      <c r="AQ260" s="5"/>
      <c r="AR260" s="5"/>
      <c r="AS260" s="5"/>
      <c r="AT260" s="5"/>
      <c r="AU260" s="5" t="s">
        <v>2545</v>
      </c>
      <c r="AV260" s="5"/>
      <c r="AW260" s="5" t="s">
        <v>3264</v>
      </c>
    </row>
    <row r="261" customFormat="false" ht="214.15" hidden="false" customHeight="false" outlineLevel="0" collapsed="false">
      <c r="A261" s="5" t="s">
        <v>3265</v>
      </c>
      <c r="B261" s="5" t="s">
        <v>3266</v>
      </c>
      <c r="C261" s="5" t="s">
        <v>1585</v>
      </c>
      <c r="D261" s="5" t="s">
        <v>79</v>
      </c>
      <c r="E261" s="5" t="s">
        <v>626</v>
      </c>
      <c r="F261" s="5" t="s">
        <v>3267</v>
      </c>
      <c r="G261" s="5" t="s">
        <v>3268</v>
      </c>
      <c r="H261" s="5" t="n">
        <v>10</v>
      </c>
      <c r="I261" s="5" t="s">
        <v>603</v>
      </c>
      <c r="J261" s="5" t="s">
        <v>153</v>
      </c>
      <c r="K261" s="5" t="s">
        <v>3269</v>
      </c>
      <c r="L261" s="5" t="s">
        <v>30</v>
      </c>
      <c r="M261" s="5" t="s">
        <v>155</v>
      </c>
      <c r="N261" s="5" t="s">
        <v>3270</v>
      </c>
      <c r="O261" s="5" t="s">
        <v>570</v>
      </c>
      <c r="P261" s="5" t="s">
        <v>215</v>
      </c>
      <c r="Q261" s="5" t="s">
        <v>440</v>
      </c>
      <c r="R261" s="5" t="s">
        <v>3271</v>
      </c>
      <c r="S261" s="5" t="s">
        <v>3272</v>
      </c>
      <c r="T261" s="5" t="s">
        <v>162</v>
      </c>
      <c r="U261" s="5" t="n">
        <v>365</v>
      </c>
      <c r="V261" s="5" t="s">
        <v>3273</v>
      </c>
      <c r="W261" s="5" t="s">
        <v>3274</v>
      </c>
      <c r="X261" s="5" t="s">
        <v>3275</v>
      </c>
      <c r="Y261" s="5" t="s">
        <v>3276</v>
      </c>
      <c r="Z261" s="5" t="s">
        <v>3277</v>
      </c>
      <c r="AA261" s="5"/>
      <c r="AB261" s="5"/>
      <c r="AC261" s="5"/>
      <c r="AD261" s="5"/>
      <c r="AE261" s="5"/>
      <c r="AF261" s="5"/>
      <c r="AG261" s="5"/>
      <c r="AH261" s="5"/>
      <c r="AI261" s="5" t="s">
        <v>3278</v>
      </c>
      <c r="AJ261" s="5" t="s">
        <v>3279</v>
      </c>
      <c r="AK261" s="5"/>
      <c r="AL261" s="5"/>
      <c r="AM261" s="5"/>
      <c r="AN261" s="5"/>
      <c r="AO261" s="5" t="s">
        <v>3280</v>
      </c>
      <c r="AP261" s="5"/>
      <c r="AQ261" s="5"/>
      <c r="AR261" s="5"/>
      <c r="AS261" s="5"/>
      <c r="AT261" s="5"/>
      <c r="AU261" s="5"/>
      <c r="AV261" s="5"/>
      <c r="AW261" s="5" t="s">
        <v>552</v>
      </c>
    </row>
    <row r="262" customFormat="false" ht="113.4" hidden="false" customHeight="false" outlineLevel="0" collapsed="false">
      <c r="A262" s="5" t="s">
        <v>3281</v>
      </c>
      <c r="B262" s="5" t="s">
        <v>3282</v>
      </c>
      <c r="C262" s="5" t="s">
        <v>1585</v>
      </c>
      <c r="D262" s="5" t="s">
        <v>79</v>
      </c>
      <c r="E262" s="5" t="s">
        <v>626</v>
      </c>
      <c r="F262" s="5" t="s">
        <v>3283</v>
      </c>
      <c r="G262" s="5" t="s">
        <v>3284</v>
      </c>
      <c r="H262" s="5" t="n">
        <v>9</v>
      </c>
      <c r="I262" s="5" t="s">
        <v>603</v>
      </c>
      <c r="J262" s="5" t="s">
        <v>557</v>
      </c>
      <c r="K262" s="5"/>
      <c r="L262" s="5" t="s">
        <v>68</v>
      </c>
      <c r="M262" s="5" t="s">
        <v>185</v>
      </c>
      <c r="N262" s="5" t="s">
        <v>3285</v>
      </c>
      <c r="O262" s="5" t="s">
        <v>666</v>
      </c>
      <c r="P262" s="5" t="s">
        <v>215</v>
      </c>
      <c r="Q262" s="5" t="s">
        <v>440</v>
      </c>
      <c r="R262" s="5" t="s">
        <v>3271</v>
      </c>
      <c r="S262" s="5" t="s">
        <v>3272</v>
      </c>
      <c r="T262" s="5" t="s">
        <v>606</v>
      </c>
      <c r="U262" s="5" t="n">
        <v>90</v>
      </c>
      <c r="V262" s="5" t="s">
        <v>3273</v>
      </c>
      <c r="W262" s="5" t="s">
        <v>3274</v>
      </c>
      <c r="X262" s="5" t="s">
        <v>3286</v>
      </c>
      <c r="Y262" s="5" t="s">
        <v>3287</v>
      </c>
      <c r="Z262" s="5" t="s">
        <v>3288</v>
      </c>
      <c r="AA262" s="5"/>
      <c r="AB262" s="5"/>
      <c r="AC262" s="5"/>
      <c r="AD262" s="5"/>
      <c r="AE262" s="5"/>
      <c r="AF262" s="5"/>
      <c r="AG262" s="5"/>
      <c r="AH262" s="5"/>
      <c r="AI262" s="5"/>
      <c r="AJ262" s="5"/>
      <c r="AK262" s="5"/>
      <c r="AL262" s="5"/>
      <c r="AM262" s="5"/>
      <c r="AN262" s="5"/>
      <c r="AO262" s="5"/>
      <c r="AP262" s="5"/>
      <c r="AQ262" s="5"/>
      <c r="AR262" s="5"/>
      <c r="AS262" s="5"/>
      <c r="AT262" s="5"/>
      <c r="AU262" s="5"/>
      <c r="AV262" s="5"/>
      <c r="AW262" s="5" t="s">
        <v>3289</v>
      </c>
    </row>
    <row r="263" customFormat="false" ht="113.4" hidden="false" customHeight="false" outlineLevel="0" collapsed="false">
      <c r="A263" s="5" t="s">
        <v>3290</v>
      </c>
      <c r="B263" s="5" t="s">
        <v>3291</v>
      </c>
      <c r="C263" s="5" t="s">
        <v>1585</v>
      </c>
      <c r="D263" s="5" t="s">
        <v>79</v>
      </c>
      <c r="E263" s="5" t="s">
        <v>626</v>
      </c>
      <c r="F263" s="5" t="s">
        <v>3292</v>
      </c>
      <c r="G263" s="5" t="s">
        <v>3293</v>
      </c>
      <c r="H263" s="5" t="n">
        <v>9</v>
      </c>
      <c r="I263" s="5" t="s">
        <v>603</v>
      </c>
      <c r="J263" s="5" t="s">
        <v>557</v>
      </c>
      <c r="K263" s="5"/>
      <c r="L263" s="5" t="s">
        <v>68</v>
      </c>
      <c r="M263" s="5" t="s">
        <v>185</v>
      </c>
      <c r="N263" s="5" t="s">
        <v>3285</v>
      </c>
      <c r="O263" s="5" t="s">
        <v>666</v>
      </c>
      <c r="P263" s="5" t="s">
        <v>215</v>
      </c>
      <c r="Q263" s="5" t="s">
        <v>440</v>
      </c>
      <c r="R263" s="5" t="s">
        <v>3271</v>
      </c>
      <c r="S263" s="5" t="s">
        <v>3272</v>
      </c>
      <c r="T263" s="5" t="s">
        <v>606</v>
      </c>
      <c r="U263" s="5" t="n">
        <v>90</v>
      </c>
      <c r="V263" s="5" t="s">
        <v>3273</v>
      </c>
      <c r="W263" s="5" t="s">
        <v>3274</v>
      </c>
      <c r="X263" s="5" t="s">
        <v>3294</v>
      </c>
      <c r="Y263" s="5" t="s">
        <v>3295</v>
      </c>
      <c r="Z263" s="5" t="s">
        <v>3288</v>
      </c>
      <c r="AA263" s="5"/>
      <c r="AB263" s="5"/>
      <c r="AC263" s="5"/>
      <c r="AD263" s="5"/>
      <c r="AE263" s="5"/>
      <c r="AF263" s="5"/>
      <c r="AG263" s="5"/>
      <c r="AH263" s="5"/>
      <c r="AI263" s="5"/>
      <c r="AJ263" s="5"/>
      <c r="AK263" s="5"/>
      <c r="AL263" s="5"/>
      <c r="AM263" s="5"/>
      <c r="AN263" s="5"/>
      <c r="AO263" s="5"/>
      <c r="AP263" s="5"/>
      <c r="AQ263" s="5"/>
      <c r="AR263" s="5"/>
      <c r="AS263" s="5"/>
      <c r="AT263" s="5"/>
      <c r="AU263" s="5"/>
      <c r="AV263" s="5"/>
      <c r="AW263" s="5" t="s">
        <v>3289</v>
      </c>
    </row>
    <row r="264" customFormat="false" ht="113.4" hidden="false" customHeight="false" outlineLevel="0" collapsed="false">
      <c r="A264" s="5" t="s">
        <v>3296</v>
      </c>
      <c r="B264" s="5" t="s">
        <v>3297</v>
      </c>
      <c r="C264" s="5" t="s">
        <v>1585</v>
      </c>
      <c r="D264" s="5" t="s">
        <v>79</v>
      </c>
      <c r="E264" s="5" t="s">
        <v>626</v>
      </c>
      <c r="F264" s="5" t="s">
        <v>3298</v>
      </c>
      <c r="G264" s="5" t="s">
        <v>3299</v>
      </c>
      <c r="H264" s="5" t="n">
        <v>4</v>
      </c>
      <c r="I264" s="5" t="s">
        <v>603</v>
      </c>
      <c r="J264" s="5" t="s">
        <v>153</v>
      </c>
      <c r="K264" s="5"/>
      <c r="L264" s="5" t="s">
        <v>30</v>
      </c>
      <c r="M264" s="5" t="s">
        <v>155</v>
      </c>
      <c r="N264" s="5" t="s">
        <v>3300</v>
      </c>
      <c r="O264" s="5" t="s">
        <v>570</v>
      </c>
      <c r="P264" s="5" t="s">
        <v>215</v>
      </c>
      <c r="Q264" s="5" t="s">
        <v>440</v>
      </c>
      <c r="R264" s="5" t="s">
        <v>3271</v>
      </c>
      <c r="S264" s="5" t="s">
        <v>3272</v>
      </c>
      <c r="T264" s="5" t="s">
        <v>606</v>
      </c>
      <c r="U264" s="5" t="n">
        <v>365</v>
      </c>
      <c r="V264" s="5" t="s">
        <v>3273</v>
      </c>
      <c r="W264" s="5" t="s">
        <v>3274</v>
      </c>
      <c r="X264" s="5" t="s">
        <v>3301</v>
      </c>
      <c r="Y264" s="5" t="s">
        <v>3302</v>
      </c>
      <c r="Z264" s="5" t="s">
        <v>3303</v>
      </c>
      <c r="AA264" s="5"/>
      <c r="AB264" s="5"/>
      <c r="AC264" s="5"/>
      <c r="AD264" s="5"/>
      <c r="AE264" s="5"/>
      <c r="AF264" s="5"/>
      <c r="AG264" s="5"/>
      <c r="AH264" s="5"/>
      <c r="AI264" s="5" t="s">
        <v>3041</v>
      </c>
      <c r="AJ264" s="5"/>
      <c r="AK264" s="5"/>
      <c r="AL264" s="5"/>
      <c r="AM264" s="5"/>
      <c r="AN264" s="5"/>
      <c r="AO264" s="5" t="s">
        <v>3304</v>
      </c>
      <c r="AP264" s="5"/>
      <c r="AQ264" s="5"/>
      <c r="AR264" s="5"/>
      <c r="AS264" s="5"/>
      <c r="AT264" s="5"/>
      <c r="AU264" s="5"/>
      <c r="AV264" s="5"/>
      <c r="AW264" s="5" t="s">
        <v>1664</v>
      </c>
    </row>
    <row r="265" customFormat="false" ht="135.8" hidden="false" customHeight="false" outlineLevel="0" collapsed="false">
      <c r="A265" s="5" t="s">
        <v>3305</v>
      </c>
      <c r="B265" s="5" t="s">
        <v>3306</v>
      </c>
      <c r="C265" s="5" t="s">
        <v>1585</v>
      </c>
      <c r="D265" s="5" t="s">
        <v>79</v>
      </c>
      <c r="E265" s="5" t="s">
        <v>600</v>
      </c>
      <c r="F265" s="5" t="s">
        <v>3307</v>
      </c>
      <c r="G265" s="5" t="s">
        <v>3308</v>
      </c>
      <c r="H265" s="5" t="n">
        <v>6</v>
      </c>
      <c r="I265" s="5" t="s">
        <v>603</v>
      </c>
      <c r="J265" s="5" t="s">
        <v>153</v>
      </c>
      <c r="K265" s="5"/>
      <c r="L265" s="5" t="s">
        <v>30</v>
      </c>
      <c r="M265" s="5" t="s">
        <v>155</v>
      </c>
      <c r="N265" s="5" t="s">
        <v>3309</v>
      </c>
      <c r="O265" s="5" t="s">
        <v>570</v>
      </c>
      <c r="P265" s="5" t="s">
        <v>215</v>
      </c>
      <c r="Q265" s="5" t="s">
        <v>440</v>
      </c>
      <c r="R265" s="5" t="s">
        <v>3271</v>
      </c>
      <c r="S265" s="5" t="s">
        <v>3272</v>
      </c>
      <c r="T265" s="5" t="s">
        <v>606</v>
      </c>
      <c r="U265" s="5" t="n">
        <v>365</v>
      </c>
      <c r="V265" s="5" t="s">
        <v>3273</v>
      </c>
      <c r="W265" s="5" t="s">
        <v>3274</v>
      </c>
      <c r="X265" s="5" t="s">
        <v>3310</v>
      </c>
      <c r="Y265" s="5" t="s">
        <v>3311</v>
      </c>
      <c r="Z265" s="5" t="s">
        <v>3312</v>
      </c>
      <c r="AA265" s="5"/>
      <c r="AB265" s="5"/>
      <c r="AC265" s="5"/>
      <c r="AD265" s="5" t="s">
        <v>3313</v>
      </c>
      <c r="AE265" s="5"/>
      <c r="AF265" s="5"/>
      <c r="AG265" s="5"/>
      <c r="AH265" s="5"/>
      <c r="AI265" s="5"/>
      <c r="AJ265" s="5"/>
      <c r="AK265" s="5"/>
      <c r="AL265" s="5"/>
      <c r="AM265" s="5"/>
      <c r="AN265" s="5"/>
      <c r="AO265" s="5" t="s">
        <v>3314</v>
      </c>
      <c r="AP265" s="5"/>
      <c r="AQ265" s="5"/>
      <c r="AR265" s="5"/>
      <c r="AS265" s="5"/>
      <c r="AT265" s="5"/>
      <c r="AU265" s="5"/>
      <c r="AV265" s="5"/>
      <c r="AW265" s="5" t="s">
        <v>1592</v>
      </c>
    </row>
    <row r="266" customFormat="false" ht="113.4" hidden="false" customHeight="false" outlineLevel="0" collapsed="false">
      <c r="A266" s="5" t="s">
        <v>3315</v>
      </c>
      <c r="B266" s="5" t="s">
        <v>3316</v>
      </c>
      <c r="C266" s="5" t="s">
        <v>1585</v>
      </c>
      <c r="D266" s="5" t="s">
        <v>79</v>
      </c>
      <c r="E266" s="5" t="s">
        <v>626</v>
      </c>
      <c r="F266" s="5" t="s">
        <v>3317</v>
      </c>
      <c r="G266" s="5" t="s">
        <v>3318</v>
      </c>
      <c r="H266" s="5" t="n">
        <v>6</v>
      </c>
      <c r="I266" s="5" t="s">
        <v>603</v>
      </c>
      <c r="J266" s="5" t="s">
        <v>153</v>
      </c>
      <c r="K266" s="5"/>
      <c r="L266" s="5" t="s">
        <v>30</v>
      </c>
      <c r="M266" s="5" t="s">
        <v>155</v>
      </c>
      <c r="N266" s="5" t="s">
        <v>3309</v>
      </c>
      <c r="O266" s="5" t="s">
        <v>570</v>
      </c>
      <c r="P266" s="5" t="s">
        <v>215</v>
      </c>
      <c r="Q266" s="5" t="s">
        <v>440</v>
      </c>
      <c r="R266" s="5" t="s">
        <v>3271</v>
      </c>
      <c r="S266" s="5" t="s">
        <v>3272</v>
      </c>
      <c r="T266" s="5" t="s">
        <v>606</v>
      </c>
      <c r="U266" s="5" t="n">
        <v>365</v>
      </c>
      <c r="V266" s="5" t="s">
        <v>3273</v>
      </c>
      <c r="W266" s="5" t="s">
        <v>3274</v>
      </c>
      <c r="X266" s="5" t="s">
        <v>3319</v>
      </c>
      <c r="Y266" s="5" t="s">
        <v>3320</v>
      </c>
      <c r="Z266" s="5" t="s">
        <v>3321</v>
      </c>
      <c r="AA266" s="5"/>
      <c r="AB266" s="5"/>
      <c r="AC266" s="5"/>
      <c r="AD266" s="5" t="s">
        <v>3322</v>
      </c>
      <c r="AE266" s="5"/>
      <c r="AF266" s="5"/>
      <c r="AG266" s="5"/>
      <c r="AH266" s="5"/>
      <c r="AI266" s="5"/>
      <c r="AJ266" s="5"/>
      <c r="AK266" s="5"/>
      <c r="AL266" s="5"/>
      <c r="AM266" s="5"/>
      <c r="AN266" s="5"/>
      <c r="AO266" s="5" t="s">
        <v>810</v>
      </c>
      <c r="AP266" s="5"/>
      <c r="AQ266" s="5"/>
      <c r="AR266" s="5"/>
      <c r="AS266" s="5"/>
      <c r="AT266" s="5"/>
      <c r="AU266" s="5"/>
      <c r="AV266" s="5"/>
      <c r="AW266" s="5" t="s">
        <v>1664</v>
      </c>
    </row>
    <row r="267" customFormat="false" ht="102.2" hidden="false" customHeight="false" outlineLevel="0" collapsed="false">
      <c r="A267" s="5" t="s">
        <v>3323</v>
      </c>
      <c r="B267" s="5" t="s">
        <v>3324</v>
      </c>
      <c r="C267" s="5" t="s">
        <v>1585</v>
      </c>
      <c r="D267" s="5" t="s">
        <v>79</v>
      </c>
      <c r="E267" s="5" t="s">
        <v>626</v>
      </c>
      <c r="F267" s="5" t="s">
        <v>3325</v>
      </c>
      <c r="G267" s="5" t="s">
        <v>3326</v>
      </c>
      <c r="H267" s="5" t="n">
        <v>6</v>
      </c>
      <c r="I267" s="5" t="s">
        <v>603</v>
      </c>
      <c r="J267" s="5" t="s">
        <v>153</v>
      </c>
      <c r="K267" s="5"/>
      <c r="L267" s="5" t="s">
        <v>68</v>
      </c>
      <c r="M267" s="5" t="s">
        <v>185</v>
      </c>
      <c r="N267" s="5" t="s">
        <v>3285</v>
      </c>
      <c r="O267" s="5" t="s">
        <v>666</v>
      </c>
      <c r="P267" s="5" t="s">
        <v>215</v>
      </c>
      <c r="Q267" s="5" t="s">
        <v>440</v>
      </c>
      <c r="R267" s="5" t="s">
        <v>3271</v>
      </c>
      <c r="S267" s="5" t="s">
        <v>3272</v>
      </c>
      <c r="T267" s="5" t="s">
        <v>606</v>
      </c>
      <c r="U267" s="5" t="n">
        <v>365</v>
      </c>
      <c r="V267" s="5" t="s">
        <v>3273</v>
      </c>
      <c r="W267" s="5" t="s">
        <v>3327</v>
      </c>
      <c r="X267" s="5" t="s">
        <v>3328</v>
      </c>
      <c r="Y267" s="5" t="s">
        <v>3329</v>
      </c>
      <c r="Z267" s="5" t="s">
        <v>3330</v>
      </c>
      <c r="AA267" s="5"/>
      <c r="AB267" s="5"/>
      <c r="AC267" s="5"/>
      <c r="AD267" s="5"/>
      <c r="AE267" s="5"/>
      <c r="AF267" s="5"/>
      <c r="AG267" s="5"/>
      <c r="AH267" s="5"/>
      <c r="AI267" s="5"/>
      <c r="AJ267" s="5"/>
      <c r="AK267" s="5"/>
      <c r="AL267" s="5"/>
      <c r="AM267" s="5"/>
      <c r="AN267" s="5"/>
      <c r="AO267" s="5"/>
      <c r="AP267" s="5"/>
      <c r="AQ267" s="5"/>
      <c r="AR267" s="5"/>
      <c r="AS267" s="5"/>
      <c r="AT267" s="5"/>
      <c r="AU267" s="5"/>
      <c r="AV267" s="5"/>
      <c r="AW267" s="5" t="s">
        <v>3331</v>
      </c>
    </row>
    <row r="268" customFormat="false" ht="124.6" hidden="false" customHeight="false" outlineLevel="0" collapsed="false">
      <c r="A268" s="5" t="s">
        <v>3332</v>
      </c>
      <c r="B268" s="5" t="s">
        <v>3333</v>
      </c>
      <c r="C268" s="5" t="s">
        <v>1585</v>
      </c>
      <c r="D268" s="5" t="s">
        <v>79</v>
      </c>
      <c r="E268" s="5" t="s">
        <v>626</v>
      </c>
      <c r="F268" s="5" t="s">
        <v>3334</v>
      </c>
      <c r="G268" s="5" t="s">
        <v>3335</v>
      </c>
      <c r="H268" s="5" t="n">
        <v>2</v>
      </c>
      <c r="I268" s="5" t="s">
        <v>603</v>
      </c>
      <c r="J268" s="5" t="s">
        <v>153</v>
      </c>
      <c r="K268" s="5"/>
      <c r="L268" s="5" t="s">
        <v>68</v>
      </c>
      <c r="M268" s="5" t="s">
        <v>185</v>
      </c>
      <c r="N268" s="5" t="s">
        <v>3336</v>
      </c>
      <c r="O268" s="5" t="s">
        <v>666</v>
      </c>
      <c r="P268" s="5" t="s">
        <v>215</v>
      </c>
      <c r="Q268" s="5" t="s">
        <v>440</v>
      </c>
      <c r="R268" s="5" t="s">
        <v>3271</v>
      </c>
      <c r="S268" s="5" t="s">
        <v>3272</v>
      </c>
      <c r="T268" s="5" t="s">
        <v>606</v>
      </c>
      <c r="U268" s="5" t="n">
        <v>365</v>
      </c>
      <c r="V268" s="5" t="s">
        <v>3273</v>
      </c>
      <c r="W268" s="5" t="s">
        <v>3274</v>
      </c>
      <c r="X268" s="5" t="s">
        <v>3337</v>
      </c>
      <c r="Y268" s="5" t="s">
        <v>3338</v>
      </c>
      <c r="Z268" s="5" t="s">
        <v>3339</v>
      </c>
      <c r="AA268" s="5"/>
      <c r="AB268" s="5"/>
      <c r="AC268" s="5"/>
      <c r="AD268" s="5"/>
      <c r="AE268" s="5"/>
      <c r="AF268" s="5"/>
      <c r="AG268" s="5"/>
      <c r="AH268" s="5"/>
      <c r="AI268" s="5"/>
      <c r="AJ268" s="5"/>
      <c r="AK268" s="5"/>
      <c r="AL268" s="5"/>
      <c r="AM268" s="5"/>
      <c r="AN268" s="5"/>
      <c r="AO268" s="5" t="s">
        <v>3340</v>
      </c>
      <c r="AP268" s="5"/>
      <c r="AQ268" s="5"/>
      <c r="AR268" s="5"/>
      <c r="AS268" s="5"/>
      <c r="AT268" s="5"/>
      <c r="AU268" s="5"/>
      <c r="AV268" s="5"/>
      <c r="AW268" s="5" t="s">
        <v>1592</v>
      </c>
    </row>
    <row r="269" customFormat="false" ht="124.6" hidden="false" customHeight="false" outlineLevel="0" collapsed="false">
      <c r="A269" s="5" t="s">
        <v>3341</v>
      </c>
      <c r="B269" s="5" t="s">
        <v>3342</v>
      </c>
      <c r="C269" s="5" t="s">
        <v>1585</v>
      </c>
      <c r="D269" s="5" t="s">
        <v>79</v>
      </c>
      <c r="E269" s="5" t="s">
        <v>600</v>
      </c>
      <c r="F269" s="5" t="s">
        <v>3343</v>
      </c>
      <c r="G269" s="5" t="s">
        <v>3344</v>
      </c>
      <c r="H269" s="5" t="n">
        <v>4</v>
      </c>
      <c r="I269" s="5" t="s">
        <v>603</v>
      </c>
      <c r="J269" s="5" t="s">
        <v>557</v>
      </c>
      <c r="K269" s="5"/>
      <c r="L269" s="5" t="s">
        <v>68</v>
      </c>
      <c r="M269" s="5" t="s">
        <v>185</v>
      </c>
      <c r="N269" s="5" t="s">
        <v>3336</v>
      </c>
      <c r="O269" s="5" t="s">
        <v>666</v>
      </c>
      <c r="P269" s="5" t="s">
        <v>215</v>
      </c>
      <c r="Q269" s="5" t="s">
        <v>440</v>
      </c>
      <c r="R269" s="5" t="s">
        <v>3271</v>
      </c>
      <c r="S269" s="5" t="s">
        <v>3272</v>
      </c>
      <c r="T269" s="5" t="s">
        <v>606</v>
      </c>
      <c r="U269" s="5" t="n">
        <v>90</v>
      </c>
      <c r="V269" s="5" t="s">
        <v>3273</v>
      </c>
      <c r="W269" s="5" t="s">
        <v>3274</v>
      </c>
      <c r="X269" s="5" t="s">
        <v>3345</v>
      </c>
      <c r="Y269" s="5" t="s">
        <v>3346</v>
      </c>
      <c r="Z269" s="5" t="s">
        <v>3347</v>
      </c>
      <c r="AA269" s="5"/>
      <c r="AB269" s="5"/>
      <c r="AC269" s="5"/>
      <c r="AD269" s="5"/>
      <c r="AE269" s="5"/>
      <c r="AF269" s="5"/>
      <c r="AG269" s="5"/>
      <c r="AH269" s="5"/>
      <c r="AI269" s="5"/>
      <c r="AJ269" s="5"/>
      <c r="AK269" s="5"/>
      <c r="AL269" s="5"/>
      <c r="AM269" s="5"/>
      <c r="AN269" s="5"/>
      <c r="AO269" s="5" t="s">
        <v>3348</v>
      </c>
      <c r="AP269" s="5"/>
      <c r="AQ269" s="5"/>
      <c r="AR269" s="5"/>
      <c r="AS269" s="5"/>
      <c r="AT269" s="5"/>
      <c r="AU269" s="5"/>
      <c r="AV269" s="5"/>
      <c r="AW269" s="5" t="s">
        <v>1592</v>
      </c>
    </row>
    <row r="270" customFormat="false" ht="135.8" hidden="false" customHeight="false" outlineLevel="0" collapsed="false">
      <c r="A270" s="5" t="s">
        <v>3349</v>
      </c>
      <c r="B270" s="5" t="s">
        <v>3350</v>
      </c>
      <c r="C270" s="5" t="s">
        <v>1585</v>
      </c>
      <c r="D270" s="5" t="s">
        <v>79</v>
      </c>
      <c r="E270" s="5" t="s">
        <v>514</v>
      </c>
      <c r="F270" s="5" t="s">
        <v>3351</v>
      </c>
      <c r="G270" s="5" t="s">
        <v>3352</v>
      </c>
      <c r="H270" s="5" t="n">
        <v>8</v>
      </c>
      <c r="I270" s="5" t="s">
        <v>152</v>
      </c>
      <c r="J270" s="5" t="s">
        <v>153</v>
      </c>
      <c r="K270" s="5"/>
      <c r="L270" s="5" t="s">
        <v>68</v>
      </c>
      <c r="M270" s="5" t="s">
        <v>185</v>
      </c>
      <c r="N270" s="5" t="s">
        <v>3336</v>
      </c>
      <c r="O270" s="5" t="s">
        <v>666</v>
      </c>
      <c r="P270" s="5" t="s">
        <v>215</v>
      </c>
      <c r="Q270" s="5" t="s">
        <v>440</v>
      </c>
      <c r="R270" s="5" t="s">
        <v>3271</v>
      </c>
      <c r="S270" s="5" t="s">
        <v>3272</v>
      </c>
      <c r="T270" s="5" t="s">
        <v>162</v>
      </c>
      <c r="U270" s="5" t="n">
        <v>365</v>
      </c>
      <c r="V270" s="5" t="s">
        <v>3273</v>
      </c>
      <c r="W270" s="5" t="s">
        <v>3274</v>
      </c>
      <c r="X270" s="5" t="s">
        <v>3353</v>
      </c>
      <c r="Y270" s="5" t="s">
        <v>3354</v>
      </c>
      <c r="Z270" s="5" t="s">
        <v>3355</v>
      </c>
      <c r="AA270" s="5"/>
      <c r="AB270" s="5"/>
      <c r="AC270" s="5"/>
      <c r="AD270" s="5"/>
      <c r="AE270" s="5"/>
      <c r="AF270" s="5"/>
      <c r="AG270" s="5"/>
      <c r="AH270" s="5"/>
      <c r="AI270" s="5"/>
      <c r="AJ270" s="5"/>
      <c r="AK270" s="5"/>
      <c r="AL270" s="5"/>
      <c r="AM270" s="5"/>
      <c r="AN270" s="5"/>
      <c r="AO270" s="5" t="s">
        <v>3356</v>
      </c>
      <c r="AP270" s="5"/>
      <c r="AQ270" s="5"/>
      <c r="AR270" s="5"/>
      <c r="AS270" s="5"/>
      <c r="AT270" s="5"/>
      <c r="AU270" s="5"/>
      <c r="AV270" s="5"/>
      <c r="AW270" s="5" t="s">
        <v>3357</v>
      </c>
    </row>
    <row r="271" customFormat="false" ht="113.4" hidden="false" customHeight="false" outlineLevel="0" collapsed="false">
      <c r="A271" s="5" t="s">
        <v>3358</v>
      </c>
      <c r="B271" s="5" t="s">
        <v>3359</v>
      </c>
      <c r="C271" s="5" t="s">
        <v>1585</v>
      </c>
      <c r="D271" s="5" t="s">
        <v>79</v>
      </c>
      <c r="E271" s="5" t="s">
        <v>626</v>
      </c>
      <c r="F271" s="5" t="s">
        <v>3360</v>
      </c>
      <c r="G271" s="5" t="s">
        <v>3361</v>
      </c>
      <c r="H271" s="5" t="n">
        <v>7</v>
      </c>
      <c r="I271" s="5" t="s">
        <v>603</v>
      </c>
      <c r="J271" s="5" t="s">
        <v>153</v>
      </c>
      <c r="K271" s="5"/>
      <c r="L271" s="5" t="s">
        <v>68</v>
      </c>
      <c r="M271" s="5" t="s">
        <v>185</v>
      </c>
      <c r="N271" s="5" t="s">
        <v>3336</v>
      </c>
      <c r="O271" s="5" t="s">
        <v>666</v>
      </c>
      <c r="P271" s="5" t="s">
        <v>215</v>
      </c>
      <c r="Q271" s="5" t="s">
        <v>440</v>
      </c>
      <c r="R271" s="5" t="s">
        <v>3271</v>
      </c>
      <c r="S271" s="5" t="s">
        <v>3272</v>
      </c>
      <c r="T271" s="5" t="s">
        <v>606</v>
      </c>
      <c r="U271" s="5" t="n">
        <v>365</v>
      </c>
      <c r="V271" s="5" t="s">
        <v>3273</v>
      </c>
      <c r="W271" s="5" t="s">
        <v>3274</v>
      </c>
      <c r="X271" s="5" t="s">
        <v>3362</v>
      </c>
      <c r="Y271" s="5" t="s">
        <v>3363</v>
      </c>
      <c r="Z271" s="5" t="s">
        <v>3364</v>
      </c>
      <c r="AA271" s="5"/>
      <c r="AB271" s="5"/>
      <c r="AC271" s="5"/>
      <c r="AD271" s="5"/>
      <c r="AE271" s="5"/>
      <c r="AF271" s="5"/>
      <c r="AG271" s="5"/>
      <c r="AH271" s="5"/>
      <c r="AI271" s="5"/>
      <c r="AJ271" s="5"/>
      <c r="AK271" s="5"/>
      <c r="AL271" s="5"/>
      <c r="AM271" s="5"/>
      <c r="AN271" s="5"/>
      <c r="AO271" s="5" t="s">
        <v>3365</v>
      </c>
      <c r="AP271" s="5"/>
      <c r="AQ271" s="5"/>
      <c r="AR271" s="5"/>
      <c r="AS271" s="5"/>
      <c r="AT271" s="5"/>
      <c r="AU271" s="5"/>
      <c r="AV271" s="5"/>
      <c r="AW271" s="5" t="s">
        <v>1664</v>
      </c>
    </row>
    <row r="272" customFormat="false" ht="124.6" hidden="false" customHeight="false" outlineLevel="0" collapsed="false">
      <c r="A272" s="5" t="s">
        <v>3366</v>
      </c>
      <c r="B272" s="5" t="s">
        <v>3367</v>
      </c>
      <c r="C272" s="5" t="s">
        <v>1585</v>
      </c>
      <c r="D272" s="5" t="s">
        <v>79</v>
      </c>
      <c r="E272" s="5" t="s">
        <v>626</v>
      </c>
      <c r="F272" s="5" t="s">
        <v>3368</v>
      </c>
      <c r="G272" s="5" t="s">
        <v>3369</v>
      </c>
      <c r="H272" s="5" t="n">
        <v>8</v>
      </c>
      <c r="I272" s="5" t="s">
        <v>603</v>
      </c>
      <c r="J272" s="5" t="s">
        <v>153</v>
      </c>
      <c r="K272" s="5"/>
      <c r="L272" s="5" t="s">
        <v>68</v>
      </c>
      <c r="M272" s="5" t="s">
        <v>185</v>
      </c>
      <c r="N272" s="5" t="s">
        <v>3336</v>
      </c>
      <c r="O272" s="5" t="s">
        <v>666</v>
      </c>
      <c r="P272" s="5" t="s">
        <v>215</v>
      </c>
      <c r="Q272" s="5" t="s">
        <v>440</v>
      </c>
      <c r="R272" s="5" t="s">
        <v>3271</v>
      </c>
      <c r="S272" s="5" t="s">
        <v>3272</v>
      </c>
      <c r="T272" s="5" t="s">
        <v>606</v>
      </c>
      <c r="U272" s="5" t="n">
        <v>365</v>
      </c>
      <c r="V272" s="5" t="s">
        <v>3273</v>
      </c>
      <c r="W272" s="5" t="s">
        <v>3274</v>
      </c>
      <c r="X272" s="5" t="s">
        <v>3370</v>
      </c>
      <c r="Y272" s="5" t="s">
        <v>3371</v>
      </c>
      <c r="Z272" s="5" t="s">
        <v>3372</v>
      </c>
      <c r="AA272" s="5"/>
      <c r="AB272" s="5"/>
      <c r="AC272" s="5"/>
      <c r="AD272" s="5"/>
      <c r="AE272" s="5"/>
      <c r="AF272" s="5"/>
      <c r="AG272" s="5"/>
      <c r="AH272" s="5"/>
      <c r="AI272" s="5"/>
      <c r="AJ272" s="5"/>
      <c r="AK272" s="5"/>
      <c r="AL272" s="5"/>
      <c r="AM272" s="5"/>
      <c r="AN272" s="5"/>
      <c r="AO272" s="5" t="s">
        <v>3373</v>
      </c>
      <c r="AP272" s="5"/>
      <c r="AQ272" s="5"/>
      <c r="AR272" s="5"/>
      <c r="AS272" s="5"/>
      <c r="AT272" s="5"/>
      <c r="AU272" s="5"/>
      <c r="AV272" s="5"/>
      <c r="AW272" s="5" t="s">
        <v>3374</v>
      </c>
    </row>
    <row r="273" customFormat="false" ht="124.6" hidden="false" customHeight="false" outlineLevel="0" collapsed="false">
      <c r="A273" s="5" t="s">
        <v>3375</v>
      </c>
      <c r="B273" s="5" t="s">
        <v>3376</v>
      </c>
      <c r="C273" s="5" t="s">
        <v>1585</v>
      </c>
      <c r="D273" s="5" t="s">
        <v>79</v>
      </c>
      <c r="E273" s="5" t="s">
        <v>626</v>
      </c>
      <c r="F273" s="5" t="s">
        <v>3377</v>
      </c>
      <c r="G273" s="5" t="s">
        <v>3378</v>
      </c>
      <c r="H273" s="5" t="n">
        <v>8</v>
      </c>
      <c r="I273" s="5" t="s">
        <v>603</v>
      </c>
      <c r="J273" s="5" t="s">
        <v>153</v>
      </c>
      <c r="K273" s="5"/>
      <c r="L273" s="5" t="s">
        <v>68</v>
      </c>
      <c r="M273" s="5" t="s">
        <v>185</v>
      </c>
      <c r="N273" s="5" t="s">
        <v>3336</v>
      </c>
      <c r="O273" s="5" t="s">
        <v>666</v>
      </c>
      <c r="P273" s="5" t="s">
        <v>215</v>
      </c>
      <c r="Q273" s="5" t="s">
        <v>440</v>
      </c>
      <c r="R273" s="5" t="s">
        <v>3271</v>
      </c>
      <c r="S273" s="5" t="s">
        <v>3272</v>
      </c>
      <c r="T273" s="5" t="s">
        <v>606</v>
      </c>
      <c r="U273" s="5" t="n">
        <v>365</v>
      </c>
      <c r="V273" s="5" t="s">
        <v>3273</v>
      </c>
      <c r="W273" s="5" t="s">
        <v>3274</v>
      </c>
      <c r="X273" s="5" t="s">
        <v>3379</v>
      </c>
      <c r="Y273" s="5" t="s">
        <v>3380</v>
      </c>
      <c r="Z273" s="5" t="s">
        <v>3381</v>
      </c>
      <c r="AA273" s="5"/>
      <c r="AB273" s="5"/>
      <c r="AC273" s="5"/>
      <c r="AD273" s="5"/>
      <c r="AE273" s="5"/>
      <c r="AF273" s="5"/>
      <c r="AG273" s="5"/>
      <c r="AH273" s="5"/>
      <c r="AI273" s="5"/>
      <c r="AJ273" s="5"/>
      <c r="AK273" s="5"/>
      <c r="AL273" s="5"/>
      <c r="AM273" s="5"/>
      <c r="AN273" s="5"/>
      <c r="AO273" s="5" t="s">
        <v>3382</v>
      </c>
      <c r="AP273" s="5"/>
      <c r="AQ273" s="5"/>
      <c r="AR273" s="5"/>
      <c r="AS273" s="5"/>
      <c r="AT273" s="5"/>
      <c r="AU273" s="5"/>
      <c r="AV273" s="5"/>
      <c r="AW273" s="5" t="s">
        <v>3374</v>
      </c>
    </row>
    <row r="274" customFormat="false" ht="124.6" hidden="false" customHeight="false" outlineLevel="0" collapsed="false">
      <c r="A274" s="5" t="s">
        <v>3383</v>
      </c>
      <c r="B274" s="5" t="s">
        <v>3384</v>
      </c>
      <c r="C274" s="5" t="s">
        <v>1585</v>
      </c>
      <c r="D274" s="5" t="s">
        <v>79</v>
      </c>
      <c r="E274" s="5" t="s">
        <v>514</v>
      </c>
      <c r="F274" s="5" t="s">
        <v>3385</v>
      </c>
      <c r="G274" s="5" t="s">
        <v>3386</v>
      </c>
      <c r="H274" s="5" t="n">
        <v>9</v>
      </c>
      <c r="I274" s="5" t="s">
        <v>152</v>
      </c>
      <c r="J274" s="5" t="s">
        <v>153</v>
      </c>
      <c r="K274" s="5"/>
      <c r="L274" s="5" t="s">
        <v>68</v>
      </c>
      <c r="M274" s="5" t="s">
        <v>185</v>
      </c>
      <c r="N274" s="5" t="s">
        <v>3336</v>
      </c>
      <c r="O274" s="5" t="s">
        <v>666</v>
      </c>
      <c r="P274" s="5" t="s">
        <v>215</v>
      </c>
      <c r="Q274" s="5" t="s">
        <v>440</v>
      </c>
      <c r="R274" s="5" t="s">
        <v>3271</v>
      </c>
      <c r="S274" s="5" t="s">
        <v>3272</v>
      </c>
      <c r="T274" s="5" t="s">
        <v>162</v>
      </c>
      <c r="U274" s="5" t="n">
        <v>365</v>
      </c>
      <c r="V274" s="5" t="s">
        <v>3273</v>
      </c>
      <c r="W274" s="5" t="s">
        <v>3274</v>
      </c>
      <c r="X274" s="5" t="s">
        <v>3387</v>
      </c>
      <c r="Y274" s="5" t="s">
        <v>3388</v>
      </c>
      <c r="Z274" s="5" t="s">
        <v>3389</v>
      </c>
      <c r="AA274" s="5"/>
      <c r="AB274" s="5"/>
      <c r="AC274" s="5"/>
      <c r="AD274" s="5"/>
      <c r="AE274" s="5"/>
      <c r="AF274" s="5"/>
      <c r="AG274" s="5"/>
      <c r="AH274" s="5"/>
      <c r="AI274" s="5"/>
      <c r="AJ274" s="5"/>
      <c r="AK274" s="5"/>
      <c r="AL274" s="5"/>
      <c r="AM274" s="5"/>
      <c r="AN274" s="5"/>
      <c r="AO274" s="5" t="s">
        <v>3390</v>
      </c>
      <c r="AP274" s="5"/>
      <c r="AQ274" s="5"/>
      <c r="AR274" s="5"/>
      <c r="AS274" s="5"/>
      <c r="AT274" s="5"/>
      <c r="AU274" s="5"/>
      <c r="AV274" s="5"/>
      <c r="AW274" s="5" t="s">
        <v>1592</v>
      </c>
    </row>
    <row r="275" customFormat="false" ht="135.8" hidden="false" customHeight="false" outlineLevel="0" collapsed="false">
      <c r="A275" s="5" t="s">
        <v>3391</v>
      </c>
      <c r="B275" s="5" t="s">
        <v>3392</v>
      </c>
      <c r="C275" s="5" t="s">
        <v>1585</v>
      </c>
      <c r="D275" s="5" t="s">
        <v>79</v>
      </c>
      <c r="E275" s="5" t="s">
        <v>514</v>
      </c>
      <c r="F275" s="5" t="s">
        <v>3393</v>
      </c>
      <c r="G275" s="5" t="s">
        <v>3394</v>
      </c>
      <c r="H275" s="5" t="n">
        <v>9</v>
      </c>
      <c r="I275" s="5" t="s">
        <v>152</v>
      </c>
      <c r="J275" s="5" t="s">
        <v>153</v>
      </c>
      <c r="K275" s="5"/>
      <c r="L275" s="5" t="s">
        <v>30</v>
      </c>
      <c r="M275" s="5" t="s">
        <v>155</v>
      </c>
      <c r="N275" s="5" t="s">
        <v>3395</v>
      </c>
      <c r="O275" s="5" t="s">
        <v>570</v>
      </c>
      <c r="P275" s="5" t="s">
        <v>215</v>
      </c>
      <c r="Q275" s="5" t="s">
        <v>440</v>
      </c>
      <c r="R275" s="5" t="s">
        <v>3271</v>
      </c>
      <c r="S275" s="5" t="s">
        <v>3272</v>
      </c>
      <c r="T275" s="5" t="s">
        <v>162</v>
      </c>
      <c r="U275" s="5" t="n">
        <v>365</v>
      </c>
      <c r="V275" s="5" t="s">
        <v>3273</v>
      </c>
      <c r="W275" s="5" t="s">
        <v>3274</v>
      </c>
      <c r="X275" s="5" t="s">
        <v>3396</v>
      </c>
      <c r="Y275" s="5" t="s">
        <v>3397</v>
      </c>
      <c r="Z275" s="5" t="s">
        <v>3398</v>
      </c>
      <c r="AA275" s="5" t="s">
        <v>3399</v>
      </c>
      <c r="AB275" s="5"/>
      <c r="AC275" s="5"/>
      <c r="AD275" s="5"/>
      <c r="AE275" s="5" t="s">
        <v>3400</v>
      </c>
      <c r="AF275" s="5"/>
      <c r="AG275" s="5"/>
      <c r="AH275" s="5"/>
      <c r="AI275" s="5"/>
      <c r="AJ275" s="5"/>
      <c r="AK275" s="5"/>
      <c r="AL275" s="5"/>
      <c r="AM275" s="5"/>
      <c r="AN275" s="5"/>
      <c r="AO275" s="5" t="s">
        <v>3401</v>
      </c>
      <c r="AP275" s="5"/>
      <c r="AQ275" s="5"/>
      <c r="AR275" s="5"/>
      <c r="AS275" s="5"/>
      <c r="AT275" s="5"/>
      <c r="AU275" s="5"/>
      <c r="AV275" s="5"/>
      <c r="AW275" s="5" t="s">
        <v>3402</v>
      </c>
    </row>
    <row r="276" customFormat="false" ht="124.6" hidden="false" customHeight="false" outlineLevel="0" collapsed="false">
      <c r="A276" s="5" t="s">
        <v>3403</v>
      </c>
      <c r="B276" s="5" t="s">
        <v>3404</v>
      </c>
      <c r="C276" s="5" t="s">
        <v>1585</v>
      </c>
      <c r="D276" s="5" t="s">
        <v>79</v>
      </c>
      <c r="E276" s="5" t="s">
        <v>626</v>
      </c>
      <c r="F276" s="5" t="s">
        <v>3405</v>
      </c>
      <c r="G276" s="5" t="s">
        <v>3406</v>
      </c>
      <c r="H276" s="5" t="n">
        <v>5</v>
      </c>
      <c r="I276" s="5" t="s">
        <v>603</v>
      </c>
      <c r="J276" s="5" t="s">
        <v>153</v>
      </c>
      <c r="K276" s="5"/>
      <c r="L276" s="5" t="s">
        <v>30</v>
      </c>
      <c r="M276" s="5" t="s">
        <v>155</v>
      </c>
      <c r="N276" s="5" t="s">
        <v>3309</v>
      </c>
      <c r="O276" s="5" t="s">
        <v>570</v>
      </c>
      <c r="P276" s="5" t="s">
        <v>215</v>
      </c>
      <c r="Q276" s="5" t="s">
        <v>440</v>
      </c>
      <c r="R276" s="5" t="s">
        <v>3271</v>
      </c>
      <c r="S276" s="5" t="s">
        <v>3272</v>
      </c>
      <c r="T276" s="5" t="s">
        <v>606</v>
      </c>
      <c r="U276" s="5" t="n">
        <v>365</v>
      </c>
      <c r="V276" s="5" t="s">
        <v>3273</v>
      </c>
      <c r="W276" s="5" t="s">
        <v>3274</v>
      </c>
      <c r="X276" s="5" t="s">
        <v>3407</v>
      </c>
      <c r="Y276" s="5" t="s">
        <v>3408</v>
      </c>
      <c r="Z276" s="5" t="s">
        <v>3409</v>
      </c>
      <c r="AA276" s="5"/>
      <c r="AB276" s="5"/>
      <c r="AC276" s="5"/>
      <c r="AD276" s="5" t="s">
        <v>3410</v>
      </c>
      <c r="AE276" s="5"/>
      <c r="AF276" s="5"/>
      <c r="AG276" s="5"/>
      <c r="AH276" s="5"/>
      <c r="AI276" s="5"/>
      <c r="AJ276" s="5"/>
      <c r="AK276" s="5"/>
      <c r="AL276" s="5"/>
      <c r="AM276" s="5"/>
      <c r="AN276" s="5"/>
      <c r="AO276" s="5" t="s">
        <v>3411</v>
      </c>
      <c r="AP276" s="5"/>
      <c r="AQ276" s="5"/>
      <c r="AR276" s="5"/>
      <c r="AS276" s="5"/>
      <c r="AT276" s="5"/>
      <c r="AU276" s="5"/>
      <c r="AV276" s="5"/>
      <c r="AW276" s="5" t="s">
        <v>1592</v>
      </c>
    </row>
    <row r="277" customFormat="false" ht="135.8" hidden="false" customHeight="false" outlineLevel="0" collapsed="false">
      <c r="A277" s="5" t="s">
        <v>3412</v>
      </c>
      <c r="B277" s="5" t="s">
        <v>3413</v>
      </c>
      <c r="C277" s="5" t="s">
        <v>1585</v>
      </c>
      <c r="D277" s="5" t="s">
        <v>79</v>
      </c>
      <c r="E277" s="5" t="s">
        <v>626</v>
      </c>
      <c r="F277" s="5" t="s">
        <v>3414</v>
      </c>
      <c r="G277" s="5" t="s">
        <v>3415</v>
      </c>
      <c r="H277" s="5" t="n">
        <v>6</v>
      </c>
      <c r="I277" s="5" t="s">
        <v>603</v>
      </c>
      <c r="J277" s="5" t="s">
        <v>153</v>
      </c>
      <c r="K277" s="5"/>
      <c r="L277" s="5" t="s">
        <v>68</v>
      </c>
      <c r="M277" s="5" t="s">
        <v>185</v>
      </c>
      <c r="N277" s="5" t="s">
        <v>3336</v>
      </c>
      <c r="O277" s="5" t="s">
        <v>666</v>
      </c>
      <c r="P277" s="5" t="s">
        <v>215</v>
      </c>
      <c r="Q277" s="5" t="s">
        <v>440</v>
      </c>
      <c r="R277" s="5" t="s">
        <v>3271</v>
      </c>
      <c r="S277" s="5" t="s">
        <v>3272</v>
      </c>
      <c r="T277" s="5" t="s">
        <v>606</v>
      </c>
      <c r="U277" s="5" t="n">
        <v>365</v>
      </c>
      <c r="V277" s="5" t="s">
        <v>3273</v>
      </c>
      <c r="W277" s="5" t="s">
        <v>3274</v>
      </c>
      <c r="X277" s="5" t="s">
        <v>3416</v>
      </c>
      <c r="Y277" s="5" t="s">
        <v>3417</v>
      </c>
      <c r="Z277" s="5" t="s">
        <v>3418</v>
      </c>
      <c r="AA277" s="5"/>
      <c r="AB277" s="5"/>
      <c r="AC277" s="5"/>
      <c r="AD277" s="5"/>
      <c r="AE277" s="5"/>
      <c r="AF277" s="5"/>
      <c r="AG277" s="5"/>
      <c r="AH277" s="5"/>
      <c r="AI277" s="5"/>
      <c r="AJ277" s="5"/>
      <c r="AK277" s="5"/>
      <c r="AL277" s="5"/>
      <c r="AM277" s="5"/>
      <c r="AN277" s="5"/>
      <c r="AO277" s="5" t="s">
        <v>3419</v>
      </c>
      <c r="AP277" s="5"/>
      <c r="AQ277" s="5"/>
      <c r="AR277" s="5"/>
      <c r="AS277" s="5"/>
      <c r="AT277" s="5"/>
      <c r="AU277" s="5"/>
      <c r="AV277" s="5"/>
      <c r="AW277" s="5" t="s">
        <v>3420</v>
      </c>
    </row>
    <row r="278" customFormat="false" ht="135.8" hidden="false" customHeight="false" outlineLevel="0" collapsed="false">
      <c r="A278" s="5" t="s">
        <v>3421</v>
      </c>
      <c r="B278" s="5" t="s">
        <v>3422</v>
      </c>
      <c r="C278" s="5" t="s">
        <v>1585</v>
      </c>
      <c r="D278" s="5" t="s">
        <v>79</v>
      </c>
      <c r="E278" s="5" t="s">
        <v>626</v>
      </c>
      <c r="F278" s="5" t="s">
        <v>3423</v>
      </c>
      <c r="G278" s="5" t="s">
        <v>3424</v>
      </c>
      <c r="H278" s="5" t="n">
        <v>5</v>
      </c>
      <c r="I278" s="5" t="s">
        <v>603</v>
      </c>
      <c r="J278" s="5" t="s">
        <v>153</v>
      </c>
      <c r="K278" s="5"/>
      <c r="L278" s="5" t="s">
        <v>68</v>
      </c>
      <c r="M278" s="5" t="s">
        <v>185</v>
      </c>
      <c r="N278" s="5" t="s">
        <v>3336</v>
      </c>
      <c r="O278" s="5" t="s">
        <v>666</v>
      </c>
      <c r="P278" s="5" t="s">
        <v>215</v>
      </c>
      <c r="Q278" s="5" t="s">
        <v>440</v>
      </c>
      <c r="R278" s="5" t="s">
        <v>3271</v>
      </c>
      <c r="S278" s="5" t="s">
        <v>3272</v>
      </c>
      <c r="T278" s="5" t="s">
        <v>606</v>
      </c>
      <c r="U278" s="5" t="n">
        <v>365</v>
      </c>
      <c r="V278" s="5" t="s">
        <v>3273</v>
      </c>
      <c r="W278" s="5" t="s">
        <v>3274</v>
      </c>
      <c r="X278" s="5" t="s">
        <v>3425</v>
      </c>
      <c r="Y278" s="5" t="s">
        <v>3426</v>
      </c>
      <c r="Z278" s="5" t="s">
        <v>3427</v>
      </c>
      <c r="AA278" s="5"/>
      <c r="AB278" s="5"/>
      <c r="AC278" s="5"/>
      <c r="AD278" s="5"/>
      <c r="AE278" s="5"/>
      <c r="AF278" s="5"/>
      <c r="AG278" s="5"/>
      <c r="AH278" s="5"/>
      <c r="AI278" s="5"/>
      <c r="AJ278" s="5"/>
      <c r="AK278" s="5"/>
      <c r="AL278" s="5"/>
      <c r="AM278" s="5"/>
      <c r="AN278" s="5"/>
      <c r="AO278" s="5" t="s">
        <v>3428</v>
      </c>
      <c r="AP278" s="5"/>
      <c r="AQ278" s="5"/>
      <c r="AR278" s="5"/>
      <c r="AS278" s="5"/>
      <c r="AT278" s="5"/>
      <c r="AU278" s="5"/>
      <c r="AV278" s="5"/>
      <c r="AW278" s="5" t="s">
        <v>3420</v>
      </c>
    </row>
    <row r="279" customFormat="false" ht="147" hidden="false" customHeight="false" outlineLevel="0" collapsed="false">
      <c r="A279" s="5" t="s">
        <v>3429</v>
      </c>
      <c r="B279" s="5" t="s">
        <v>3430</v>
      </c>
      <c r="C279" s="5" t="s">
        <v>1585</v>
      </c>
      <c r="D279" s="5" t="s">
        <v>79</v>
      </c>
      <c r="E279" s="5" t="s">
        <v>626</v>
      </c>
      <c r="F279" s="5" t="s">
        <v>3431</v>
      </c>
      <c r="G279" s="5" t="s">
        <v>3432</v>
      </c>
      <c r="H279" s="5" t="n">
        <v>9</v>
      </c>
      <c r="I279" s="5" t="s">
        <v>603</v>
      </c>
      <c r="J279" s="5" t="s">
        <v>652</v>
      </c>
      <c r="K279" s="5"/>
      <c r="L279" s="5" t="s">
        <v>30</v>
      </c>
      <c r="M279" s="5" t="s">
        <v>155</v>
      </c>
      <c r="N279" s="5" t="s">
        <v>3433</v>
      </c>
      <c r="O279" s="5" t="s">
        <v>570</v>
      </c>
      <c r="P279" s="5" t="s">
        <v>215</v>
      </c>
      <c r="Q279" s="5" t="s">
        <v>440</v>
      </c>
      <c r="R279" s="5" t="s">
        <v>3271</v>
      </c>
      <c r="S279" s="5" t="s">
        <v>3272</v>
      </c>
      <c r="T279" s="5" t="s">
        <v>606</v>
      </c>
      <c r="U279" s="5" t="n">
        <v>180</v>
      </c>
      <c r="V279" s="5" t="s">
        <v>3273</v>
      </c>
      <c r="W279" s="5" t="s">
        <v>3274</v>
      </c>
      <c r="X279" s="5" t="s">
        <v>3434</v>
      </c>
      <c r="Y279" s="5" t="s">
        <v>3435</v>
      </c>
      <c r="Z279" s="5" t="s">
        <v>3436</v>
      </c>
      <c r="AA279" s="5"/>
      <c r="AB279" s="5"/>
      <c r="AC279" s="5"/>
      <c r="AD279" s="5"/>
      <c r="AE279" s="5" t="s">
        <v>3437</v>
      </c>
      <c r="AF279" s="5"/>
      <c r="AG279" s="5"/>
      <c r="AH279" s="5"/>
      <c r="AI279" s="5"/>
      <c r="AJ279" s="5"/>
      <c r="AK279" s="5"/>
      <c r="AL279" s="5"/>
      <c r="AM279" s="5"/>
      <c r="AN279" s="5"/>
      <c r="AO279" s="5" t="s">
        <v>3438</v>
      </c>
      <c r="AP279" s="5"/>
      <c r="AQ279" s="5"/>
      <c r="AR279" s="5"/>
      <c r="AS279" s="5"/>
      <c r="AT279" s="5"/>
      <c r="AU279" s="5"/>
      <c r="AV279" s="5"/>
      <c r="AW279" s="5" t="s">
        <v>3420</v>
      </c>
    </row>
    <row r="280" customFormat="false" ht="236.55" hidden="false" customHeight="false" outlineLevel="0" collapsed="false">
      <c r="A280" s="5" t="s">
        <v>3439</v>
      </c>
      <c r="B280" s="5" t="s">
        <v>3440</v>
      </c>
      <c r="C280" s="5" t="s">
        <v>3441</v>
      </c>
      <c r="D280" s="5" t="s">
        <v>3442</v>
      </c>
      <c r="E280" s="5" t="s">
        <v>149</v>
      </c>
      <c r="F280" s="5" t="s">
        <v>3443</v>
      </c>
      <c r="G280" s="5" t="s">
        <v>3444</v>
      </c>
      <c r="H280" s="5" t="n">
        <v>10</v>
      </c>
      <c r="I280" s="5" t="s">
        <v>603</v>
      </c>
      <c r="J280" s="5" t="s">
        <v>153</v>
      </c>
      <c r="K280" s="5" t="s">
        <v>3445</v>
      </c>
      <c r="L280" s="5" t="s">
        <v>30</v>
      </c>
      <c r="M280" s="5" t="s">
        <v>155</v>
      </c>
      <c r="N280" s="5" t="s">
        <v>3446</v>
      </c>
      <c r="O280" s="5" t="s">
        <v>157</v>
      </c>
      <c r="P280" s="5" t="s">
        <v>158</v>
      </c>
      <c r="Q280" s="5" t="s">
        <v>159</v>
      </c>
      <c r="R280" s="5" t="s">
        <v>3447</v>
      </c>
      <c r="S280" s="5" t="s">
        <v>3448</v>
      </c>
      <c r="T280" s="5" t="s">
        <v>162</v>
      </c>
      <c r="U280" s="5" t="n">
        <v>365</v>
      </c>
      <c r="V280" s="5" t="s">
        <v>3449</v>
      </c>
      <c r="W280" s="5" t="s">
        <v>3450</v>
      </c>
      <c r="X280" s="5" t="s">
        <v>3451</v>
      </c>
      <c r="Y280" s="5" t="s">
        <v>3452</v>
      </c>
      <c r="Z280" s="5" t="s">
        <v>3453</v>
      </c>
      <c r="AA280" s="5"/>
      <c r="AB280" s="5"/>
      <c r="AC280" s="5"/>
      <c r="AD280" s="5"/>
      <c r="AE280" s="5"/>
      <c r="AF280" s="5" t="s">
        <v>2891</v>
      </c>
      <c r="AG280" s="5" t="s">
        <v>2891</v>
      </c>
      <c r="AH280" s="5" t="s">
        <v>523</v>
      </c>
      <c r="AI280" s="5"/>
      <c r="AJ280" s="5" t="s">
        <v>3454</v>
      </c>
      <c r="AK280" s="5" t="s">
        <v>2178</v>
      </c>
      <c r="AL280" s="5" t="s">
        <v>2891</v>
      </c>
      <c r="AM280" s="5"/>
      <c r="AN280" s="5"/>
      <c r="AO280" s="5"/>
      <c r="AP280" s="5"/>
      <c r="AQ280" s="5" t="s">
        <v>2891</v>
      </c>
      <c r="AR280" s="5" t="s">
        <v>2814</v>
      </c>
      <c r="AS280" s="5"/>
      <c r="AT280" s="5" t="s">
        <v>3455</v>
      </c>
      <c r="AU280" s="5" t="s">
        <v>2545</v>
      </c>
      <c r="AV280" s="5" t="s">
        <v>178</v>
      </c>
      <c r="AW280" s="5" t="s">
        <v>3456</v>
      </c>
    </row>
    <row r="281" customFormat="false" ht="147" hidden="false" customHeight="false" outlineLevel="0" collapsed="false">
      <c r="A281" s="5" t="s">
        <v>3457</v>
      </c>
      <c r="B281" s="5" t="s">
        <v>3458</v>
      </c>
      <c r="C281" s="5" t="s">
        <v>3441</v>
      </c>
      <c r="D281" s="5" t="s">
        <v>3442</v>
      </c>
      <c r="E281" s="5" t="s">
        <v>626</v>
      </c>
      <c r="F281" s="5" t="s">
        <v>3459</v>
      </c>
      <c r="G281" s="5" t="s">
        <v>3460</v>
      </c>
      <c r="H281" s="5" t="n">
        <v>9</v>
      </c>
      <c r="I281" s="5" t="s">
        <v>603</v>
      </c>
      <c r="J281" s="5" t="s">
        <v>153</v>
      </c>
      <c r="K281" s="5"/>
      <c r="L281" s="5" t="s">
        <v>30</v>
      </c>
      <c r="M281" s="5" t="s">
        <v>155</v>
      </c>
      <c r="N281" s="5" t="s">
        <v>3461</v>
      </c>
      <c r="O281" s="5" t="s">
        <v>157</v>
      </c>
      <c r="P281" s="5" t="s">
        <v>158</v>
      </c>
      <c r="Q281" s="5" t="s">
        <v>519</v>
      </c>
      <c r="R281" s="5" t="s">
        <v>3447</v>
      </c>
      <c r="S281" s="5" t="s">
        <v>3448</v>
      </c>
      <c r="T281" s="5" t="s">
        <v>606</v>
      </c>
      <c r="U281" s="5" t="n">
        <v>365</v>
      </c>
      <c r="V281" s="5" t="s">
        <v>3449</v>
      </c>
      <c r="W281" s="5" t="s">
        <v>3450</v>
      </c>
      <c r="X281" s="5" t="s">
        <v>3462</v>
      </c>
      <c r="Y281" s="5" t="s">
        <v>3463</v>
      </c>
      <c r="Z281" s="5" t="s">
        <v>3464</v>
      </c>
      <c r="AA281" s="5"/>
      <c r="AB281" s="5"/>
      <c r="AC281" s="5"/>
      <c r="AD281" s="5"/>
      <c r="AE281" s="5"/>
      <c r="AF281" s="5" t="s">
        <v>3465</v>
      </c>
      <c r="AG281" s="5" t="s">
        <v>3465</v>
      </c>
      <c r="AH281" s="5"/>
      <c r="AI281" s="5"/>
      <c r="AJ281" s="5" t="s">
        <v>3466</v>
      </c>
      <c r="AK281" s="5"/>
      <c r="AL281" s="5" t="s">
        <v>3465</v>
      </c>
      <c r="AM281" s="5" t="s">
        <v>3465</v>
      </c>
      <c r="AN281" s="5"/>
      <c r="AO281" s="5"/>
      <c r="AP281" s="5"/>
      <c r="AQ281" s="5" t="s">
        <v>3465</v>
      </c>
      <c r="AR281" s="5" t="s">
        <v>646</v>
      </c>
      <c r="AS281" s="5"/>
      <c r="AT281" s="5" t="s">
        <v>3467</v>
      </c>
      <c r="AU281" s="5"/>
      <c r="AV281" s="5"/>
      <c r="AW281" s="5" t="s">
        <v>3456</v>
      </c>
    </row>
    <row r="282" customFormat="false" ht="135.8" hidden="false" customHeight="false" outlineLevel="0" collapsed="false">
      <c r="A282" s="5" t="s">
        <v>3468</v>
      </c>
      <c r="B282" s="5" t="s">
        <v>3469</v>
      </c>
      <c r="C282" s="5" t="s">
        <v>3441</v>
      </c>
      <c r="D282" s="5" t="s">
        <v>3442</v>
      </c>
      <c r="E282" s="5" t="s">
        <v>626</v>
      </c>
      <c r="F282" s="5" t="s">
        <v>3470</v>
      </c>
      <c r="G282" s="5" t="s">
        <v>3471</v>
      </c>
      <c r="H282" s="5" t="n">
        <v>9</v>
      </c>
      <c r="I282" s="5" t="s">
        <v>603</v>
      </c>
      <c r="J282" s="5" t="s">
        <v>557</v>
      </c>
      <c r="K282" s="5" t="s">
        <v>2886</v>
      </c>
      <c r="L282" s="5" t="s">
        <v>55</v>
      </c>
      <c r="M282" s="5" t="s">
        <v>185</v>
      </c>
      <c r="N282" s="5" t="s">
        <v>3472</v>
      </c>
      <c r="O282" s="5" t="s">
        <v>187</v>
      </c>
      <c r="P282" s="5" t="s">
        <v>158</v>
      </c>
      <c r="Q282" s="5" t="s">
        <v>519</v>
      </c>
      <c r="R282" s="5" t="s">
        <v>3447</v>
      </c>
      <c r="S282" s="5" t="s">
        <v>3448</v>
      </c>
      <c r="T282" s="5" t="s">
        <v>606</v>
      </c>
      <c r="U282" s="5" t="n">
        <v>90</v>
      </c>
      <c r="V282" s="5" t="s">
        <v>3449</v>
      </c>
      <c r="W282" s="5" t="s">
        <v>3450</v>
      </c>
      <c r="X282" s="5" t="s">
        <v>3473</v>
      </c>
      <c r="Y282" s="5" t="s">
        <v>3474</v>
      </c>
      <c r="Z282" s="5" t="s">
        <v>3475</v>
      </c>
      <c r="AA282" s="5"/>
      <c r="AB282" s="5"/>
      <c r="AC282" s="5"/>
      <c r="AD282" s="5"/>
      <c r="AE282" s="5"/>
      <c r="AF282" s="5" t="s">
        <v>2012</v>
      </c>
      <c r="AG282" s="5"/>
      <c r="AH282" s="5"/>
      <c r="AI282" s="5"/>
      <c r="AJ282" s="5"/>
      <c r="AK282" s="5" t="s">
        <v>1948</v>
      </c>
      <c r="AL282" s="5" t="s">
        <v>2012</v>
      </c>
      <c r="AM282" s="5"/>
      <c r="AN282" s="5" t="s">
        <v>2013</v>
      </c>
      <c r="AO282" s="5"/>
      <c r="AP282" s="5"/>
      <c r="AQ282" s="5" t="s">
        <v>2012</v>
      </c>
      <c r="AR282" s="5" t="s">
        <v>596</v>
      </c>
      <c r="AS282" s="5"/>
      <c r="AT282" s="5" t="s">
        <v>3476</v>
      </c>
      <c r="AU282" s="5"/>
      <c r="AV282" s="5" t="s">
        <v>178</v>
      </c>
      <c r="AW282" s="5" t="s">
        <v>3477</v>
      </c>
    </row>
    <row r="283" customFormat="false" ht="225.35" hidden="false" customHeight="false" outlineLevel="0" collapsed="false">
      <c r="A283" s="5" t="s">
        <v>3478</v>
      </c>
      <c r="B283" s="5" t="s">
        <v>3479</v>
      </c>
      <c r="C283" s="5" t="s">
        <v>3441</v>
      </c>
      <c r="D283" s="5" t="s">
        <v>3442</v>
      </c>
      <c r="E283" s="5" t="s">
        <v>626</v>
      </c>
      <c r="F283" s="5" t="s">
        <v>3480</v>
      </c>
      <c r="G283" s="5" t="s">
        <v>3481</v>
      </c>
      <c r="H283" s="5" t="n">
        <v>8</v>
      </c>
      <c r="I283" s="5" t="s">
        <v>603</v>
      </c>
      <c r="J283" s="5" t="s">
        <v>153</v>
      </c>
      <c r="K283" s="5"/>
      <c r="L283" s="5" t="s">
        <v>30</v>
      </c>
      <c r="M283" s="5" t="s">
        <v>155</v>
      </c>
      <c r="N283" s="5" t="s">
        <v>994</v>
      </c>
      <c r="O283" s="5" t="s">
        <v>157</v>
      </c>
      <c r="P283" s="5" t="s">
        <v>158</v>
      </c>
      <c r="Q283" s="5" t="s">
        <v>605</v>
      </c>
      <c r="R283" s="5" t="s">
        <v>3447</v>
      </c>
      <c r="S283" s="5" t="s">
        <v>3448</v>
      </c>
      <c r="T283" s="5" t="s">
        <v>606</v>
      </c>
      <c r="U283" s="5" t="n">
        <v>365</v>
      </c>
      <c r="V283" s="5" t="s">
        <v>3449</v>
      </c>
      <c r="W283" s="5" t="s">
        <v>3450</v>
      </c>
      <c r="X283" s="5" t="s">
        <v>3482</v>
      </c>
      <c r="Y283" s="5" t="s">
        <v>3483</v>
      </c>
      <c r="Z283" s="5" t="s">
        <v>3484</v>
      </c>
      <c r="AA283" s="5"/>
      <c r="AB283" s="5"/>
      <c r="AC283" s="5"/>
      <c r="AD283" s="5"/>
      <c r="AE283" s="5"/>
      <c r="AF283" s="5" t="s">
        <v>2022</v>
      </c>
      <c r="AG283" s="5" t="s">
        <v>611</v>
      </c>
      <c r="AH283" s="5"/>
      <c r="AI283" s="5"/>
      <c r="AJ283" s="5"/>
      <c r="AK283" s="5"/>
      <c r="AL283" s="5" t="s">
        <v>2022</v>
      </c>
      <c r="AM283" s="5" t="s">
        <v>611</v>
      </c>
      <c r="AN283" s="5"/>
      <c r="AO283" s="5"/>
      <c r="AP283" s="5"/>
      <c r="AQ283" s="5" t="s">
        <v>2022</v>
      </c>
      <c r="AR283" s="5" t="s">
        <v>596</v>
      </c>
      <c r="AS283" s="5"/>
      <c r="AT283" s="5"/>
      <c r="AU283" s="5"/>
      <c r="AV283" s="5"/>
      <c r="AW283" s="5" t="s">
        <v>1883</v>
      </c>
    </row>
    <row r="284" customFormat="false" ht="135.8" hidden="false" customHeight="false" outlineLevel="0" collapsed="false">
      <c r="A284" s="5" t="s">
        <v>3485</v>
      </c>
      <c r="B284" s="5" t="s">
        <v>3486</v>
      </c>
      <c r="C284" s="5" t="s">
        <v>3441</v>
      </c>
      <c r="D284" s="5" t="s">
        <v>3442</v>
      </c>
      <c r="E284" s="5" t="s">
        <v>626</v>
      </c>
      <c r="F284" s="5" t="s">
        <v>3487</v>
      </c>
      <c r="G284" s="5" t="s">
        <v>3488</v>
      </c>
      <c r="H284" s="5" t="n">
        <v>8</v>
      </c>
      <c r="I284" s="5" t="s">
        <v>152</v>
      </c>
      <c r="J284" s="5" t="s">
        <v>153</v>
      </c>
      <c r="K284" s="5"/>
      <c r="L284" s="5" t="s">
        <v>30</v>
      </c>
      <c r="M284" s="5" t="s">
        <v>155</v>
      </c>
      <c r="N284" s="5" t="s">
        <v>619</v>
      </c>
      <c r="O284" s="5" t="s">
        <v>157</v>
      </c>
      <c r="P284" s="5" t="s">
        <v>641</v>
      </c>
      <c r="Q284" s="5" t="s">
        <v>519</v>
      </c>
      <c r="R284" s="5" t="s">
        <v>3447</v>
      </c>
      <c r="S284" s="5" t="s">
        <v>3448</v>
      </c>
      <c r="T284" s="5" t="s">
        <v>162</v>
      </c>
      <c r="U284" s="5" t="n">
        <v>365</v>
      </c>
      <c r="V284" s="5" t="s">
        <v>3449</v>
      </c>
      <c r="W284" s="5" t="s">
        <v>3450</v>
      </c>
      <c r="X284" s="5" t="s">
        <v>3489</v>
      </c>
      <c r="Y284" s="5" t="s">
        <v>3490</v>
      </c>
      <c r="Z284" s="5" t="s">
        <v>3491</v>
      </c>
      <c r="AA284" s="5"/>
      <c r="AB284" s="5"/>
      <c r="AC284" s="5"/>
      <c r="AD284" s="5"/>
      <c r="AE284" s="5"/>
      <c r="AF284" s="5" t="s">
        <v>1515</v>
      </c>
      <c r="AG284" s="5" t="s">
        <v>1515</v>
      </c>
      <c r="AH284" s="5"/>
      <c r="AI284" s="5"/>
      <c r="AJ284" s="5"/>
      <c r="AK284" s="5"/>
      <c r="AL284" s="5" t="s">
        <v>1515</v>
      </c>
      <c r="AM284" s="5"/>
      <c r="AN284" s="5" t="s">
        <v>1517</v>
      </c>
      <c r="AO284" s="5"/>
      <c r="AP284" s="5"/>
      <c r="AQ284" s="5" t="s">
        <v>1515</v>
      </c>
      <c r="AR284" s="5" t="s">
        <v>596</v>
      </c>
      <c r="AS284" s="5"/>
      <c r="AT284" s="5" t="s">
        <v>3476</v>
      </c>
      <c r="AU284" s="5"/>
      <c r="AV284" s="5" t="s">
        <v>178</v>
      </c>
      <c r="AW284" s="5" t="s">
        <v>3477</v>
      </c>
    </row>
    <row r="285" customFormat="false" ht="180.55" hidden="false" customHeight="false" outlineLevel="0" collapsed="false">
      <c r="A285" s="5" t="s">
        <v>3492</v>
      </c>
      <c r="B285" s="5" t="s">
        <v>3493</v>
      </c>
      <c r="C285" s="5" t="s">
        <v>3441</v>
      </c>
      <c r="D285" s="5" t="s">
        <v>3442</v>
      </c>
      <c r="E285" s="5" t="s">
        <v>600</v>
      </c>
      <c r="F285" s="5" t="s">
        <v>3494</v>
      </c>
      <c r="G285" s="5" t="s">
        <v>3495</v>
      </c>
      <c r="H285" s="5" t="n">
        <v>10</v>
      </c>
      <c r="I285" s="5" t="s">
        <v>603</v>
      </c>
      <c r="J285" s="5" t="s">
        <v>153</v>
      </c>
      <c r="K285" s="5" t="s">
        <v>3496</v>
      </c>
      <c r="L285" s="5" t="s">
        <v>30</v>
      </c>
      <c r="M285" s="5" t="s">
        <v>155</v>
      </c>
      <c r="N285" s="5" t="s">
        <v>3497</v>
      </c>
      <c r="O285" s="5" t="s">
        <v>570</v>
      </c>
      <c r="P285" s="5" t="s">
        <v>158</v>
      </c>
      <c r="Q285" s="5" t="s">
        <v>3498</v>
      </c>
      <c r="R285" s="5" t="s">
        <v>3447</v>
      </c>
      <c r="S285" s="5" t="s">
        <v>3448</v>
      </c>
      <c r="T285" s="5" t="s">
        <v>606</v>
      </c>
      <c r="U285" s="5" t="n">
        <v>365</v>
      </c>
      <c r="V285" s="5" t="s">
        <v>3449</v>
      </c>
      <c r="W285" s="5" t="s">
        <v>3450</v>
      </c>
      <c r="X285" s="5" t="s">
        <v>3499</v>
      </c>
      <c r="Y285" s="5" t="s">
        <v>3500</v>
      </c>
      <c r="Z285" s="5" t="s">
        <v>3501</v>
      </c>
      <c r="AA285" s="5" t="s">
        <v>3502</v>
      </c>
      <c r="AB285" s="5" t="s">
        <v>3503</v>
      </c>
      <c r="AC285" s="5"/>
      <c r="AD285" s="5" t="s">
        <v>3504</v>
      </c>
      <c r="AE285" s="5"/>
      <c r="AF285" s="5" t="s">
        <v>3505</v>
      </c>
      <c r="AG285" s="5" t="s">
        <v>3505</v>
      </c>
      <c r="AH285" s="5" t="s">
        <v>3506</v>
      </c>
      <c r="AI285" s="5"/>
      <c r="AJ285" s="5"/>
      <c r="AK285" s="5" t="s">
        <v>2178</v>
      </c>
      <c r="AL285" s="5" t="s">
        <v>3505</v>
      </c>
      <c r="AM285" s="5"/>
      <c r="AN285" s="5" t="s">
        <v>3507</v>
      </c>
      <c r="AO285" s="5" t="s">
        <v>3508</v>
      </c>
      <c r="AP285" s="5"/>
      <c r="AQ285" s="5" t="s">
        <v>3505</v>
      </c>
      <c r="AR285" s="5" t="s">
        <v>1294</v>
      </c>
      <c r="AS285" s="5"/>
      <c r="AT285" s="5" t="s">
        <v>3509</v>
      </c>
      <c r="AU285" s="5"/>
      <c r="AV285" s="5" t="s">
        <v>178</v>
      </c>
      <c r="AW285" s="5" t="s">
        <v>3510</v>
      </c>
    </row>
    <row r="286" customFormat="false" ht="124.6" hidden="false" customHeight="false" outlineLevel="0" collapsed="false">
      <c r="A286" s="5" t="s">
        <v>3511</v>
      </c>
      <c r="B286" s="5" t="s">
        <v>3512</v>
      </c>
      <c r="C286" s="5" t="s">
        <v>3441</v>
      </c>
      <c r="D286" s="5" t="s">
        <v>3442</v>
      </c>
      <c r="E286" s="5" t="s">
        <v>626</v>
      </c>
      <c r="F286" s="5" t="s">
        <v>3513</v>
      </c>
      <c r="G286" s="5" t="s">
        <v>3514</v>
      </c>
      <c r="H286" s="5" t="n">
        <v>9</v>
      </c>
      <c r="I286" s="5" t="s">
        <v>603</v>
      </c>
      <c r="J286" s="5" t="s">
        <v>557</v>
      </c>
      <c r="K286" s="5" t="s">
        <v>3515</v>
      </c>
      <c r="L286" s="5" t="s">
        <v>30</v>
      </c>
      <c r="M286" s="5" t="s">
        <v>155</v>
      </c>
      <c r="N286" s="5" t="s">
        <v>3516</v>
      </c>
      <c r="O286" s="5" t="s">
        <v>157</v>
      </c>
      <c r="P286" s="5" t="s">
        <v>641</v>
      </c>
      <c r="Q286" s="5" t="s">
        <v>3498</v>
      </c>
      <c r="R286" s="5" t="s">
        <v>3447</v>
      </c>
      <c r="S286" s="5" t="s">
        <v>3448</v>
      </c>
      <c r="T286" s="5" t="s">
        <v>606</v>
      </c>
      <c r="U286" s="5" t="n">
        <v>90</v>
      </c>
      <c r="V286" s="5" t="s">
        <v>3449</v>
      </c>
      <c r="W286" s="5" t="s">
        <v>3450</v>
      </c>
      <c r="X286" s="5" t="s">
        <v>3517</v>
      </c>
      <c r="Y286" s="5" t="s">
        <v>3518</v>
      </c>
      <c r="Z286" s="5" t="s">
        <v>3519</v>
      </c>
      <c r="AA286" s="5" t="s">
        <v>3520</v>
      </c>
      <c r="AB286" s="5"/>
      <c r="AC286" s="5"/>
      <c r="AD286" s="5"/>
      <c r="AE286" s="5"/>
      <c r="AF286" s="5" t="s">
        <v>3521</v>
      </c>
      <c r="AG286" s="5" t="s">
        <v>3521</v>
      </c>
      <c r="AH286" s="5"/>
      <c r="AI286" s="5"/>
      <c r="AJ286" s="5"/>
      <c r="AK286" s="5"/>
      <c r="AL286" s="5" t="s">
        <v>3521</v>
      </c>
      <c r="AM286" s="5"/>
      <c r="AN286" s="5" t="s">
        <v>3522</v>
      </c>
      <c r="AO286" s="5"/>
      <c r="AP286" s="5"/>
      <c r="AQ286" s="5" t="s">
        <v>3521</v>
      </c>
      <c r="AR286" s="5" t="s">
        <v>1294</v>
      </c>
      <c r="AS286" s="5"/>
      <c r="AT286" s="5" t="s">
        <v>3509</v>
      </c>
      <c r="AU286" s="5"/>
      <c r="AV286" s="5" t="s">
        <v>178</v>
      </c>
      <c r="AW286" s="5" t="s">
        <v>1664</v>
      </c>
    </row>
    <row r="287" customFormat="false" ht="135.8" hidden="false" customHeight="false" outlineLevel="0" collapsed="false">
      <c r="A287" s="5" t="s">
        <v>3523</v>
      </c>
      <c r="B287" s="5" t="s">
        <v>3524</v>
      </c>
      <c r="C287" s="5" t="s">
        <v>3441</v>
      </c>
      <c r="D287" s="5" t="s">
        <v>3442</v>
      </c>
      <c r="E287" s="5" t="s">
        <v>600</v>
      </c>
      <c r="F287" s="5" t="s">
        <v>3525</v>
      </c>
      <c r="G287" s="5" t="s">
        <v>3526</v>
      </c>
      <c r="H287" s="5" t="n">
        <v>8</v>
      </c>
      <c r="I287" s="5" t="s">
        <v>603</v>
      </c>
      <c r="J287" s="5" t="s">
        <v>557</v>
      </c>
      <c r="K287" s="5" t="s">
        <v>3527</v>
      </c>
      <c r="L287" s="5" t="s">
        <v>30</v>
      </c>
      <c r="M287" s="5" t="s">
        <v>155</v>
      </c>
      <c r="N287" s="5" t="s">
        <v>3528</v>
      </c>
      <c r="O287" s="5" t="s">
        <v>570</v>
      </c>
      <c r="P287" s="5" t="s">
        <v>215</v>
      </c>
      <c r="Q287" s="5" t="s">
        <v>519</v>
      </c>
      <c r="R287" s="5" t="s">
        <v>3447</v>
      </c>
      <c r="S287" s="5" t="s">
        <v>3448</v>
      </c>
      <c r="T287" s="5" t="s">
        <v>606</v>
      </c>
      <c r="U287" s="5" t="n">
        <v>90</v>
      </c>
      <c r="V287" s="5" t="s">
        <v>3449</v>
      </c>
      <c r="W287" s="5" t="s">
        <v>3450</v>
      </c>
      <c r="X287" s="5" t="s">
        <v>3529</v>
      </c>
      <c r="Y287" s="5" t="s">
        <v>3530</v>
      </c>
      <c r="Z287" s="5" t="s">
        <v>3531</v>
      </c>
      <c r="AA287" s="5"/>
      <c r="AB287" s="5" t="s">
        <v>3532</v>
      </c>
      <c r="AC287" s="5"/>
      <c r="AD287" s="5" t="s">
        <v>3533</v>
      </c>
      <c r="AE287" s="5"/>
      <c r="AF287" s="5" t="s">
        <v>2345</v>
      </c>
      <c r="AG287" s="5"/>
      <c r="AH287" s="5"/>
      <c r="AI287" s="5"/>
      <c r="AJ287" s="5"/>
      <c r="AK287" s="5"/>
      <c r="AL287" s="5" t="s">
        <v>2345</v>
      </c>
      <c r="AM287" s="5"/>
      <c r="AN287" s="5"/>
      <c r="AO287" s="5"/>
      <c r="AP287" s="5"/>
      <c r="AQ287" s="5" t="s">
        <v>2345</v>
      </c>
      <c r="AR287" s="5" t="s">
        <v>1933</v>
      </c>
      <c r="AS287" s="5"/>
      <c r="AT287" s="5"/>
      <c r="AU287" s="5"/>
      <c r="AV287" s="5" t="s">
        <v>178</v>
      </c>
      <c r="AW287" s="5" t="s">
        <v>3510</v>
      </c>
    </row>
    <row r="288" customFormat="false" ht="158.2" hidden="false" customHeight="false" outlineLevel="0" collapsed="false">
      <c r="A288" s="5" t="s">
        <v>3534</v>
      </c>
      <c r="B288" s="5" t="s">
        <v>3535</v>
      </c>
      <c r="C288" s="5" t="s">
        <v>3441</v>
      </c>
      <c r="D288" s="5" t="s">
        <v>3442</v>
      </c>
      <c r="E288" s="5" t="s">
        <v>600</v>
      </c>
      <c r="F288" s="5" t="s">
        <v>3536</v>
      </c>
      <c r="G288" s="5" t="s">
        <v>3537</v>
      </c>
      <c r="H288" s="5" t="n">
        <v>8</v>
      </c>
      <c r="I288" s="5" t="s">
        <v>603</v>
      </c>
      <c r="J288" s="5" t="s">
        <v>153</v>
      </c>
      <c r="K288" s="5"/>
      <c r="L288" s="5" t="s">
        <v>30</v>
      </c>
      <c r="M288" s="5" t="s">
        <v>155</v>
      </c>
      <c r="N288" s="5" t="s">
        <v>3538</v>
      </c>
      <c r="O288" s="5" t="s">
        <v>157</v>
      </c>
      <c r="P288" s="5" t="s">
        <v>215</v>
      </c>
      <c r="Q288" s="5" t="s">
        <v>519</v>
      </c>
      <c r="R288" s="5" t="s">
        <v>3447</v>
      </c>
      <c r="S288" s="5" t="s">
        <v>3448</v>
      </c>
      <c r="T288" s="5" t="s">
        <v>606</v>
      </c>
      <c r="U288" s="5" t="n">
        <v>365</v>
      </c>
      <c r="V288" s="5" t="s">
        <v>3449</v>
      </c>
      <c r="W288" s="5" t="s">
        <v>3450</v>
      </c>
      <c r="X288" s="5" t="s">
        <v>3539</v>
      </c>
      <c r="Y288" s="5" t="s">
        <v>3540</v>
      </c>
      <c r="Z288" s="5" t="s">
        <v>3541</v>
      </c>
      <c r="AA288" s="5"/>
      <c r="AB288" s="5"/>
      <c r="AC288" s="5"/>
      <c r="AD288" s="5"/>
      <c r="AE288" s="5"/>
      <c r="AF288" s="5" t="s">
        <v>3505</v>
      </c>
      <c r="AG288" s="5" t="s">
        <v>3505</v>
      </c>
      <c r="AH288" s="5" t="s">
        <v>3542</v>
      </c>
      <c r="AI288" s="5"/>
      <c r="AJ288" s="5"/>
      <c r="AK288" s="5"/>
      <c r="AL288" s="5" t="s">
        <v>3505</v>
      </c>
      <c r="AM288" s="5"/>
      <c r="AN288" s="5" t="s">
        <v>3507</v>
      </c>
      <c r="AO288" s="5"/>
      <c r="AP288" s="5"/>
      <c r="AQ288" s="5" t="s">
        <v>3505</v>
      </c>
      <c r="AR288" s="5" t="s">
        <v>1294</v>
      </c>
      <c r="AS288" s="5"/>
      <c r="AT288" s="5"/>
      <c r="AU288" s="5"/>
      <c r="AV288" s="5" t="s">
        <v>178</v>
      </c>
      <c r="AW288" s="5" t="s">
        <v>3510</v>
      </c>
    </row>
    <row r="289" customFormat="false" ht="124.6" hidden="false" customHeight="false" outlineLevel="0" collapsed="false">
      <c r="A289" s="5" t="s">
        <v>3543</v>
      </c>
      <c r="B289" s="5" t="s">
        <v>3544</v>
      </c>
      <c r="C289" s="5" t="s">
        <v>3441</v>
      </c>
      <c r="D289" s="5" t="s">
        <v>3442</v>
      </c>
      <c r="E289" s="5" t="s">
        <v>600</v>
      </c>
      <c r="F289" s="5" t="s">
        <v>3545</v>
      </c>
      <c r="G289" s="5" t="s">
        <v>3546</v>
      </c>
      <c r="H289" s="5" t="n">
        <v>5</v>
      </c>
      <c r="I289" s="5" t="s">
        <v>152</v>
      </c>
      <c r="J289" s="5" t="s">
        <v>153</v>
      </c>
      <c r="K289" s="5"/>
      <c r="L289" s="5" t="s">
        <v>30</v>
      </c>
      <c r="M289" s="5" t="s">
        <v>155</v>
      </c>
      <c r="N289" s="5" t="s">
        <v>124</v>
      </c>
      <c r="O289" s="5" t="s">
        <v>157</v>
      </c>
      <c r="P289" s="5" t="s">
        <v>215</v>
      </c>
      <c r="Q289" s="5" t="s">
        <v>519</v>
      </c>
      <c r="R289" s="5" t="s">
        <v>3447</v>
      </c>
      <c r="S289" s="5" t="s">
        <v>3448</v>
      </c>
      <c r="T289" s="5" t="s">
        <v>162</v>
      </c>
      <c r="U289" s="5" t="n">
        <v>365</v>
      </c>
      <c r="V289" s="5" t="s">
        <v>3449</v>
      </c>
      <c r="W289" s="5" t="s">
        <v>3450</v>
      </c>
      <c r="X289" s="5" t="s">
        <v>3547</v>
      </c>
      <c r="Y289" s="5" t="s">
        <v>3548</v>
      </c>
      <c r="Z289" s="5" t="s">
        <v>3549</v>
      </c>
      <c r="AA289" s="5" t="s">
        <v>3520</v>
      </c>
      <c r="AB289" s="5"/>
      <c r="AC289" s="5"/>
      <c r="AD289" s="5"/>
      <c r="AE289" s="5"/>
      <c r="AF289" s="5" t="s">
        <v>3550</v>
      </c>
      <c r="AG289" s="5"/>
      <c r="AH289" s="5"/>
      <c r="AI289" s="5"/>
      <c r="AJ289" s="5"/>
      <c r="AK289" s="5"/>
      <c r="AL289" s="5" t="s">
        <v>3550</v>
      </c>
      <c r="AM289" s="5"/>
      <c r="AN289" s="5"/>
      <c r="AO289" s="5"/>
      <c r="AP289" s="5"/>
      <c r="AQ289" s="5"/>
      <c r="AR289" s="5" t="s">
        <v>1294</v>
      </c>
      <c r="AS289" s="5"/>
      <c r="AT289" s="5"/>
      <c r="AU289" s="5"/>
      <c r="AV289" s="5"/>
      <c r="AW289" s="5" t="s">
        <v>3551</v>
      </c>
    </row>
    <row r="290" customFormat="false" ht="180.55" hidden="false" customHeight="false" outlineLevel="0" collapsed="false">
      <c r="A290" s="5" t="s">
        <v>3552</v>
      </c>
      <c r="B290" s="5" t="s">
        <v>3553</v>
      </c>
      <c r="C290" s="5" t="s">
        <v>3441</v>
      </c>
      <c r="D290" s="5" t="s">
        <v>3442</v>
      </c>
      <c r="E290" s="5" t="s">
        <v>600</v>
      </c>
      <c r="F290" s="5" t="s">
        <v>3554</v>
      </c>
      <c r="G290" s="5" t="s">
        <v>3555</v>
      </c>
      <c r="H290" s="5" t="n">
        <v>9</v>
      </c>
      <c r="I290" s="5" t="s">
        <v>603</v>
      </c>
      <c r="J290" s="5" t="s">
        <v>557</v>
      </c>
      <c r="K290" s="5"/>
      <c r="L290" s="5" t="s">
        <v>30</v>
      </c>
      <c r="M290" s="5" t="s">
        <v>155</v>
      </c>
      <c r="N290" s="5" t="s">
        <v>124</v>
      </c>
      <c r="O290" s="5" t="s">
        <v>157</v>
      </c>
      <c r="P290" s="5" t="s">
        <v>158</v>
      </c>
      <c r="Q290" s="5" t="s">
        <v>605</v>
      </c>
      <c r="R290" s="5" t="s">
        <v>3447</v>
      </c>
      <c r="S290" s="5" t="s">
        <v>3448</v>
      </c>
      <c r="T290" s="5" t="s">
        <v>606</v>
      </c>
      <c r="U290" s="5" t="n">
        <v>90</v>
      </c>
      <c r="V290" s="5" t="s">
        <v>3449</v>
      </c>
      <c r="W290" s="5" t="s">
        <v>3450</v>
      </c>
      <c r="X290" s="5" t="s">
        <v>3556</v>
      </c>
      <c r="Y290" s="5" t="s">
        <v>3557</v>
      </c>
      <c r="Z290" s="5" t="s">
        <v>3558</v>
      </c>
      <c r="AA290" s="5" t="s">
        <v>3559</v>
      </c>
      <c r="AB290" s="5"/>
      <c r="AC290" s="5"/>
      <c r="AD290" s="5"/>
      <c r="AE290" s="5"/>
      <c r="AF290" s="5"/>
      <c r="AG290" s="5"/>
      <c r="AH290" s="5"/>
      <c r="AI290" s="5"/>
      <c r="AJ290" s="5"/>
      <c r="AK290" s="5"/>
      <c r="AL290" s="5"/>
      <c r="AM290" s="5"/>
      <c r="AN290" s="5"/>
      <c r="AO290" s="5"/>
      <c r="AP290" s="5"/>
      <c r="AQ290" s="5"/>
      <c r="AR290" s="5"/>
      <c r="AS290" s="5"/>
      <c r="AT290" s="5"/>
      <c r="AU290" s="5"/>
      <c r="AV290" s="5" t="s">
        <v>178</v>
      </c>
      <c r="AW290" s="5" t="s">
        <v>3510</v>
      </c>
    </row>
    <row r="291" customFormat="false" ht="158.2" hidden="false" customHeight="false" outlineLevel="0" collapsed="false">
      <c r="A291" s="5" t="s">
        <v>3560</v>
      </c>
      <c r="B291" s="5" t="s">
        <v>3561</v>
      </c>
      <c r="C291" s="5" t="s">
        <v>3441</v>
      </c>
      <c r="D291" s="5" t="s">
        <v>3442</v>
      </c>
      <c r="E291" s="5" t="s">
        <v>626</v>
      </c>
      <c r="F291" s="5" t="s">
        <v>3562</v>
      </c>
      <c r="G291" s="5" t="s">
        <v>3563</v>
      </c>
      <c r="H291" s="5" t="n">
        <v>8</v>
      </c>
      <c r="I291" s="5" t="s">
        <v>603</v>
      </c>
      <c r="J291" s="5" t="s">
        <v>153</v>
      </c>
      <c r="K291" s="5" t="s">
        <v>3564</v>
      </c>
      <c r="L291" s="5" t="s">
        <v>30</v>
      </c>
      <c r="M291" s="5" t="s">
        <v>155</v>
      </c>
      <c r="N291" s="5" t="s">
        <v>3565</v>
      </c>
      <c r="O291" s="5" t="s">
        <v>570</v>
      </c>
      <c r="P291" s="5" t="s">
        <v>158</v>
      </c>
      <c r="Q291" s="5" t="s">
        <v>440</v>
      </c>
      <c r="R291" s="5" t="s">
        <v>3447</v>
      </c>
      <c r="S291" s="5" t="s">
        <v>3448</v>
      </c>
      <c r="T291" s="5" t="s">
        <v>606</v>
      </c>
      <c r="U291" s="5" t="n">
        <v>365</v>
      </c>
      <c r="V291" s="5" t="s">
        <v>3449</v>
      </c>
      <c r="W291" s="5" t="s">
        <v>3450</v>
      </c>
      <c r="X291" s="5" t="s">
        <v>3566</v>
      </c>
      <c r="Y291" s="5" t="s">
        <v>3567</v>
      </c>
      <c r="Z291" s="5" t="s">
        <v>3568</v>
      </c>
      <c r="AA291" s="5"/>
      <c r="AB291" s="5"/>
      <c r="AC291" s="5" t="s">
        <v>3569</v>
      </c>
      <c r="AD291" s="5" t="s">
        <v>3570</v>
      </c>
      <c r="AE291" s="5"/>
      <c r="AF291" s="5" t="s">
        <v>3571</v>
      </c>
      <c r="AG291" s="5" t="s">
        <v>3571</v>
      </c>
      <c r="AH291" s="5"/>
      <c r="AI291" s="5"/>
      <c r="AJ291" s="5"/>
      <c r="AK291" s="5" t="s">
        <v>2178</v>
      </c>
      <c r="AL291" s="5" t="s">
        <v>3571</v>
      </c>
      <c r="AM291" s="5" t="s">
        <v>3571</v>
      </c>
      <c r="AN291" s="5" t="s">
        <v>3572</v>
      </c>
      <c r="AO291" s="5" t="s">
        <v>2179</v>
      </c>
      <c r="AP291" s="5" t="s">
        <v>2180</v>
      </c>
      <c r="AQ291" s="5" t="s">
        <v>3571</v>
      </c>
      <c r="AR291" s="5" t="s">
        <v>1294</v>
      </c>
      <c r="AS291" s="5"/>
      <c r="AT291" s="5"/>
      <c r="AU291" s="5"/>
      <c r="AV291" s="5" t="s">
        <v>178</v>
      </c>
      <c r="AW291" s="5" t="s">
        <v>3573</v>
      </c>
    </row>
    <row r="292" customFormat="false" ht="147" hidden="false" customHeight="false" outlineLevel="0" collapsed="false">
      <c r="A292" s="5" t="s">
        <v>3574</v>
      </c>
      <c r="B292" s="5" t="s">
        <v>3575</v>
      </c>
      <c r="C292" s="5" t="s">
        <v>3441</v>
      </c>
      <c r="D292" s="5" t="s">
        <v>3442</v>
      </c>
      <c r="E292" s="5" t="s">
        <v>600</v>
      </c>
      <c r="F292" s="5" t="s">
        <v>3576</v>
      </c>
      <c r="G292" s="5" t="s">
        <v>3577</v>
      </c>
      <c r="H292" s="5" t="n">
        <v>6</v>
      </c>
      <c r="I292" s="5" t="s">
        <v>603</v>
      </c>
      <c r="J292" s="5" t="s">
        <v>153</v>
      </c>
      <c r="K292" s="5"/>
      <c r="L292" s="5" t="s">
        <v>30</v>
      </c>
      <c r="M292" s="5" t="s">
        <v>155</v>
      </c>
      <c r="N292" s="5" t="s">
        <v>3578</v>
      </c>
      <c r="O292" s="5" t="s">
        <v>570</v>
      </c>
      <c r="P292" s="5" t="s">
        <v>158</v>
      </c>
      <c r="Q292" s="5" t="s">
        <v>519</v>
      </c>
      <c r="R292" s="5" t="s">
        <v>3447</v>
      </c>
      <c r="S292" s="5" t="s">
        <v>3448</v>
      </c>
      <c r="T292" s="5" t="s">
        <v>606</v>
      </c>
      <c r="U292" s="5" t="n">
        <v>365</v>
      </c>
      <c r="V292" s="5" t="s">
        <v>3449</v>
      </c>
      <c r="W292" s="5" t="s">
        <v>3450</v>
      </c>
      <c r="X292" s="5" t="s">
        <v>3579</v>
      </c>
      <c r="Y292" s="5" t="s">
        <v>3580</v>
      </c>
      <c r="Z292" s="5" t="s">
        <v>3581</v>
      </c>
      <c r="AA292" s="5"/>
      <c r="AB292" s="5" t="s">
        <v>3582</v>
      </c>
      <c r="AC292" s="5"/>
      <c r="AD292" s="5"/>
      <c r="AE292" s="5"/>
      <c r="AF292" s="5" t="s">
        <v>3583</v>
      </c>
      <c r="AG292" s="5" t="s">
        <v>3583</v>
      </c>
      <c r="AH292" s="5"/>
      <c r="AI292" s="5"/>
      <c r="AJ292" s="5"/>
      <c r="AK292" s="5"/>
      <c r="AL292" s="5" t="s">
        <v>3583</v>
      </c>
      <c r="AM292" s="5" t="s">
        <v>3583</v>
      </c>
      <c r="AN292" s="5"/>
      <c r="AO292" s="5" t="s">
        <v>3584</v>
      </c>
      <c r="AP292" s="5" t="s">
        <v>3585</v>
      </c>
      <c r="AQ292" s="5"/>
      <c r="AR292" s="5" t="s">
        <v>1294</v>
      </c>
      <c r="AS292" s="5"/>
      <c r="AT292" s="5"/>
      <c r="AU292" s="5"/>
      <c r="AV292" s="5"/>
      <c r="AW292" s="5" t="s">
        <v>3586</v>
      </c>
    </row>
    <row r="293" customFormat="false" ht="135.8" hidden="false" customHeight="false" outlineLevel="0" collapsed="false">
      <c r="A293" s="5" t="s">
        <v>3587</v>
      </c>
      <c r="B293" s="5" t="s">
        <v>3588</v>
      </c>
      <c r="C293" s="5" t="s">
        <v>3441</v>
      </c>
      <c r="D293" s="5" t="s">
        <v>3442</v>
      </c>
      <c r="E293" s="5" t="s">
        <v>1298</v>
      </c>
      <c r="F293" s="5" t="s">
        <v>3589</v>
      </c>
      <c r="G293" s="5" t="s">
        <v>3590</v>
      </c>
      <c r="H293" s="5" t="n">
        <v>9</v>
      </c>
      <c r="I293" s="5" t="s">
        <v>603</v>
      </c>
      <c r="J293" s="5" t="s">
        <v>652</v>
      </c>
      <c r="K293" s="5"/>
      <c r="L293" s="5" t="s">
        <v>30</v>
      </c>
      <c r="M293" s="5" t="s">
        <v>155</v>
      </c>
      <c r="N293" s="5" t="s">
        <v>1030</v>
      </c>
      <c r="O293" s="5" t="s">
        <v>157</v>
      </c>
      <c r="P293" s="5" t="s">
        <v>158</v>
      </c>
      <c r="Q293" s="5" t="s">
        <v>519</v>
      </c>
      <c r="R293" s="5" t="s">
        <v>3447</v>
      </c>
      <c r="S293" s="5" t="s">
        <v>3448</v>
      </c>
      <c r="T293" s="5" t="s">
        <v>606</v>
      </c>
      <c r="U293" s="5" t="n">
        <v>180</v>
      </c>
      <c r="V293" s="5" t="s">
        <v>3449</v>
      </c>
      <c r="W293" s="5" t="s">
        <v>3450</v>
      </c>
      <c r="X293" s="5" t="s">
        <v>3591</v>
      </c>
      <c r="Y293" s="5" t="s">
        <v>3592</v>
      </c>
      <c r="Z293" s="5" t="s">
        <v>3593</v>
      </c>
      <c r="AA293" s="5"/>
      <c r="AB293" s="5"/>
      <c r="AC293" s="5"/>
      <c r="AD293" s="5"/>
      <c r="AE293" s="5"/>
      <c r="AF293" s="5" t="s">
        <v>3594</v>
      </c>
      <c r="AG293" s="5" t="s">
        <v>3594</v>
      </c>
      <c r="AH293" s="5"/>
      <c r="AI293" s="5"/>
      <c r="AJ293" s="5"/>
      <c r="AK293" s="5"/>
      <c r="AL293" s="5" t="s">
        <v>3594</v>
      </c>
      <c r="AM293" s="5" t="s">
        <v>3594</v>
      </c>
      <c r="AN293" s="5"/>
      <c r="AO293" s="5"/>
      <c r="AP293" s="5"/>
      <c r="AQ293" s="5"/>
      <c r="AR293" s="5" t="s">
        <v>1294</v>
      </c>
      <c r="AS293" s="5"/>
      <c r="AT293" s="5"/>
      <c r="AU293" s="5"/>
      <c r="AV293" s="5"/>
      <c r="AW293" s="5" t="s">
        <v>1883</v>
      </c>
    </row>
    <row r="294" customFormat="false" ht="124.6" hidden="false" customHeight="false" outlineLevel="0" collapsed="false">
      <c r="A294" s="5" t="s">
        <v>3595</v>
      </c>
      <c r="B294" s="5" t="s">
        <v>3596</v>
      </c>
      <c r="C294" s="5" t="s">
        <v>3441</v>
      </c>
      <c r="D294" s="5" t="s">
        <v>3442</v>
      </c>
      <c r="E294" s="5" t="s">
        <v>1298</v>
      </c>
      <c r="F294" s="5" t="s">
        <v>3597</v>
      </c>
      <c r="G294" s="5" t="s">
        <v>3598</v>
      </c>
      <c r="H294" s="5" t="n">
        <v>5</v>
      </c>
      <c r="I294" s="5" t="s">
        <v>603</v>
      </c>
      <c r="J294" s="5" t="s">
        <v>557</v>
      </c>
      <c r="K294" s="5"/>
      <c r="L294" s="5" t="s">
        <v>85</v>
      </c>
      <c r="M294" s="5" t="s">
        <v>185</v>
      </c>
      <c r="N294" s="5" t="s">
        <v>84</v>
      </c>
      <c r="O294" s="5" t="s">
        <v>214</v>
      </c>
      <c r="P294" s="5" t="s">
        <v>215</v>
      </c>
      <c r="Q294" s="5" t="s">
        <v>519</v>
      </c>
      <c r="R294" s="5" t="s">
        <v>3447</v>
      </c>
      <c r="S294" s="5" t="s">
        <v>3448</v>
      </c>
      <c r="T294" s="5" t="s">
        <v>606</v>
      </c>
      <c r="U294" s="5" t="n">
        <v>90</v>
      </c>
      <c r="V294" s="5" t="s">
        <v>3449</v>
      </c>
      <c r="W294" s="5" t="s">
        <v>3450</v>
      </c>
      <c r="X294" s="5" t="s">
        <v>3599</v>
      </c>
      <c r="Y294" s="5" t="s">
        <v>3600</v>
      </c>
      <c r="Z294" s="5" t="s">
        <v>3601</v>
      </c>
      <c r="AA294" s="5"/>
      <c r="AB294" s="5"/>
      <c r="AC294" s="5"/>
      <c r="AD294" s="5"/>
      <c r="AE294" s="5"/>
      <c r="AF294" s="5" t="s">
        <v>3602</v>
      </c>
      <c r="AG294" s="5"/>
      <c r="AH294" s="5"/>
      <c r="AI294" s="5"/>
      <c r="AJ294" s="5"/>
      <c r="AK294" s="5"/>
      <c r="AL294" s="5" t="s">
        <v>3602</v>
      </c>
      <c r="AM294" s="5"/>
      <c r="AN294" s="5"/>
      <c r="AO294" s="5"/>
      <c r="AP294" s="5" t="s">
        <v>2180</v>
      </c>
      <c r="AQ294" s="5"/>
      <c r="AR294" s="5" t="s">
        <v>1294</v>
      </c>
      <c r="AS294" s="5"/>
      <c r="AT294" s="5"/>
      <c r="AU294" s="5"/>
      <c r="AV294" s="5"/>
      <c r="AW294" s="5" t="s">
        <v>3603</v>
      </c>
    </row>
    <row r="295" customFormat="false" ht="113.4" hidden="false" customHeight="false" outlineLevel="0" collapsed="false">
      <c r="A295" s="5" t="s">
        <v>3604</v>
      </c>
      <c r="B295" s="5" t="s">
        <v>3605</v>
      </c>
      <c r="C295" s="5" t="s">
        <v>3441</v>
      </c>
      <c r="D295" s="5" t="s">
        <v>3442</v>
      </c>
      <c r="E295" s="5" t="s">
        <v>626</v>
      </c>
      <c r="F295" s="5" t="s">
        <v>3606</v>
      </c>
      <c r="G295" s="5" t="s">
        <v>3607</v>
      </c>
      <c r="H295" s="5" t="n">
        <v>5</v>
      </c>
      <c r="I295" s="5" t="s">
        <v>603</v>
      </c>
      <c r="J295" s="5" t="s">
        <v>557</v>
      </c>
      <c r="K295" s="5"/>
      <c r="L295" s="5" t="s">
        <v>30</v>
      </c>
      <c r="M295" s="5" t="s">
        <v>155</v>
      </c>
      <c r="N295" s="5" t="s">
        <v>127</v>
      </c>
      <c r="O295" s="5" t="s">
        <v>570</v>
      </c>
      <c r="P295" s="5" t="s">
        <v>215</v>
      </c>
      <c r="Q295" s="5" t="s">
        <v>519</v>
      </c>
      <c r="R295" s="5" t="s">
        <v>3447</v>
      </c>
      <c r="S295" s="5" t="s">
        <v>3448</v>
      </c>
      <c r="T295" s="5" t="s">
        <v>606</v>
      </c>
      <c r="U295" s="5" t="n">
        <v>90</v>
      </c>
      <c r="V295" s="5" t="s">
        <v>3449</v>
      </c>
      <c r="W295" s="5" t="s">
        <v>3450</v>
      </c>
      <c r="X295" s="5" t="s">
        <v>3608</v>
      </c>
      <c r="Y295" s="5" t="s">
        <v>3609</v>
      </c>
      <c r="Z295" s="5" t="s">
        <v>3610</v>
      </c>
      <c r="AA295" s="5"/>
      <c r="AB295" s="5"/>
      <c r="AC295" s="5"/>
      <c r="AD295" s="5" t="s">
        <v>3611</v>
      </c>
      <c r="AE295" s="5"/>
      <c r="AF295" s="5" t="s">
        <v>3612</v>
      </c>
      <c r="AG295" s="5"/>
      <c r="AH295" s="5"/>
      <c r="AI295" s="5"/>
      <c r="AJ295" s="5"/>
      <c r="AK295" s="5"/>
      <c r="AL295" s="5" t="s">
        <v>3612</v>
      </c>
      <c r="AM295" s="5"/>
      <c r="AN295" s="5"/>
      <c r="AO295" s="5"/>
      <c r="AP295" s="5"/>
      <c r="AQ295" s="5"/>
      <c r="AR295" s="5" t="s">
        <v>1294</v>
      </c>
      <c r="AS295" s="5"/>
      <c r="AT295" s="5"/>
      <c r="AU295" s="5"/>
      <c r="AV295" s="5"/>
      <c r="AW295" s="5" t="s">
        <v>3613</v>
      </c>
    </row>
    <row r="296" customFormat="false" ht="113.4" hidden="false" customHeight="false" outlineLevel="0" collapsed="false">
      <c r="A296" s="5" t="s">
        <v>3614</v>
      </c>
      <c r="B296" s="5" t="s">
        <v>3615</v>
      </c>
      <c r="C296" s="5" t="s">
        <v>3441</v>
      </c>
      <c r="D296" s="5" t="s">
        <v>3442</v>
      </c>
      <c r="E296" s="5" t="s">
        <v>626</v>
      </c>
      <c r="F296" s="5" t="s">
        <v>3616</v>
      </c>
      <c r="G296" s="5" t="s">
        <v>3617</v>
      </c>
      <c r="H296" s="5" t="n">
        <v>5</v>
      </c>
      <c r="I296" s="5" t="s">
        <v>603</v>
      </c>
      <c r="J296" s="5" t="s">
        <v>557</v>
      </c>
      <c r="K296" s="5"/>
      <c r="L296" s="5" t="s">
        <v>30</v>
      </c>
      <c r="M296" s="5" t="s">
        <v>155</v>
      </c>
      <c r="N296" s="5" t="s">
        <v>127</v>
      </c>
      <c r="O296" s="5" t="s">
        <v>570</v>
      </c>
      <c r="P296" s="5" t="s">
        <v>215</v>
      </c>
      <c r="Q296" s="5" t="s">
        <v>519</v>
      </c>
      <c r="R296" s="5" t="s">
        <v>3447</v>
      </c>
      <c r="S296" s="5" t="s">
        <v>3448</v>
      </c>
      <c r="T296" s="5" t="s">
        <v>606</v>
      </c>
      <c r="U296" s="5" t="n">
        <v>90</v>
      </c>
      <c r="V296" s="5" t="s">
        <v>3449</v>
      </c>
      <c r="W296" s="5" t="s">
        <v>3450</v>
      </c>
      <c r="X296" s="5" t="s">
        <v>3618</v>
      </c>
      <c r="Y296" s="5" t="s">
        <v>3619</v>
      </c>
      <c r="Z296" s="5" t="s">
        <v>3620</v>
      </c>
      <c r="AA296" s="5"/>
      <c r="AB296" s="5"/>
      <c r="AC296" s="5"/>
      <c r="AD296" s="5" t="s">
        <v>3621</v>
      </c>
      <c r="AE296" s="5"/>
      <c r="AF296" s="5" t="s">
        <v>3622</v>
      </c>
      <c r="AG296" s="5"/>
      <c r="AH296" s="5"/>
      <c r="AI296" s="5"/>
      <c r="AJ296" s="5"/>
      <c r="AK296" s="5"/>
      <c r="AL296" s="5" t="s">
        <v>3622</v>
      </c>
      <c r="AM296" s="5"/>
      <c r="AN296" s="5"/>
      <c r="AO296" s="5"/>
      <c r="AP296" s="5"/>
      <c r="AQ296" s="5"/>
      <c r="AR296" s="5" t="s">
        <v>1294</v>
      </c>
      <c r="AS296" s="5"/>
      <c r="AT296" s="5"/>
      <c r="AU296" s="5"/>
      <c r="AV296" s="5"/>
      <c r="AW296" s="5" t="s">
        <v>3613</v>
      </c>
    </row>
    <row r="297" customFormat="false" ht="124.6" hidden="false" customHeight="false" outlineLevel="0" collapsed="false">
      <c r="A297" s="5" t="s">
        <v>3623</v>
      </c>
      <c r="B297" s="5" t="s">
        <v>3624</v>
      </c>
      <c r="C297" s="5" t="s">
        <v>3441</v>
      </c>
      <c r="D297" s="5" t="s">
        <v>3442</v>
      </c>
      <c r="E297" s="5" t="s">
        <v>626</v>
      </c>
      <c r="F297" s="5" t="s">
        <v>3625</v>
      </c>
      <c r="G297" s="5" t="s">
        <v>3626</v>
      </c>
      <c r="H297" s="5" t="n">
        <v>9</v>
      </c>
      <c r="I297" s="5" t="s">
        <v>603</v>
      </c>
      <c r="J297" s="5" t="s">
        <v>153</v>
      </c>
      <c r="K297" s="5"/>
      <c r="L297" s="5" t="s">
        <v>68</v>
      </c>
      <c r="M297" s="5" t="s">
        <v>185</v>
      </c>
      <c r="N297" s="5" t="s">
        <v>72</v>
      </c>
      <c r="O297" s="5" t="s">
        <v>666</v>
      </c>
      <c r="P297" s="5" t="s">
        <v>158</v>
      </c>
      <c r="Q297" s="5" t="s">
        <v>605</v>
      </c>
      <c r="R297" s="5" t="s">
        <v>3447</v>
      </c>
      <c r="S297" s="5" t="s">
        <v>3448</v>
      </c>
      <c r="T297" s="5" t="s">
        <v>606</v>
      </c>
      <c r="U297" s="5" t="n">
        <v>365</v>
      </c>
      <c r="V297" s="5" t="s">
        <v>3449</v>
      </c>
      <c r="W297" s="5" t="s">
        <v>3450</v>
      </c>
      <c r="X297" s="5" t="s">
        <v>3627</v>
      </c>
      <c r="Y297" s="5" t="s">
        <v>3628</v>
      </c>
      <c r="Z297" s="5" t="s">
        <v>3629</v>
      </c>
      <c r="AA297" s="5"/>
      <c r="AB297" s="5"/>
      <c r="AC297" s="5"/>
      <c r="AD297" s="5"/>
      <c r="AE297" s="5"/>
      <c r="AF297" s="5"/>
      <c r="AG297" s="5"/>
      <c r="AH297" s="5"/>
      <c r="AI297" s="5"/>
      <c r="AJ297" s="5"/>
      <c r="AK297" s="5"/>
      <c r="AL297" s="5"/>
      <c r="AM297" s="5"/>
      <c r="AN297" s="5"/>
      <c r="AO297" s="5" t="s">
        <v>3630</v>
      </c>
      <c r="AP297" s="5"/>
      <c r="AQ297" s="5"/>
      <c r="AR297" s="5"/>
      <c r="AS297" s="5"/>
      <c r="AT297" s="5"/>
      <c r="AU297" s="5"/>
      <c r="AV297" s="5" t="s">
        <v>178</v>
      </c>
      <c r="AW297" s="5" t="s">
        <v>3631</v>
      </c>
    </row>
    <row r="298" customFormat="false" ht="147" hidden="false" customHeight="false" outlineLevel="0" collapsed="false">
      <c r="A298" s="5" t="s">
        <v>3632</v>
      </c>
      <c r="B298" s="5" t="s">
        <v>3633</v>
      </c>
      <c r="C298" s="5" t="s">
        <v>3441</v>
      </c>
      <c r="D298" s="5" t="s">
        <v>3442</v>
      </c>
      <c r="E298" s="5" t="s">
        <v>626</v>
      </c>
      <c r="F298" s="5" t="s">
        <v>3634</v>
      </c>
      <c r="G298" s="5" t="s">
        <v>3635</v>
      </c>
      <c r="H298" s="5" t="n">
        <v>10</v>
      </c>
      <c r="I298" s="5" t="s">
        <v>603</v>
      </c>
      <c r="J298" s="5" t="s">
        <v>153</v>
      </c>
      <c r="K298" s="5"/>
      <c r="L298" s="5" t="s">
        <v>30</v>
      </c>
      <c r="M298" s="5" t="s">
        <v>155</v>
      </c>
      <c r="N298" s="5" t="s">
        <v>1030</v>
      </c>
      <c r="O298" s="5" t="s">
        <v>157</v>
      </c>
      <c r="P298" s="5" t="s">
        <v>158</v>
      </c>
      <c r="Q298" s="5" t="s">
        <v>605</v>
      </c>
      <c r="R298" s="5" t="s">
        <v>3447</v>
      </c>
      <c r="S298" s="5" t="s">
        <v>3448</v>
      </c>
      <c r="T298" s="5" t="s">
        <v>606</v>
      </c>
      <c r="U298" s="5" t="n">
        <v>365</v>
      </c>
      <c r="V298" s="5" t="s">
        <v>3449</v>
      </c>
      <c r="W298" s="5" t="s">
        <v>3450</v>
      </c>
      <c r="X298" s="5" t="s">
        <v>3636</v>
      </c>
      <c r="Y298" s="5" t="s">
        <v>3637</v>
      </c>
      <c r="Z298" s="5" t="s">
        <v>3638</v>
      </c>
      <c r="AA298" s="5"/>
      <c r="AB298" s="5"/>
      <c r="AC298" s="5"/>
      <c r="AD298" s="5"/>
      <c r="AE298" s="5"/>
      <c r="AF298" s="5" t="s">
        <v>3639</v>
      </c>
      <c r="AG298" s="5" t="s">
        <v>3639</v>
      </c>
      <c r="AH298" s="5"/>
      <c r="AI298" s="5"/>
      <c r="AJ298" s="5"/>
      <c r="AK298" s="5"/>
      <c r="AL298" s="5" t="s">
        <v>3639</v>
      </c>
      <c r="AM298" s="5" t="s">
        <v>3639</v>
      </c>
      <c r="AN298" s="5"/>
      <c r="AO298" s="5"/>
      <c r="AP298" s="5"/>
      <c r="AQ298" s="5"/>
      <c r="AR298" s="5" t="s">
        <v>1294</v>
      </c>
      <c r="AS298" s="5"/>
      <c r="AT298" s="5"/>
      <c r="AU298" s="5"/>
      <c r="AV298" s="5" t="s">
        <v>178</v>
      </c>
      <c r="AW298" s="5" t="s">
        <v>3640</v>
      </c>
    </row>
    <row r="299" customFormat="false" ht="124.6" hidden="false" customHeight="false" outlineLevel="0" collapsed="false">
      <c r="A299" s="5" t="s">
        <v>3641</v>
      </c>
      <c r="B299" s="5" t="s">
        <v>3642</v>
      </c>
      <c r="C299" s="5" t="s">
        <v>3441</v>
      </c>
      <c r="D299" s="5" t="s">
        <v>3442</v>
      </c>
      <c r="E299" s="5" t="s">
        <v>626</v>
      </c>
      <c r="F299" s="5" t="s">
        <v>3643</v>
      </c>
      <c r="G299" s="5" t="s">
        <v>3644</v>
      </c>
      <c r="H299" s="5" t="n">
        <v>5</v>
      </c>
      <c r="I299" s="5" t="s">
        <v>603</v>
      </c>
      <c r="J299" s="5" t="s">
        <v>153</v>
      </c>
      <c r="K299" s="5"/>
      <c r="L299" s="5" t="s">
        <v>85</v>
      </c>
      <c r="M299" s="5" t="s">
        <v>185</v>
      </c>
      <c r="N299" s="5" t="s">
        <v>88</v>
      </c>
      <c r="O299" s="5" t="s">
        <v>214</v>
      </c>
      <c r="P299" s="5" t="s">
        <v>215</v>
      </c>
      <c r="Q299" s="5" t="s">
        <v>519</v>
      </c>
      <c r="R299" s="5" t="s">
        <v>3447</v>
      </c>
      <c r="S299" s="5" t="s">
        <v>3448</v>
      </c>
      <c r="T299" s="5" t="s">
        <v>606</v>
      </c>
      <c r="U299" s="5" t="n">
        <v>365</v>
      </c>
      <c r="V299" s="5" t="s">
        <v>3449</v>
      </c>
      <c r="W299" s="5" t="s">
        <v>3450</v>
      </c>
      <c r="X299" s="5" t="s">
        <v>3645</v>
      </c>
      <c r="Y299" s="5" t="s">
        <v>3646</v>
      </c>
      <c r="Z299" s="5" t="s">
        <v>3647</v>
      </c>
      <c r="AA299" s="5"/>
      <c r="AB299" s="5"/>
      <c r="AC299" s="5"/>
      <c r="AD299" s="5"/>
      <c r="AE299" s="5"/>
      <c r="AF299" s="5" t="s">
        <v>2345</v>
      </c>
      <c r="AG299" s="5"/>
      <c r="AH299" s="5"/>
      <c r="AI299" s="5"/>
      <c r="AJ299" s="5"/>
      <c r="AK299" s="5"/>
      <c r="AL299" s="5" t="s">
        <v>2345</v>
      </c>
      <c r="AM299" s="5"/>
      <c r="AN299" s="5"/>
      <c r="AO299" s="5"/>
      <c r="AP299" s="5"/>
      <c r="AQ299" s="5" t="s">
        <v>2345</v>
      </c>
      <c r="AR299" s="5" t="s">
        <v>1933</v>
      </c>
      <c r="AS299" s="5"/>
      <c r="AT299" s="5"/>
      <c r="AU299" s="5"/>
      <c r="AV299" s="5"/>
      <c r="AW299" s="5" t="s">
        <v>3603</v>
      </c>
    </row>
    <row r="300" customFormat="false" ht="124.6" hidden="false" customHeight="false" outlineLevel="0" collapsed="false">
      <c r="A300" s="5" t="s">
        <v>3648</v>
      </c>
      <c r="B300" s="5" t="s">
        <v>3649</v>
      </c>
      <c r="C300" s="5" t="s">
        <v>3441</v>
      </c>
      <c r="D300" s="5" t="s">
        <v>3442</v>
      </c>
      <c r="E300" s="5" t="s">
        <v>626</v>
      </c>
      <c r="F300" s="5" t="s">
        <v>3650</v>
      </c>
      <c r="G300" s="5" t="s">
        <v>3651</v>
      </c>
      <c r="H300" s="5" t="n">
        <v>8</v>
      </c>
      <c r="I300" s="5" t="s">
        <v>603</v>
      </c>
      <c r="J300" s="5" t="s">
        <v>153</v>
      </c>
      <c r="K300" s="5"/>
      <c r="L300" s="5" t="s">
        <v>55</v>
      </c>
      <c r="M300" s="5" t="s">
        <v>185</v>
      </c>
      <c r="N300" s="5" t="s">
        <v>59</v>
      </c>
      <c r="O300" s="5" t="s">
        <v>187</v>
      </c>
      <c r="P300" s="5" t="s">
        <v>215</v>
      </c>
      <c r="Q300" s="5" t="s">
        <v>519</v>
      </c>
      <c r="R300" s="5" t="s">
        <v>3447</v>
      </c>
      <c r="S300" s="5" t="s">
        <v>3448</v>
      </c>
      <c r="T300" s="5" t="s">
        <v>606</v>
      </c>
      <c r="U300" s="5" t="n">
        <v>365</v>
      </c>
      <c r="V300" s="5" t="s">
        <v>3449</v>
      </c>
      <c r="W300" s="5" t="s">
        <v>3450</v>
      </c>
      <c r="X300" s="5" t="s">
        <v>3652</v>
      </c>
      <c r="Y300" s="5" t="s">
        <v>3653</v>
      </c>
      <c r="Z300" s="5" t="s">
        <v>3654</v>
      </c>
      <c r="AA300" s="5"/>
      <c r="AB300" s="5"/>
      <c r="AC300" s="5"/>
      <c r="AD300" s="5"/>
      <c r="AE300" s="5"/>
      <c r="AF300" s="5" t="s">
        <v>3655</v>
      </c>
      <c r="AG300" s="5"/>
      <c r="AH300" s="5"/>
      <c r="AI300" s="5"/>
      <c r="AJ300" s="5"/>
      <c r="AK300" s="5"/>
      <c r="AL300" s="5" t="s">
        <v>3655</v>
      </c>
      <c r="AM300" s="5" t="s">
        <v>3655</v>
      </c>
      <c r="AN300" s="5"/>
      <c r="AO300" s="5"/>
      <c r="AP300" s="5"/>
      <c r="AQ300" s="5"/>
      <c r="AR300" s="5" t="s">
        <v>1294</v>
      </c>
      <c r="AS300" s="5"/>
      <c r="AT300" s="5"/>
      <c r="AU300" s="5"/>
      <c r="AV300" s="5"/>
      <c r="AW300" s="5" t="s">
        <v>3603</v>
      </c>
    </row>
    <row r="301" customFormat="false" ht="169.4" hidden="false" customHeight="false" outlineLevel="0" collapsed="false">
      <c r="A301" s="5" t="s">
        <v>3656</v>
      </c>
      <c r="B301" s="5" t="s">
        <v>3657</v>
      </c>
      <c r="C301" s="5" t="s">
        <v>3441</v>
      </c>
      <c r="D301" s="5" t="s">
        <v>3442</v>
      </c>
      <c r="E301" s="5" t="s">
        <v>600</v>
      </c>
      <c r="F301" s="5" t="s">
        <v>3658</v>
      </c>
      <c r="G301" s="5" t="s">
        <v>3659</v>
      </c>
      <c r="H301" s="5" t="n">
        <v>4</v>
      </c>
      <c r="I301" s="5" t="s">
        <v>603</v>
      </c>
      <c r="J301" s="5" t="s">
        <v>153</v>
      </c>
      <c r="K301" s="5" t="s">
        <v>3660</v>
      </c>
      <c r="L301" s="5" t="s">
        <v>30</v>
      </c>
      <c r="M301" s="5" t="s">
        <v>155</v>
      </c>
      <c r="N301" s="5" t="s">
        <v>3661</v>
      </c>
      <c r="O301" s="5" t="s">
        <v>570</v>
      </c>
      <c r="P301" s="5" t="s">
        <v>641</v>
      </c>
      <c r="Q301" s="5" t="s">
        <v>519</v>
      </c>
      <c r="R301" s="5" t="s">
        <v>3447</v>
      </c>
      <c r="S301" s="5" t="s">
        <v>3448</v>
      </c>
      <c r="T301" s="5" t="s">
        <v>606</v>
      </c>
      <c r="U301" s="5" t="n">
        <v>365</v>
      </c>
      <c r="V301" s="5" t="s">
        <v>3449</v>
      </c>
      <c r="W301" s="5" t="s">
        <v>3450</v>
      </c>
      <c r="X301" s="5" t="s">
        <v>3662</v>
      </c>
      <c r="Y301" s="5" t="s">
        <v>3663</v>
      </c>
      <c r="Z301" s="5" t="s">
        <v>3664</v>
      </c>
      <c r="AA301" s="5"/>
      <c r="AB301" s="5" t="s">
        <v>3665</v>
      </c>
      <c r="AC301" s="5"/>
      <c r="AD301" s="5" t="s">
        <v>3666</v>
      </c>
      <c r="AE301" s="5"/>
      <c r="AF301" s="5" t="s">
        <v>3667</v>
      </c>
      <c r="AG301" s="5" t="s">
        <v>3668</v>
      </c>
      <c r="AH301" s="5"/>
      <c r="AI301" s="5" t="s">
        <v>3669</v>
      </c>
      <c r="AJ301" s="5"/>
      <c r="AK301" s="5"/>
      <c r="AL301" s="5" t="s">
        <v>3667</v>
      </c>
      <c r="AM301" s="5" t="s">
        <v>3668</v>
      </c>
      <c r="AN301" s="5"/>
      <c r="AO301" s="5"/>
      <c r="AP301" s="5"/>
      <c r="AQ301" s="5" t="s">
        <v>3670</v>
      </c>
      <c r="AR301" s="5" t="s">
        <v>646</v>
      </c>
      <c r="AS301" s="5"/>
      <c r="AT301" s="5"/>
      <c r="AU301" s="5"/>
      <c r="AV301" s="5" t="s">
        <v>178</v>
      </c>
      <c r="AW301" s="5" t="s">
        <v>3671</v>
      </c>
    </row>
    <row r="302" customFormat="false" ht="135.8" hidden="false" customHeight="false" outlineLevel="0" collapsed="false">
      <c r="A302" s="5" t="s">
        <v>3672</v>
      </c>
      <c r="B302" s="5" t="s">
        <v>3673</v>
      </c>
      <c r="C302" s="5" t="s">
        <v>3441</v>
      </c>
      <c r="D302" s="5" t="s">
        <v>3442</v>
      </c>
      <c r="E302" s="5" t="s">
        <v>626</v>
      </c>
      <c r="F302" s="5" t="s">
        <v>3674</v>
      </c>
      <c r="G302" s="5" t="s">
        <v>3675</v>
      </c>
      <c r="H302" s="5" t="n">
        <v>6</v>
      </c>
      <c r="I302" s="5" t="s">
        <v>603</v>
      </c>
      <c r="J302" s="5" t="s">
        <v>153</v>
      </c>
      <c r="K302" s="5"/>
      <c r="L302" s="5" t="s">
        <v>30</v>
      </c>
      <c r="M302" s="5" t="s">
        <v>155</v>
      </c>
      <c r="N302" s="5" t="s">
        <v>3676</v>
      </c>
      <c r="O302" s="5" t="s">
        <v>157</v>
      </c>
      <c r="P302" s="5" t="s">
        <v>215</v>
      </c>
      <c r="Q302" s="5" t="s">
        <v>519</v>
      </c>
      <c r="R302" s="5" t="s">
        <v>3447</v>
      </c>
      <c r="S302" s="5" t="s">
        <v>3448</v>
      </c>
      <c r="T302" s="5" t="s">
        <v>606</v>
      </c>
      <c r="U302" s="5" t="n">
        <v>365</v>
      </c>
      <c r="V302" s="5" t="s">
        <v>3449</v>
      </c>
      <c r="W302" s="5" t="s">
        <v>3450</v>
      </c>
      <c r="X302" s="5" t="s">
        <v>3677</v>
      </c>
      <c r="Y302" s="5" t="s">
        <v>3678</v>
      </c>
      <c r="Z302" s="5" t="s">
        <v>3679</v>
      </c>
      <c r="AA302" s="5"/>
      <c r="AB302" s="5"/>
      <c r="AC302" s="5"/>
      <c r="AD302" s="5"/>
      <c r="AE302" s="5"/>
      <c r="AF302" s="5" t="s">
        <v>3680</v>
      </c>
      <c r="AG302" s="5" t="s">
        <v>3680</v>
      </c>
      <c r="AH302" s="5" t="s">
        <v>3681</v>
      </c>
      <c r="AI302" s="5"/>
      <c r="AJ302" s="5"/>
      <c r="AK302" s="5"/>
      <c r="AL302" s="5" t="s">
        <v>3680</v>
      </c>
      <c r="AM302" s="5"/>
      <c r="AN302" s="5"/>
      <c r="AO302" s="5"/>
      <c r="AP302" s="5"/>
      <c r="AQ302" s="5"/>
      <c r="AR302" s="5" t="s">
        <v>646</v>
      </c>
      <c r="AS302" s="5"/>
      <c r="AT302" s="5"/>
      <c r="AU302" s="5"/>
      <c r="AV302" s="5"/>
      <c r="AW302" s="5" t="s">
        <v>3671</v>
      </c>
    </row>
    <row r="303" customFormat="false" ht="225.35" hidden="false" customHeight="false" outlineLevel="0" collapsed="false">
      <c r="A303" s="5" t="s">
        <v>3682</v>
      </c>
      <c r="B303" s="5" t="s">
        <v>3683</v>
      </c>
      <c r="C303" s="5" t="s">
        <v>3441</v>
      </c>
      <c r="D303" s="5" t="s">
        <v>3442</v>
      </c>
      <c r="E303" s="5" t="s">
        <v>626</v>
      </c>
      <c r="F303" s="5" t="s">
        <v>3684</v>
      </c>
      <c r="G303" s="5" t="s">
        <v>3685</v>
      </c>
      <c r="H303" s="5" t="n">
        <v>8</v>
      </c>
      <c r="I303" s="5" t="s">
        <v>603</v>
      </c>
      <c r="J303" s="5" t="s">
        <v>153</v>
      </c>
      <c r="K303" s="5"/>
      <c r="L303" s="5" t="s">
        <v>30</v>
      </c>
      <c r="M303" s="5" t="s">
        <v>155</v>
      </c>
      <c r="N303" s="5" t="s">
        <v>398</v>
      </c>
      <c r="O303" s="5" t="s">
        <v>157</v>
      </c>
      <c r="P303" s="5" t="s">
        <v>215</v>
      </c>
      <c r="Q303" s="5" t="s">
        <v>519</v>
      </c>
      <c r="R303" s="5" t="s">
        <v>3447</v>
      </c>
      <c r="S303" s="5" t="s">
        <v>3448</v>
      </c>
      <c r="T303" s="5" t="s">
        <v>606</v>
      </c>
      <c r="U303" s="5" t="n">
        <v>365</v>
      </c>
      <c r="V303" s="5" t="s">
        <v>3449</v>
      </c>
      <c r="W303" s="5" t="s">
        <v>3450</v>
      </c>
      <c r="X303" s="5" t="s">
        <v>3686</v>
      </c>
      <c r="Y303" s="5" t="s">
        <v>3687</v>
      </c>
      <c r="Z303" s="5" t="s">
        <v>3688</v>
      </c>
      <c r="AA303" s="5"/>
      <c r="AB303" s="5"/>
      <c r="AC303" s="5"/>
      <c r="AD303" s="5"/>
      <c r="AE303" s="5"/>
      <c r="AF303" s="5" t="s">
        <v>3689</v>
      </c>
      <c r="AG303" s="5" t="s">
        <v>3147</v>
      </c>
      <c r="AH303" s="5"/>
      <c r="AI303" s="5"/>
      <c r="AJ303" s="5"/>
      <c r="AK303" s="5"/>
      <c r="AL303" s="5" t="s">
        <v>3689</v>
      </c>
      <c r="AM303" s="5"/>
      <c r="AN303" s="5"/>
      <c r="AO303" s="5"/>
      <c r="AP303" s="5"/>
      <c r="AQ303" s="5" t="s">
        <v>3690</v>
      </c>
      <c r="AR303" s="5" t="s">
        <v>3691</v>
      </c>
      <c r="AS303" s="5"/>
      <c r="AT303" s="5"/>
      <c r="AU303" s="5"/>
      <c r="AV303" s="5"/>
      <c r="AW303" s="5" t="s">
        <v>3692</v>
      </c>
    </row>
    <row r="304" customFormat="false" ht="180.55" hidden="false" customHeight="false" outlineLevel="0" collapsed="false">
      <c r="A304" s="5" t="s">
        <v>3693</v>
      </c>
      <c r="B304" s="5" t="s">
        <v>3694</v>
      </c>
      <c r="C304" s="5" t="s">
        <v>3441</v>
      </c>
      <c r="D304" s="5" t="s">
        <v>3442</v>
      </c>
      <c r="E304" s="5" t="s">
        <v>626</v>
      </c>
      <c r="F304" s="5" t="s">
        <v>3695</v>
      </c>
      <c r="G304" s="5" t="s">
        <v>3696</v>
      </c>
      <c r="H304" s="5" t="n">
        <v>9</v>
      </c>
      <c r="I304" s="5" t="s">
        <v>603</v>
      </c>
      <c r="J304" s="5" t="s">
        <v>153</v>
      </c>
      <c r="K304" s="5"/>
      <c r="L304" s="5" t="s">
        <v>30</v>
      </c>
      <c r="M304" s="5" t="s">
        <v>155</v>
      </c>
      <c r="N304" s="5" t="s">
        <v>42</v>
      </c>
      <c r="O304" s="5" t="s">
        <v>157</v>
      </c>
      <c r="P304" s="5" t="s">
        <v>641</v>
      </c>
      <c r="Q304" s="5" t="s">
        <v>519</v>
      </c>
      <c r="R304" s="5" t="s">
        <v>3447</v>
      </c>
      <c r="S304" s="5" t="s">
        <v>3448</v>
      </c>
      <c r="T304" s="5" t="s">
        <v>606</v>
      </c>
      <c r="U304" s="5" t="n">
        <v>365</v>
      </c>
      <c r="V304" s="5" t="s">
        <v>3449</v>
      </c>
      <c r="W304" s="5" t="s">
        <v>3450</v>
      </c>
      <c r="X304" s="5" t="s">
        <v>3697</v>
      </c>
      <c r="Y304" s="5" t="s">
        <v>3698</v>
      </c>
      <c r="Z304" s="5" t="s">
        <v>3699</v>
      </c>
      <c r="AA304" s="5"/>
      <c r="AB304" s="5"/>
      <c r="AC304" s="5"/>
      <c r="AD304" s="5"/>
      <c r="AE304" s="5"/>
      <c r="AF304" s="5" t="s">
        <v>3700</v>
      </c>
      <c r="AG304" s="5" t="s">
        <v>3701</v>
      </c>
      <c r="AH304" s="5"/>
      <c r="AI304" s="5"/>
      <c r="AJ304" s="5"/>
      <c r="AK304" s="5"/>
      <c r="AL304" s="5" t="s">
        <v>3700</v>
      </c>
      <c r="AM304" s="5"/>
      <c r="AN304" s="5"/>
      <c r="AO304" s="5"/>
      <c r="AP304" s="5"/>
      <c r="AQ304" s="5"/>
      <c r="AR304" s="5" t="s">
        <v>646</v>
      </c>
      <c r="AS304" s="5"/>
      <c r="AT304" s="5"/>
      <c r="AU304" s="5"/>
      <c r="AV304" s="5" t="s">
        <v>178</v>
      </c>
      <c r="AW304" s="5" t="s">
        <v>3702</v>
      </c>
    </row>
    <row r="305" customFormat="false" ht="124.6" hidden="false" customHeight="false" outlineLevel="0" collapsed="false">
      <c r="A305" s="5" t="s">
        <v>3703</v>
      </c>
      <c r="B305" s="5" t="s">
        <v>3704</v>
      </c>
      <c r="C305" s="5" t="s">
        <v>3441</v>
      </c>
      <c r="D305" s="5" t="s">
        <v>3442</v>
      </c>
      <c r="E305" s="5" t="s">
        <v>626</v>
      </c>
      <c r="F305" s="5" t="s">
        <v>3705</v>
      </c>
      <c r="G305" s="5" t="s">
        <v>3706</v>
      </c>
      <c r="H305" s="5" t="n">
        <v>7</v>
      </c>
      <c r="I305" s="5" t="s">
        <v>603</v>
      </c>
      <c r="J305" s="5" t="s">
        <v>557</v>
      </c>
      <c r="K305" s="5"/>
      <c r="L305" s="5" t="s">
        <v>30</v>
      </c>
      <c r="M305" s="5" t="s">
        <v>155</v>
      </c>
      <c r="N305" s="5" t="s">
        <v>846</v>
      </c>
      <c r="O305" s="5" t="s">
        <v>157</v>
      </c>
      <c r="P305" s="5" t="s">
        <v>215</v>
      </c>
      <c r="Q305" s="5" t="s">
        <v>519</v>
      </c>
      <c r="R305" s="5" t="s">
        <v>3447</v>
      </c>
      <c r="S305" s="5" t="s">
        <v>3448</v>
      </c>
      <c r="T305" s="5" t="s">
        <v>606</v>
      </c>
      <c r="U305" s="5" t="n">
        <v>90</v>
      </c>
      <c r="V305" s="5" t="s">
        <v>3449</v>
      </c>
      <c r="W305" s="5" t="s">
        <v>3450</v>
      </c>
      <c r="X305" s="5" t="s">
        <v>3707</v>
      </c>
      <c r="Y305" s="5" t="s">
        <v>3708</v>
      </c>
      <c r="Z305" s="5" t="s">
        <v>3709</v>
      </c>
      <c r="AA305" s="5"/>
      <c r="AB305" s="5"/>
      <c r="AC305" s="5"/>
      <c r="AD305" s="5"/>
      <c r="AE305" s="5"/>
      <c r="AF305" s="5"/>
      <c r="AG305" s="5"/>
      <c r="AH305" s="5" t="s">
        <v>3710</v>
      </c>
      <c r="AI305" s="5"/>
      <c r="AJ305" s="5"/>
      <c r="AK305" s="5"/>
      <c r="AL305" s="5"/>
      <c r="AM305" s="5"/>
      <c r="AN305" s="5"/>
      <c r="AO305" s="5"/>
      <c r="AP305" s="5"/>
      <c r="AQ305" s="5"/>
      <c r="AR305" s="5"/>
      <c r="AS305" s="5"/>
      <c r="AT305" s="5"/>
      <c r="AU305" s="5"/>
      <c r="AV305" s="5" t="s">
        <v>178</v>
      </c>
      <c r="AW305" s="5" t="s">
        <v>3711</v>
      </c>
    </row>
    <row r="306" customFormat="false" ht="124.6" hidden="false" customHeight="false" outlineLevel="0" collapsed="false">
      <c r="A306" s="5" t="s">
        <v>3712</v>
      </c>
      <c r="B306" s="5" t="s">
        <v>3713</v>
      </c>
      <c r="C306" s="5" t="s">
        <v>3441</v>
      </c>
      <c r="D306" s="5" t="s">
        <v>3442</v>
      </c>
      <c r="E306" s="5" t="s">
        <v>626</v>
      </c>
      <c r="F306" s="5" t="s">
        <v>3714</v>
      </c>
      <c r="G306" s="5" t="s">
        <v>3715</v>
      </c>
      <c r="H306" s="5" t="n">
        <v>7</v>
      </c>
      <c r="I306" s="5" t="s">
        <v>603</v>
      </c>
      <c r="J306" s="5" t="s">
        <v>153</v>
      </c>
      <c r="K306" s="5"/>
      <c r="L306" s="5" t="s">
        <v>85</v>
      </c>
      <c r="M306" s="5" t="s">
        <v>185</v>
      </c>
      <c r="N306" s="5" t="s">
        <v>88</v>
      </c>
      <c r="O306" s="5" t="s">
        <v>214</v>
      </c>
      <c r="P306" s="5" t="s">
        <v>641</v>
      </c>
      <c r="Q306" s="5" t="s">
        <v>519</v>
      </c>
      <c r="R306" s="5" t="s">
        <v>3447</v>
      </c>
      <c r="S306" s="5" t="s">
        <v>3448</v>
      </c>
      <c r="T306" s="5" t="s">
        <v>606</v>
      </c>
      <c r="U306" s="5" t="n">
        <v>365</v>
      </c>
      <c r="V306" s="5" t="s">
        <v>3449</v>
      </c>
      <c r="W306" s="5" t="s">
        <v>3450</v>
      </c>
      <c r="X306" s="5" t="s">
        <v>3716</v>
      </c>
      <c r="Y306" s="5" t="s">
        <v>3717</v>
      </c>
      <c r="Z306" s="5" t="s">
        <v>3718</v>
      </c>
      <c r="AA306" s="5"/>
      <c r="AB306" s="5"/>
      <c r="AC306" s="5"/>
      <c r="AD306" s="5"/>
      <c r="AE306" s="5"/>
      <c r="AF306" s="5" t="s">
        <v>3719</v>
      </c>
      <c r="AG306" s="5"/>
      <c r="AH306" s="5"/>
      <c r="AI306" s="5"/>
      <c r="AJ306" s="5"/>
      <c r="AK306" s="5"/>
      <c r="AL306" s="5" t="s">
        <v>3719</v>
      </c>
      <c r="AM306" s="5"/>
      <c r="AN306" s="5"/>
      <c r="AO306" s="5"/>
      <c r="AP306" s="5"/>
      <c r="AQ306" s="5" t="s">
        <v>3719</v>
      </c>
      <c r="AR306" s="5" t="s">
        <v>646</v>
      </c>
      <c r="AS306" s="5"/>
      <c r="AT306" s="5"/>
      <c r="AU306" s="5"/>
      <c r="AV306" s="5"/>
      <c r="AW306" s="5" t="s">
        <v>3720</v>
      </c>
    </row>
    <row r="307" customFormat="false" ht="202.95" hidden="false" customHeight="false" outlineLevel="0" collapsed="false">
      <c r="A307" s="5" t="s">
        <v>3721</v>
      </c>
      <c r="B307" s="5" t="s">
        <v>3722</v>
      </c>
      <c r="C307" s="5" t="s">
        <v>3723</v>
      </c>
      <c r="D307" s="5" t="s">
        <v>3724</v>
      </c>
      <c r="E307" s="5" t="s">
        <v>149</v>
      </c>
      <c r="F307" s="5" t="s">
        <v>3725</v>
      </c>
      <c r="G307" s="5" t="s">
        <v>3726</v>
      </c>
      <c r="H307" s="5" t="n">
        <v>10</v>
      </c>
      <c r="I307" s="5" t="s">
        <v>152</v>
      </c>
      <c r="J307" s="5" t="s">
        <v>153</v>
      </c>
      <c r="K307" s="5" t="s">
        <v>3727</v>
      </c>
      <c r="L307" s="5" t="s">
        <v>30</v>
      </c>
      <c r="M307" s="5" t="s">
        <v>155</v>
      </c>
      <c r="N307" s="5" t="s">
        <v>258</v>
      </c>
      <c r="O307" s="5" t="s">
        <v>157</v>
      </c>
      <c r="P307" s="5" t="s">
        <v>158</v>
      </c>
      <c r="Q307" s="5" t="s">
        <v>3728</v>
      </c>
      <c r="R307" s="5" t="s">
        <v>3729</v>
      </c>
      <c r="S307" s="5" t="s">
        <v>3730</v>
      </c>
      <c r="T307" s="5" t="s">
        <v>162</v>
      </c>
      <c r="U307" s="5" t="n">
        <v>365</v>
      </c>
      <c r="V307" s="5" t="s">
        <v>3731</v>
      </c>
      <c r="W307" s="5" t="s">
        <v>3732</v>
      </c>
      <c r="X307" s="5" t="s">
        <v>3733</v>
      </c>
      <c r="Y307" s="5" t="s">
        <v>3734</v>
      </c>
      <c r="Z307" s="5" t="s">
        <v>3735</v>
      </c>
      <c r="AA307" s="5"/>
      <c r="AB307" s="5"/>
      <c r="AC307" s="5"/>
      <c r="AD307" s="5"/>
      <c r="AE307" s="5"/>
      <c r="AF307" s="5" t="s">
        <v>3736</v>
      </c>
      <c r="AG307" s="5" t="s">
        <v>3736</v>
      </c>
      <c r="AH307" s="5" t="s">
        <v>3737</v>
      </c>
      <c r="AI307" s="5"/>
      <c r="AJ307" s="5" t="s">
        <v>3738</v>
      </c>
      <c r="AK307" s="5" t="s">
        <v>3739</v>
      </c>
      <c r="AL307" s="5" t="s">
        <v>3736</v>
      </c>
      <c r="AM307" s="5"/>
      <c r="AN307" s="5" t="s">
        <v>3740</v>
      </c>
      <c r="AO307" s="5"/>
      <c r="AP307" s="5" t="s">
        <v>3741</v>
      </c>
      <c r="AQ307" s="5" t="s">
        <v>3736</v>
      </c>
      <c r="AR307" s="5" t="s">
        <v>3742</v>
      </c>
      <c r="AS307" s="5" t="s">
        <v>3743</v>
      </c>
      <c r="AT307" s="5" t="s">
        <v>3744</v>
      </c>
      <c r="AU307" s="5"/>
      <c r="AV307" s="5" t="s">
        <v>178</v>
      </c>
      <c r="AW307" s="5" t="s">
        <v>3745</v>
      </c>
    </row>
    <row r="308" customFormat="false" ht="124.6" hidden="false" customHeight="false" outlineLevel="0" collapsed="false">
      <c r="A308" s="5" t="s">
        <v>3746</v>
      </c>
      <c r="B308" s="5" t="s">
        <v>3747</v>
      </c>
      <c r="C308" s="5" t="s">
        <v>3723</v>
      </c>
      <c r="D308" s="5" t="s">
        <v>3724</v>
      </c>
      <c r="E308" s="5" t="s">
        <v>149</v>
      </c>
      <c r="F308" s="5" t="s">
        <v>3748</v>
      </c>
      <c r="G308" s="5" t="s">
        <v>3749</v>
      </c>
      <c r="H308" s="5" t="n">
        <v>9</v>
      </c>
      <c r="I308" s="5" t="s">
        <v>152</v>
      </c>
      <c r="J308" s="5" t="s">
        <v>557</v>
      </c>
      <c r="K308" s="5"/>
      <c r="L308" s="5" t="s">
        <v>30</v>
      </c>
      <c r="M308" s="5" t="s">
        <v>155</v>
      </c>
      <c r="N308" s="5" t="s">
        <v>2585</v>
      </c>
      <c r="O308" s="5" t="s">
        <v>157</v>
      </c>
      <c r="P308" s="5" t="s">
        <v>215</v>
      </c>
      <c r="Q308" s="5" t="s">
        <v>3728</v>
      </c>
      <c r="R308" s="5" t="s">
        <v>3729</v>
      </c>
      <c r="S308" s="5" t="s">
        <v>3730</v>
      </c>
      <c r="T308" s="5" t="s">
        <v>162</v>
      </c>
      <c r="U308" s="5" t="n">
        <v>90</v>
      </c>
      <c r="V308" s="5" t="s">
        <v>3731</v>
      </c>
      <c r="W308" s="5" t="s">
        <v>3732</v>
      </c>
      <c r="X308" s="5" t="s">
        <v>3750</v>
      </c>
      <c r="Y308" s="5" t="s">
        <v>3751</v>
      </c>
      <c r="Z308" s="5" t="s">
        <v>3752</v>
      </c>
      <c r="AA308" s="5" t="s">
        <v>3753</v>
      </c>
      <c r="AB308" s="5"/>
      <c r="AC308" s="5"/>
      <c r="AD308" s="5"/>
      <c r="AE308" s="5"/>
      <c r="AF308" s="5"/>
      <c r="AG308" s="5"/>
      <c r="AH308" s="5" t="s">
        <v>3754</v>
      </c>
      <c r="AI308" s="5"/>
      <c r="AJ308" s="5"/>
      <c r="AK308" s="5"/>
      <c r="AL308" s="5"/>
      <c r="AM308" s="5"/>
      <c r="AN308" s="5"/>
      <c r="AO308" s="5"/>
      <c r="AP308" s="5"/>
      <c r="AQ308" s="5"/>
      <c r="AR308" s="5"/>
      <c r="AS308" s="5"/>
      <c r="AT308" s="5"/>
      <c r="AU308" s="5"/>
      <c r="AV308" s="5"/>
      <c r="AW308" s="5" t="s">
        <v>3745</v>
      </c>
    </row>
    <row r="309" customFormat="false" ht="135.8" hidden="false" customHeight="false" outlineLevel="0" collapsed="false">
      <c r="A309" s="5" t="s">
        <v>3755</v>
      </c>
      <c r="B309" s="5" t="s">
        <v>3756</v>
      </c>
      <c r="C309" s="5" t="s">
        <v>3723</v>
      </c>
      <c r="D309" s="5" t="s">
        <v>3724</v>
      </c>
      <c r="E309" s="5" t="s">
        <v>514</v>
      </c>
      <c r="F309" s="5" t="s">
        <v>3757</v>
      </c>
      <c r="G309" s="5" t="s">
        <v>3758</v>
      </c>
      <c r="H309" s="5" t="n">
        <v>8</v>
      </c>
      <c r="I309" s="5" t="s">
        <v>274</v>
      </c>
      <c r="J309" s="5" t="s">
        <v>153</v>
      </c>
      <c r="K309" s="5" t="s">
        <v>3759</v>
      </c>
      <c r="L309" s="5" t="s">
        <v>30</v>
      </c>
      <c r="M309" s="5" t="s">
        <v>155</v>
      </c>
      <c r="N309" s="5" t="s">
        <v>919</v>
      </c>
      <c r="O309" s="5" t="s">
        <v>157</v>
      </c>
      <c r="P309" s="5" t="s">
        <v>158</v>
      </c>
      <c r="Q309" s="5" t="s">
        <v>3728</v>
      </c>
      <c r="R309" s="5" t="s">
        <v>3729</v>
      </c>
      <c r="S309" s="5" t="s">
        <v>3730</v>
      </c>
      <c r="T309" s="5" t="s">
        <v>277</v>
      </c>
      <c r="U309" s="5" t="n">
        <v>365</v>
      </c>
      <c r="V309" s="5" t="s">
        <v>3731</v>
      </c>
      <c r="W309" s="5" t="s">
        <v>3732</v>
      </c>
      <c r="X309" s="5" t="s">
        <v>3760</v>
      </c>
      <c r="Y309" s="5" t="s">
        <v>3761</v>
      </c>
      <c r="Z309" s="5" t="s">
        <v>3762</v>
      </c>
      <c r="AA309" s="5"/>
      <c r="AB309" s="5"/>
      <c r="AC309" s="5"/>
      <c r="AD309" s="5"/>
      <c r="AE309" s="5"/>
      <c r="AF309" s="5" t="s">
        <v>3763</v>
      </c>
      <c r="AG309" s="5" t="s">
        <v>3763</v>
      </c>
      <c r="AH309" s="5"/>
      <c r="AI309" s="5"/>
      <c r="AJ309" s="5" t="s">
        <v>3764</v>
      </c>
      <c r="AK309" s="5" t="s">
        <v>3765</v>
      </c>
      <c r="AL309" s="5" t="s">
        <v>3763</v>
      </c>
      <c r="AM309" s="5"/>
      <c r="AN309" s="5"/>
      <c r="AO309" s="5"/>
      <c r="AP309" s="5"/>
      <c r="AQ309" s="5" t="s">
        <v>3763</v>
      </c>
      <c r="AR309" s="5" t="s">
        <v>3742</v>
      </c>
      <c r="AS309" s="5" t="s">
        <v>3766</v>
      </c>
      <c r="AT309" s="5"/>
      <c r="AU309" s="5"/>
      <c r="AV309" s="5" t="s">
        <v>178</v>
      </c>
      <c r="AW309" s="5" t="s">
        <v>3745</v>
      </c>
    </row>
    <row r="310" customFormat="false" ht="124.6" hidden="false" customHeight="false" outlineLevel="0" collapsed="false">
      <c r="A310" s="5" t="s">
        <v>3767</v>
      </c>
      <c r="B310" s="5" t="s">
        <v>3768</v>
      </c>
      <c r="C310" s="5" t="s">
        <v>3723</v>
      </c>
      <c r="D310" s="5" t="s">
        <v>3724</v>
      </c>
      <c r="E310" s="5" t="s">
        <v>514</v>
      </c>
      <c r="F310" s="5" t="s">
        <v>3769</v>
      </c>
      <c r="G310" s="5" t="s">
        <v>3770</v>
      </c>
      <c r="H310" s="5" t="n">
        <v>10</v>
      </c>
      <c r="I310" s="5" t="s">
        <v>152</v>
      </c>
      <c r="J310" s="5" t="s">
        <v>557</v>
      </c>
      <c r="K310" s="5" t="s">
        <v>3771</v>
      </c>
      <c r="L310" s="5" t="s">
        <v>55</v>
      </c>
      <c r="M310" s="5" t="s">
        <v>185</v>
      </c>
      <c r="N310" s="5" t="s">
        <v>439</v>
      </c>
      <c r="O310" s="5" t="s">
        <v>187</v>
      </c>
      <c r="P310" s="5" t="s">
        <v>215</v>
      </c>
      <c r="Q310" s="5" t="s">
        <v>3728</v>
      </c>
      <c r="R310" s="5" t="s">
        <v>3729</v>
      </c>
      <c r="S310" s="5" t="s">
        <v>3730</v>
      </c>
      <c r="T310" s="5" t="s">
        <v>162</v>
      </c>
      <c r="U310" s="5" t="n">
        <v>90</v>
      </c>
      <c r="V310" s="5" t="s">
        <v>3731</v>
      </c>
      <c r="W310" s="5" t="s">
        <v>3732</v>
      </c>
      <c r="X310" s="5" t="s">
        <v>3772</v>
      </c>
      <c r="Y310" s="5" t="s">
        <v>3773</v>
      </c>
      <c r="Z310" s="5" t="s">
        <v>3774</v>
      </c>
      <c r="AA310" s="5"/>
      <c r="AB310" s="5"/>
      <c r="AC310" s="5"/>
      <c r="AD310" s="5"/>
      <c r="AE310" s="5"/>
      <c r="AF310" s="5"/>
      <c r="AG310" s="5"/>
      <c r="AH310" s="5"/>
      <c r="AI310" s="5"/>
      <c r="AJ310" s="5" t="s">
        <v>3775</v>
      </c>
      <c r="AK310" s="5"/>
      <c r="AL310" s="5"/>
      <c r="AM310" s="5"/>
      <c r="AN310" s="5"/>
      <c r="AO310" s="5"/>
      <c r="AP310" s="5"/>
      <c r="AQ310" s="5"/>
      <c r="AR310" s="5"/>
      <c r="AS310" s="5"/>
      <c r="AT310" s="5"/>
      <c r="AU310" s="5"/>
      <c r="AV310" s="5" t="s">
        <v>178</v>
      </c>
      <c r="AW310" s="5" t="s">
        <v>3745</v>
      </c>
    </row>
    <row r="311" customFormat="false" ht="169.4" hidden="false" customHeight="false" outlineLevel="0" collapsed="false">
      <c r="A311" s="5" t="s">
        <v>3776</v>
      </c>
      <c r="B311" s="5" t="s">
        <v>3777</v>
      </c>
      <c r="C311" s="5" t="s">
        <v>3723</v>
      </c>
      <c r="D311" s="5" t="s">
        <v>3724</v>
      </c>
      <c r="E311" s="5" t="s">
        <v>514</v>
      </c>
      <c r="F311" s="5" t="s">
        <v>3778</v>
      </c>
      <c r="G311" s="5" t="s">
        <v>3779</v>
      </c>
      <c r="H311" s="5" t="n">
        <v>10</v>
      </c>
      <c r="I311" s="5" t="s">
        <v>274</v>
      </c>
      <c r="J311" s="5" t="s">
        <v>153</v>
      </c>
      <c r="K311" s="5" t="s">
        <v>3780</v>
      </c>
      <c r="L311" s="5" t="s">
        <v>30</v>
      </c>
      <c r="M311" s="5" t="s">
        <v>155</v>
      </c>
      <c r="N311" s="5" t="s">
        <v>3781</v>
      </c>
      <c r="O311" s="5" t="s">
        <v>157</v>
      </c>
      <c r="P311" s="5" t="s">
        <v>158</v>
      </c>
      <c r="Q311" s="5" t="s">
        <v>3728</v>
      </c>
      <c r="R311" s="5" t="s">
        <v>3729</v>
      </c>
      <c r="S311" s="5" t="s">
        <v>3730</v>
      </c>
      <c r="T311" s="5" t="s">
        <v>277</v>
      </c>
      <c r="U311" s="5" t="n">
        <v>365</v>
      </c>
      <c r="V311" s="5" t="s">
        <v>3731</v>
      </c>
      <c r="W311" s="5" t="s">
        <v>3732</v>
      </c>
      <c r="X311" s="5" t="s">
        <v>3782</v>
      </c>
      <c r="Y311" s="5" t="s">
        <v>3783</v>
      </c>
      <c r="Z311" s="5" t="s">
        <v>3784</v>
      </c>
      <c r="AA311" s="5" t="s">
        <v>3785</v>
      </c>
      <c r="AB311" s="5"/>
      <c r="AC311" s="5" t="s">
        <v>3786</v>
      </c>
      <c r="AD311" s="5"/>
      <c r="AE311" s="5"/>
      <c r="AF311" s="5" t="s">
        <v>3787</v>
      </c>
      <c r="AG311" s="5" t="s">
        <v>3787</v>
      </c>
      <c r="AH311" s="5" t="s">
        <v>3788</v>
      </c>
      <c r="AI311" s="5"/>
      <c r="AJ311" s="5" t="s">
        <v>3789</v>
      </c>
      <c r="AK311" s="5" t="s">
        <v>3790</v>
      </c>
      <c r="AL311" s="5" t="s">
        <v>3787</v>
      </c>
      <c r="AM311" s="5"/>
      <c r="AN311" s="5"/>
      <c r="AO311" s="5" t="s">
        <v>287</v>
      </c>
      <c r="AP311" s="5" t="s">
        <v>3791</v>
      </c>
      <c r="AQ311" s="5" t="s">
        <v>3792</v>
      </c>
      <c r="AR311" s="5" t="s">
        <v>3793</v>
      </c>
      <c r="AS311" s="5" t="s">
        <v>3794</v>
      </c>
      <c r="AT311" s="5" t="s">
        <v>292</v>
      </c>
      <c r="AU311" s="5"/>
      <c r="AV311" s="5" t="s">
        <v>178</v>
      </c>
      <c r="AW311" s="5" t="s">
        <v>3795</v>
      </c>
    </row>
    <row r="312" customFormat="false" ht="135.8" hidden="false" customHeight="false" outlineLevel="0" collapsed="false">
      <c r="A312" s="5" t="s">
        <v>3796</v>
      </c>
      <c r="B312" s="5" t="s">
        <v>3797</v>
      </c>
      <c r="C312" s="5" t="s">
        <v>3723</v>
      </c>
      <c r="D312" s="5" t="s">
        <v>3724</v>
      </c>
      <c r="E312" s="5" t="s">
        <v>514</v>
      </c>
      <c r="F312" s="5" t="s">
        <v>3798</v>
      </c>
      <c r="G312" s="5" t="s">
        <v>3799</v>
      </c>
      <c r="H312" s="5" t="n">
        <v>9</v>
      </c>
      <c r="I312" s="5" t="s">
        <v>274</v>
      </c>
      <c r="J312" s="5" t="s">
        <v>153</v>
      </c>
      <c r="K312" s="5" t="s">
        <v>3800</v>
      </c>
      <c r="L312" s="5" t="s">
        <v>30</v>
      </c>
      <c r="M312" s="5" t="s">
        <v>155</v>
      </c>
      <c r="N312" s="5" t="s">
        <v>518</v>
      </c>
      <c r="O312" s="5" t="s">
        <v>157</v>
      </c>
      <c r="P312" s="5" t="s">
        <v>158</v>
      </c>
      <c r="Q312" s="5" t="s">
        <v>3728</v>
      </c>
      <c r="R312" s="5" t="s">
        <v>3729</v>
      </c>
      <c r="S312" s="5" t="s">
        <v>3730</v>
      </c>
      <c r="T312" s="5" t="s">
        <v>277</v>
      </c>
      <c r="U312" s="5" t="n">
        <v>365</v>
      </c>
      <c r="V312" s="5" t="s">
        <v>3731</v>
      </c>
      <c r="W312" s="5" t="s">
        <v>3732</v>
      </c>
      <c r="X312" s="5" t="s">
        <v>3801</v>
      </c>
      <c r="Y312" s="5" t="s">
        <v>3802</v>
      </c>
      <c r="Z312" s="5" t="s">
        <v>3803</v>
      </c>
      <c r="AA312" s="5"/>
      <c r="AB312" s="5"/>
      <c r="AC312" s="5"/>
      <c r="AD312" s="5"/>
      <c r="AE312" s="5"/>
      <c r="AF312" s="5"/>
      <c r="AG312" s="5"/>
      <c r="AH312" s="5" t="s">
        <v>3804</v>
      </c>
      <c r="AI312" s="5"/>
      <c r="AJ312" s="5" t="s">
        <v>3805</v>
      </c>
      <c r="AK312" s="5" t="s">
        <v>3806</v>
      </c>
      <c r="AL312" s="5"/>
      <c r="AM312" s="5"/>
      <c r="AN312" s="5"/>
      <c r="AO312" s="5"/>
      <c r="AP312" s="5" t="s">
        <v>423</v>
      </c>
      <c r="AQ312" s="5"/>
      <c r="AR312" s="5"/>
      <c r="AS312" s="5" t="s">
        <v>3807</v>
      </c>
      <c r="AT312" s="5"/>
      <c r="AU312" s="5"/>
      <c r="AV312" s="5" t="s">
        <v>178</v>
      </c>
      <c r="AW312" s="5" t="s">
        <v>3808</v>
      </c>
    </row>
    <row r="313" customFormat="false" ht="147" hidden="false" customHeight="false" outlineLevel="0" collapsed="false">
      <c r="A313" s="5" t="s">
        <v>3809</v>
      </c>
      <c r="B313" s="5" t="s">
        <v>3810</v>
      </c>
      <c r="C313" s="5" t="s">
        <v>3723</v>
      </c>
      <c r="D313" s="5" t="s">
        <v>3724</v>
      </c>
      <c r="E313" s="5" t="s">
        <v>514</v>
      </c>
      <c r="F313" s="5" t="s">
        <v>3811</v>
      </c>
      <c r="G313" s="5" t="s">
        <v>3812</v>
      </c>
      <c r="H313" s="5" t="n">
        <v>9</v>
      </c>
      <c r="I313" s="5" t="s">
        <v>274</v>
      </c>
      <c r="J313" s="5" t="s">
        <v>153</v>
      </c>
      <c r="K313" s="5" t="s">
        <v>3813</v>
      </c>
      <c r="L313" s="5" t="s">
        <v>30</v>
      </c>
      <c r="M313" s="5" t="s">
        <v>155</v>
      </c>
      <c r="N313" s="5" t="s">
        <v>3814</v>
      </c>
      <c r="O313" s="5" t="s">
        <v>157</v>
      </c>
      <c r="P313" s="5" t="s">
        <v>158</v>
      </c>
      <c r="Q313" s="5" t="s">
        <v>3728</v>
      </c>
      <c r="R313" s="5" t="s">
        <v>3729</v>
      </c>
      <c r="S313" s="5" t="s">
        <v>3730</v>
      </c>
      <c r="T313" s="5" t="s">
        <v>277</v>
      </c>
      <c r="U313" s="5" t="n">
        <v>365</v>
      </c>
      <c r="V313" s="5" t="s">
        <v>3731</v>
      </c>
      <c r="W313" s="5" t="s">
        <v>3732</v>
      </c>
      <c r="X313" s="5" t="s">
        <v>3815</v>
      </c>
      <c r="Y313" s="5" t="s">
        <v>3816</v>
      </c>
      <c r="Z313" s="5" t="s">
        <v>3817</v>
      </c>
      <c r="AA313" s="5"/>
      <c r="AB313" s="5"/>
      <c r="AC313" s="5"/>
      <c r="AD313" s="5"/>
      <c r="AE313" s="5"/>
      <c r="AF313" s="5" t="s">
        <v>3763</v>
      </c>
      <c r="AG313" s="5" t="s">
        <v>3763</v>
      </c>
      <c r="AH313" s="5"/>
      <c r="AI313" s="5"/>
      <c r="AJ313" s="5" t="s">
        <v>3818</v>
      </c>
      <c r="AK313" s="5"/>
      <c r="AL313" s="5" t="s">
        <v>3763</v>
      </c>
      <c r="AM313" s="5"/>
      <c r="AN313" s="5"/>
      <c r="AO313" s="5"/>
      <c r="AP313" s="5"/>
      <c r="AQ313" s="5" t="s">
        <v>3763</v>
      </c>
      <c r="AR313" s="5" t="s">
        <v>3742</v>
      </c>
      <c r="AS313" s="5" t="s">
        <v>3819</v>
      </c>
      <c r="AT313" s="5"/>
      <c r="AU313" s="5"/>
      <c r="AV313" s="5" t="s">
        <v>178</v>
      </c>
      <c r="AW313" s="5" t="s">
        <v>3820</v>
      </c>
    </row>
    <row r="314" customFormat="false" ht="158.2" hidden="false" customHeight="false" outlineLevel="0" collapsed="false">
      <c r="A314" s="5" t="s">
        <v>3821</v>
      </c>
      <c r="B314" s="5" t="s">
        <v>3822</v>
      </c>
      <c r="C314" s="5" t="s">
        <v>3723</v>
      </c>
      <c r="D314" s="5" t="s">
        <v>3724</v>
      </c>
      <c r="E314" s="5" t="s">
        <v>514</v>
      </c>
      <c r="F314" s="5" t="s">
        <v>3823</v>
      </c>
      <c r="G314" s="5" t="s">
        <v>3824</v>
      </c>
      <c r="H314" s="5" t="n">
        <v>10</v>
      </c>
      <c r="I314" s="5" t="s">
        <v>274</v>
      </c>
      <c r="J314" s="5" t="s">
        <v>153</v>
      </c>
      <c r="K314" s="5" t="s">
        <v>3825</v>
      </c>
      <c r="L314" s="5" t="s">
        <v>30</v>
      </c>
      <c r="M314" s="5" t="s">
        <v>155</v>
      </c>
      <c r="N314" s="5" t="s">
        <v>3826</v>
      </c>
      <c r="O314" s="5" t="s">
        <v>157</v>
      </c>
      <c r="P314" s="5" t="s">
        <v>158</v>
      </c>
      <c r="Q314" s="5" t="s">
        <v>3728</v>
      </c>
      <c r="R314" s="5" t="s">
        <v>3729</v>
      </c>
      <c r="S314" s="5" t="s">
        <v>3730</v>
      </c>
      <c r="T314" s="5" t="s">
        <v>277</v>
      </c>
      <c r="U314" s="5" t="n">
        <v>365</v>
      </c>
      <c r="V314" s="5" t="s">
        <v>3731</v>
      </c>
      <c r="W314" s="5" t="s">
        <v>3732</v>
      </c>
      <c r="X314" s="5" t="s">
        <v>3827</v>
      </c>
      <c r="Y314" s="5" t="s">
        <v>3828</v>
      </c>
      <c r="Z314" s="5" t="s">
        <v>3829</v>
      </c>
      <c r="AA314" s="5" t="s">
        <v>3830</v>
      </c>
      <c r="AB314" s="5"/>
      <c r="AC314" s="5"/>
      <c r="AD314" s="5"/>
      <c r="AE314" s="5"/>
      <c r="AF314" s="5" t="s">
        <v>3831</v>
      </c>
      <c r="AG314" s="5" t="s">
        <v>3831</v>
      </c>
      <c r="AH314" s="5" t="s">
        <v>3832</v>
      </c>
      <c r="AI314" s="5"/>
      <c r="AJ314" s="5" t="s">
        <v>3833</v>
      </c>
      <c r="AK314" s="5"/>
      <c r="AL314" s="5" t="s">
        <v>3831</v>
      </c>
      <c r="AM314" s="5"/>
      <c r="AN314" s="5" t="s">
        <v>3834</v>
      </c>
      <c r="AO314" s="5"/>
      <c r="AP314" s="5"/>
      <c r="AQ314" s="5"/>
      <c r="AR314" s="5" t="s">
        <v>3742</v>
      </c>
      <c r="AS314" s="5" t="s">
        <v>3835</v>
      </c>
      <c r="AT314" s="5" t="s">
        <v>3836</v>
      </c>
      <c r="AU314" s="5"/>
      <c r="AV314" s="5" t="s">
        <v>178</v>
      </c>
      <c r="AW314" s="5" t="s">
        <v>3837</v>
      </c>
    </row>
    <row r="315" customFormat="false" ht="169.4" hidden="false" customHeight="false" outlineLevel="0" collapsed="false">
      <c r="A315" s="5" t="s">
        <v>3838</v>
      </c>
      <c r="B315" s="5" t="s">
        <v>3839</v>
      </c>
      <c r="C315" s="5" t="s">
        <v>3723</v>
      </c>
      <c r="D315" s="5" t="s">
        <v>3724</v>
      </c>
      <c r="E315" s="5" t="s">
        <v>514</v>
      </c>
      <c r="F315" s="5" t="s">
        <v>3840</v>
      </c>
      <c r="G315" s="5" t="s">
        <v>3841</v>
      </c>
      <c r="H315" s="5" t="n">
        <v>9</v>
      </c>
      <c r="I315" s="5" t="s">
        <v>274</v>
      </c>
      <c r="J315" s="5" t="s">
        <v>153</v>
      </c>
      <c r="K315" s="5" t="s">
        <v>3825</v>
      </c>
      <c r="L315" s="5" t="s">
        <v>55</v>
      </c>
      <c r="M315" s="5" t="s">
        <v>185</v>
      </c>
      <c r="N315" s="5" t="s">
        <v>430</v>
      </c>
      <c r="O315" s="5" t="s">
        <v>187</v>
      </c>
      <c r="P315" s="5" t="s">
        <v>215</v>
      </c>
      <c r="Q315" s="5" t="s">
        <v>3728</v>
      </c>
      <c r="R315" s="5" t="s">
        <v>3729</v>
      </c>
      <c r="S315" s="5" t="s">
        <v>3730</v>
      </c>
      <c r="T315" s="5" t="s">
        <v>277</v>
      </c>
      <c r="U315" s="5" t="n">
        <v>365</v>
      </c>
      <c r="V315" s="5" t="s">
        <v>3731</v>
      </c>
      <c r="W315" s="5" t="s">
        <v>3732</v>
      </c>
      <c r="X315" s="5" t="s">
        <v>3842</v>
      </c>
      <c r="Y315" s="5" t="s">
        <v>3843</v>
      </c>
      <c r="Z315" s="5" t="s">
        <v>3844</v>
      </c>
      <c r="AA315" s="5"/>
      <c r="AB315" s="5"/>
      <c r="AC315" s="5"/>
      <c r="AD315" s="5"/>
      <c r="AE315" s="5"/>
      <c r="AF315" s="5" t="s">
        <v>3845</v>
      </c>
      <c r="AG315" s="5"/>
      <c r="AH315" s="5"/>
      <c r="AI315" s="5"/>
      <c r="AJ315" s="5" t="s">
        <v>3846</v>
      </c>
      <c r="AK315" s="5"/>
      <c r="AL315" s="5" t="s">
        <v>3845</v>
      </c>
      <c r="AM315" s="5"/>
      <c r="AN315" s="5"/>
      <c r="AO315" s="5"/>
      <c r="AP315" s="5" t="s">
        <v>3847</v>
      </c>
      <c r="AQ315" s="5"/>
      <c r="AR315" s="5" t="s">
        <v>3742</v>
      </c>
      <c r="AS315" s="5"/>
      <c r="AT315" s="5" t="s">
        <v>3848</v>
      </c>
      <c r="AU315" s="5"/>
      <c r="AV315" s="5" t="s">
        <v>178</v>
      </c>
      <c r="AW315" s="5" t="s">
        <v>3849</v>
      </c>
    </row>
    <row r="316" customFormat="false" ht="102.2" hidden="false" customHeight="false" outlineLevel="0" collapsed="false">
      <c r="A316" s="5" t="s">
        <v>3850</v>
      </c>
      <c r="B316" s="5" t="s">
        <v>3851</v>
      </c>
      <c r="C316" s="5" t="s">
        <v>3723</v>
      </c>
      <c r="D316" s="5" t="s">
        <v>3724</v>
      </c>
      <c r="E316" s="5" t="s">
        <v>514</v>
      </c>
      <c r="F316" s="5" t="s">
        <v>3852</v>
      </c>
      <c r="G316" s="5" t="s">
        <v>3853</v>
      </c>
      <c r="H316" s="5" t="n">
        <v>7</v>
      </c>
      <c r="I316" s="5" t="s">
        <v>274</v>
      </c>
      <c r="J316" s="5" t="s">
        <v>153</v>
      </c>
      <c r="K316" s="5" t="s">
        <v>3854</v>
      </c>
      <c r="L316" s="5" t="s">
        <v>55</v>
      </c>
      <c r="M316" s="5" t="s">
        <v>185</v>
      </c>
      <c r="N316" s="5" t="s">
        <v>439</v>
      </c>
      <c r="O316" s="5" t="s">
        <v>187</v>
      </c>
      <c r="P316" s="5" t="s">
        <v>158</v>
      </c>
      <c r="Q316" s="5" t="s">
        <v>3728</v>
      </c>
      <c r="R316" s="5" t="s">
        <v>3729</v>
      </c>
      <c r="S316" s="5" t="s">
        <v>3730</v>
      </c>
      <c r="T316" s="5" t="s">
        <v>277</v>
      </c>
      <c r="U316" s="5" t="n">
        <v>365</v>
      </c>
      <c r="V316" s="5" t="s">
        <v>3731</v>
      </c>
      <c r="W316" s="5" t="s">
        <v>3732</v>
      </c>
      <c r="X316" s="5" t="s">
        <v>3855</v>
      </c>
      <c r="Y316" s="5" t="s">
        <v>3856</v>
      </c>
      <c r="Z316" s="5" t="s">
        <v>3857</v>
      </c>
      <c r="AA316" s="5"/>
      <c r="AB316" s="5"/>
      <c r="AC316" s="5"/>
      <c r="AD316" s="5"/>
      <c r="AE316" s="5"/>
      <c r="AF316" s="5" t="s">
        <v>3858</v>
      </c>
      <c r="AG316" s="5"/>
      <c r="AH316" s="5"/>
      <c r="AI316" s="5"/>
      <c r="AJ316" s="5" t="s">
        <v>3805</v>
      </c>
      <c r="AK316" s="5"/>
      <c r="AL316" s="5" t="s">
        <v>3858</v>
      </c>
      <c r="AM316" s="5"/>
      <c r="AN316" s="5"/>
      <c r="AO316" s="5"/>
      <c r="AP316" s="5"/>
      <c r="AQ316" s="5"/>
      <c r="AR316" s="5" t="s">
        <v>3742</v>
      </c>
      <c r="AS316" s="5" t="s">
        <v>3807</v>
      </c>
      <c r="AT316" s="5" t="s">
        <v>3744</v>
      </c>
      <c r="AU316" s="5"/>
      <c r="AV316" s="5" t="s">
        <v>178</v>
      </c>
      <c r="AW316" s="5" t="s">
        <v>3859</v>
      </c>
    </row>
    <row r="317" customFormat="false" ht="147" hidden="false" customHeight="false" outlineLevel="0" collapsed="false">
      <c r="A317" s="5" t="s">
        <v>3860</v>
      </c>
      <c r="B317" s="5" t="s">
        <v>3861</v>
      </c>
      <c r="C317" s="5" t="s">
        <v>3723</v>
      </c>
      <c r="D317" s="5" t="s">
        <v>3724</v>
      </c>
      <c r="E317" s="5" t="s">
        <v>514</v>
      </c>
      <c r="F317" s="5" t="s">
        <v>3862</v>
      </c>
      <c r="G317" s="5" t="s">
        <v>3863</v>
      </c>
      <c r="H317" s="5" t="n">
        <v>10</v>
      </c>
      <c r="I317" s="5" t="s">
        <v>274</v>
      </c>
      <c r="J317" s="5" t="s">
        <v>153</v>
      </c>
      <c r="K317" s="5" t="s">
        <v>3864</v>
      </c>
      <c r="L317" s="5" t="s">
        <v>30</v>
      </c>
      <c r="M317" s="5" t="s">
        <v>155</v>
      </c>
      <c r="N317" s="5" t="s">
        <v>1500</v>
      </c>
      <c r="O317" s="5" t="s">
        <v>157</v>
      </c>
      <c r="P317" s="5" t="s">
        <v>158</v>
      </c>
      <c r="Q317" s="5" t="s">
        <v>3728</v>
      </c>
      <c r="R317" s="5" t="s">
        <v>3729</v>
      </c>
      <c r="S317" s="5" t="s">
        <v>3730</v>
      </c>
      <c r="T317" s="5" t="s">
        <v>277</v>
      </c>
      <c r="U317" s="5" t="n">
        <v>365</v>
      </c>
      <c r="V317" s="5" t="s">
        <v>3731</v>
      </c>
      <c r="W317" s="5" t="s">
        <v>3732</v>
      </c>
      <c r="X317" s="5" t="s">
        <v>3865</v>
      </c>
      <c r="Y317" s="5" t="s">
        <v>3866</v>
      </c>
      <c r="Z317" s="5" t="s">
        <v>3867</v>
      </c>
      <c r="AA317" s="5"/>
      <c r="AB317" s="5"/>
      <c r="AC317" s="5"/>
      <c r="AD317" s="5"/>
      <c r="AE317" s="5"/>
      <c r="AF317" s="5" t="s">
        <v>3868</v>
      </c>
      <c r="AG317" s="5" t="s">
        <v>3868</v>
      </c>
      <c r="AH317" s="5"/>
      <c r="AI317" s="5"/>
      <c r="AJ317" s="5" t="s">
        <v>3869</v>
      </c>
      <c r="AK317" s="5" t="s">
        <v>685</v>
      </c>
      <c r="AL317" s="5" t="s">
        <v>3868</v>
      </c>
      <c r="AM317" s="5"/>
      <c r="AN317" s="5" t="s">
        <v>3870</v>
      </c>
      <c r="AO317" s="5"/>
      <c r="AP317" s="5"/>
      <c r="AQ317" s="5" t="s">
        <v>3868</v>
      </c>
      <c r="AR317" s="5" t="s">
        <v>1933</v>
      </c>
      <c r="AS317" s="5" t="s">
        <v>3807</v>
      </c>
      <c r="AT317" s="5" t="s">
        <v>3871</v>
      </c>
      <c r="AU317" s="5"/>
      <c r="AV317" s="5" t="s">
        <v>178</v>
      </c>
      <c r="AW317" s="5" t="s">
        <v>3808</v>
      </c>
    </row>
    <row r="318" customFormat="false" ht="169.4" hidden="false" customHeight="false" outlineLevel="0" collapsed="false">
      <c r="A318" s="5" t="s">
        <v>3872</v>
      </c>
      <c r="B318" s="5" t="s">
        <v>3873</v>
      </c>
      <c r="C318" s="5" t="s">
        <v>3723</v>
      </c>
      <c r="D318" s="5" t="s">
        <v>3724</v>
      </c>
      <c r="E318" s="5" t="s">
        <v>514</v>
      </c>
      <c r="F318" s="5" t="s">
        <v>3874</v>
      </c>
      <c r="G318" s="5" t="s">
        <v>3875</v>
      </c>
      <c r="H318" s="5" t="n">
        <v>10</v>
      </c>
      <c r="I318" s="5" t="s">
        <v>274</v>
      </c>
      <c r="J318" s="5" t="s">
        <v>153</v>
      </c>
      <c r="K318" s="5" t="s">
        <v>3876</v>
      </c>
      <c r="L318" s="5" t="s">
        <v>30</v>
      </c>
      <c r="M318" s="5" t="s">
        <v>155</v>
      </c>
      <c r="N318" s="5" t="s">
        <v>1500</v>
      </c>
      <c r="O318" s="5" t="s">
        <v>157</v>
      </c>
      <c r="P318" s="5" t="s">
        <v>158</v>
      </c>
      <c r="Q318" s="5" t="s">
        <v>3728</v>
      </c>
      <c r="R318" s="5" t="s">
        <v>3729</v>
      </c>
      <c r="S318" s="5" t="s">
        <v>3730</v>
      </c>
      <c r="T318" s="5" t="s">
        <v>277</v>
      </c>
      <c r="U318" s="5" t="n">
        <v>365</v>
      </c>
      <c r="V318" s="5" t="s">
        <v>3731</v>
      </c>
      <c r="W318" s="5" t="s">
        <v>3732</v>
      </c>
      <c r="X318" s="5" t="s">
        <v>3877</v>
      </c>
      <c r="Y318" s="5" t="s">
        <v>3878</v>
      </c>
      <c r="Z318" s="5" t="s">
        <v>3879</v>
      </c>
      <c r="AA318" s="5"/>
      <c r="AB318" s="5"/>
      <c r="AC318" s="5"/>
      <c r="AD318" s="5"/>
      <c r="AE318" s="5"/>
      <c r="AF318" s="5" t="s">
        <v>3868</v>
      </c>
      <c r="AG318" s="5" t="s">
        <v>3868</v>
      </c>
      <c r="AH318" s="5"/>
      <c r="AI318" s="5"/>
      <c r="AJ318" s="5" t="s">
        <v>3869</v>
      </c>
      <c r="AK318" s="5" t="s">
        <v>685</v>
      </c>
      <c r="AL318" s="5" t="s">
        <v>3868</v>
      </c>
      <c r="AM318" s="5"/>
      <c r="AN318" s="5" t="s">
        <v>3870</v>
      </c>
      <c r="AO318" s="5"/>
      <c r="AP318" s="5"/>
      <c r="AQ318" s="5" t="s">
        <v>3868</v>
      </c>
      <c r="AR318" s="5" t="s">
        <v>1933</v>
      </c>
      <c r="AS318" s="5" t="s">
        <v>3807</v>
      </c>
      <c r="AT318" s="5" t="s">
        <v>3880</v>
      </c>
      <c r="AU318" s="5"/>
      <c r="AV318" s="5" t="s">
        <v>178</v>
      </c>
      <c r="AW318" s="5" t="s">
        <v>3808</v>
      </c>
    </row>
    <row r="319" customFormat="false" ht="147" hidden="false" customHeight="false" outlineLevel="0" collapsed="false">
      <c r="A319" s="5" t="s">
        <v>3881</v>
      </c>
      <c r="B319" s="5" t="s">
        <v>3882</v>
      </c>
      <c r="C319" s="5" t="s">
        <v>3723</v>
      </c>
      <c r="D319" s="5" t="s">
        <v>3724</v>
      </c>
      <c r="E319" s="5" t="s">
        <v>514</v>
      </c>
      <c r="F319" s="5" t="s">
        <v>3883</v>
      </c>
      <c r="G319" s="5" t="s">
        <v>3884</v>
      </c>
      <c r="H319" s="5" t="n">
        <v>9</v>
      </c>
      <c r="I319" s="5" t="s">
        <v>274</v>
      </c>
      <c r="J319" s="5" t="s">
        <v>153</v>
      </c>
      <c r="K319" s="5" t="s">
        <v>3885</v>
      </c>
      <c r="L319" s="5" t="s">
        <v>30</v>
      </c>
      <c r="M319" s="5" t="s">
        <v>155</v>
      </c>
      <c r="N319" s="5" t="s">
        <v>3814</v>
      </c>
      <c r="O319" s="5" t="s">
        <v>157</v>
      </c>
      <c r="P319" s="5" t="s">
        <v>158</v>
      </c>
      <c r="Q319" s="5" t="s">
        <v>3728</v>
      </c>
      <c r="R319" s="5" t="s">
        <v>3729</v>
      </c>
      <c r="S319" s="5" t="s">
        <v>3730</v>
      </c>
      <c r="T319" s="5" t="s">
        <v>277</v>
      </c>
      <c r="U319" s="5" t="n">
        <v>365</v>
      </c>
      <c r="V319" s="5" t="s">
        <v>3731</v>
      </c>
      <c r="W319" s="5" t="s">
        <v>3732</v>
      </c>
      <c r="X319" s="5" t="s">
        <v>3886</v>
      </c>
      <c r="Y319" s="5" t="s">
        <v>3887</v>
      </c>
      <c r="Z319" s="5" t="s">
        <v>3888</v>
      </c>
      <c r="AA319" s="5"/>
      <c r="AB319" s="5"/>
      <c r="AC319" s="5"/>
      <c r="AD319" s="5"/>
      <c r="AE319" s="5"/>
      <c r="AF319" s="5" t="s">
        <v>3889</v>
      </c>
      <c r="AG319" s="5" t="s">
        <v>3889</v>
      </c>
      <c r="AH319" s="5"/>
      <c r="AI319" s="5"/>
      <c r="AJ319" s="5" t="s">
        <v>3869</v>
      </c>
      <c r="AK319" s="5"/>
      <c r="AL319" s="5" t="s">
        <v>3889</v>
      </c>
      <c r="AM319" s="5"/>
      <c r="AN319" s="5"/>
      <c r="AO319" s="5"/>
      <c r="AP319" s="5"/>
      <c r="AQ319" s="5" t="s">
        <v>3889</v>
      </c>
      <c r="AR319" s="5" t="s">
        <v>1933</v>
      </c>
      <c r="AS319" s="5" t="s">
        <v>3807</v>
      </c>
      <c r="AT319" s="5" t="s">
        <v>3890</v>
      </c>
      <c r="AU319" s="5"/>
      <c r="AV319" s="5" t="s">
        <v>178</v>
      </c>
      <c r="AW319" s="5" t="s">
        <v>3808</v>
      </c>
    </row>
    <row r="320" customFormat="false" ht="124.6" hidden="false" customHeight="false" outlineLevel="0" collapsed="false">
      <c r="A320" s="5" t="s">
        <v>3891</v>
      </c>
      <c r="B320" s="5" t="s">
        <v>3892</v>
      </c>
      <c r="C320" s="5" t="s">
        <v>3723</v>
      </c>
      <c r="D320" s="5" t="s">
        <v>3724</v>
      </c>
      <c r="E320" s="5" t="s">
        <v>514</v>
      </c>
      <c r="F320" s="5" t="s">
        <v>3893</v>
      </c>
      <c r="G320" s="5" t="s">
        <v>3894</v>
      </c>
      <c r="H320" s="5" t="n">
        <v>10</v>
      </c>
      <c r="I320" s="5" t="s">
        <v>274</v>
      </c>
      <c r="J320" s="5" t="s">
        <v>153</v>
      </c>
      <c r="K320" s="5" t="s">
        <v>3876</v>
      </c>
      <c r="L320" s="5" t="s">
        <v>30</v>
      </c>
      <c r="M320" s="5" t="s">
        <v>155</v>
      </c>
      <c r="N320" s="5" t="s">
        <v>3895</v>
      </c>
      <c r="O320" s="5" t="s">
        <v>157</v>
      </c>
      <c r="P320" s="5" t="s">
        <v>158</v>
      </c>
      <c r="Q320" s="5" t="s">
        <v>3728</v>
      </c>
      <c r="R320" s="5" t="s">
        <v>3729</v>
      </c>
      <c r="S320" s="5" t="s">
        <v>3730</v>
      </c>
      <c r="T320" s="5" t="s">
        <v>277</v>
      </c>
      <c r="U320" s="5" t="n">
        <v>365</v>
      </c>
      <c r="V320" s="5" t="s">
        <v>3731</v>
      </c>
      <c r="W320" s="5" t="s">
        <v>3732</v>
      </c>
      <c r="X320" s="5" t="s">
        <v>3896</v>
      </c>
      <c r="Y320" s="5" t="s">
        <v>3897</v>
      </c>
      <c r="Z320" s="5" t="s">
        <v>3898</v>
      </c>
      <c r="AA320" s="5"/>
      <c r="AB320" s="5"/>
      <c r="AC320" s="5"/>
      <c r="AD320" s="5"/>
      <c r="AE320" s="5"/>
      <c r="AF320" s="5" t="s">
        <v>3868</v>
      </c>
      <c r="AG320" s="5" t="s">
        <v>3868</v>
      </c>
      <c r="AH320" s="5"/>
      <c r="AI320" s="5"/>
      <c r="AJ320" s="5" t="s">
        <v>3869</v>
      </c>
      <c r="AK320" s="5"/>
      <c r="AL320" s="5" t="s">
        <v>3868</v>
      </c>
      <c r="AM320" s="5"/>
      <c r="AN320" s="5" t="s">
        <v>3870</v>
      </c>
      <c r="AO320" s="5"/>
      <c r="AP320" s="5"/>
      <c r="AQ320" s="5" t="s">
        <v>3868</v>
      </c>
      <c r="AR320" s="5" t="s">
        <v>1933</v>
      </c>
      <c r="AS320" s="5" t="s">
        <v>3807</v>
      </c>
      <c r="AT320" s="5" t="s">
        <v>3890</v>
      </c>
      <c r="AU320" s="5"/>
      <c r="AV320" s="5" t="s">
        <v>178</v>
      </c>
      <c r="AW320" s="5" t="s">
        <v>3808</v>
      </c>
    </row>
    <row r="321" customFormat="false" ht="113.4" hidden="false" customHeight="false" outlineLevel="0" collapsed="false">
      <c r="A321" s="5" t="s">
        <v>3899</v>
      </c>
      <c r="B321" s="5" t="s">
        <v>3900</v>
      </c>
      <c r="C321" s="5" t="s">
        <v>3723</v>
      </c>
      <c r="D321" s="5" t="s">
        <v>3724</v>
      </c>
      <c r="E321" s="5" t="s">
        <v>514</v>
      </c>
      <c r="F321" s="5" t="s">
        <v>3901</v>
      </c>
      <c r="G321" s="5" t="s">
        <v>3902</v>
      </c>
      <c r="H321" s="5" t="n">
        <v>9</v>
      </c>
      <c r="I321" s="5" t="s">
        <v>274</v>
      </c>
      <c r="J321" s="5" t="s">
        <v>153</v>
      </c>
      <c r="K321" s="5" t="s">
        <v>3876</v>
      </c>
      <c r="L321" s="5" t="s">
        <v>55</v>
      </c>
      <c r="M321" s="5" t="s">
        <v>185</v>
      </c>
      <c r="N321" s="5" t="s">
        <v>430</v>
      </c>
      <c r="O321" s="5" t="s">
        <v>187</v>
      </c>
      <c r="P321" s="5" t="s">
        <v>158</v>
      </c>
      <c r="Q321" s="5" t="s">
        <v>3728</v>
      </c>
      <c r="R321" s="5" t="s">
        <v>3729</v>
      </c>
      <c r="S321" s="5" t="s">
        <v>3730</v>
      </c>
      <c r="T321" s="5" t="s">
        <v>277</v>
      </c>
      <c r="U321" s="5" t="n">
        <v>365</v>
      </c>
      <c r="V321" s="5" t="s">
        <v>3731</v>
      </c>
      <c r="W321" s="5" t="s">
        <v>3732</v>
      </c>
      <c r="X321" s="5" t="s">
        <v>3903</v>
      </c>
      <c r="Y321" s="5" t="s">
        <v>3904</v>
      </c>
      <c r="Z321" s="5" t="s">
        <v>3905</v>
      </c>
      <c r="AA321" s="5"/>
      <c r="AB321" s="5"/>
      <c r="AC321" s="5"/>
      <c r="AD321" s="5"/>
      <c r="AE321" s="5"/>
      <c r="AF321" s="5"/>
      <c r="AG321" s="5"/>
      <c r="AH321" s="5"/>
      <c r="AI321" s="5"/>
      <c r="AJ321" s="5" t="s">
        <v>3869</v>
      </c>
      <c r="AK321" s="5"/>
      <c r="AL321" s="5"/>
      <c r="AM321" s="5"/>
      <c r="AN321" s="5"/>
      <c r="AO321" s="5"/>
      <c r="AP321" s="5" t="s">
        <v>970</v>
      </c>
      <c r="AQ321" s="5"/>
      <c r="AR321" s="5"/>
      <c r="AS321" s="5" t="s">
        <v>3807</v>
      </c>
      <c r="AT321" s="5"/>
      <c r="AU321" s="5"/>
      <c r="AV321" s="5" t="s">
        <v>178</v>
      </c>
      <c r="AW321" s="5" t="s">
        <v>3808</v>
      </c>
    </row>
    <row r="322" customFormat="false" ht="113.4" hidden="false" customHeight="false" outlineLevel="0" collapsed="false">
      <c r="A322" s="5" t="s">
        <v>3906</v>
      </c>
      <c r="B322" s="5" t="s">
        <v>3907</v>
      </c>
      <c r="C322" s="5" t="s">
        <v>3723</v>
      </c>
      <c r="D322" s="5" t="s">
        <v>3724</v>
      </c>
      <c r="E322" s="5" t="s">
        <v>514</v>
      </c>
      <c r="F322" s="5" t="s">
        <v>3908</v>
      </c>
      <c r="G322" s="5" t="s">
        <v>3909</v>
      </c>
      <c r="H322" s="5" t="n">
        <v>9</v>
      </c>
      <c r="I322" s="5" t="s">
        <v>274</v>
      </c>
      <c r="J322" s="5" t="s">
        <v>153</v>
      </c>
      <c r="K322" s="5" t="s">
        <v>3876</v>
      </c>
      <c r="L322" s="5" t="s">
        <v>55</v>
      </c>
      <c r="M322" s="5" t="s">
        <v>185</v>
      </c>
      <c r="N322" s="5" t="s">
        <v>439</v>
      </c>
      <c r="O322" s="5" t="s">
        <v>187</v>
      </c>
      <c r="P322" s="5" t="s">
        <v>158</v>
      </c>
      <c r="Q322" s="5" t="s">
        <v>3728</v>
      </c>
      <c r="R322" s="5" t="s">
        <v>3729</v>
      </c>
      <c r="S322" s="5" t="s">
        <v>3730</v>
      </c>
      <c r="T322" s="5" t="s">
        <v>277</v>
      </c>
      <c r="U322" s="5" t="n">
        <v>365</v>
      </c>
      <c r="V322" s="5" t="s">
        <v>3731</v>
      </c>
      <c r="W322" s="5" t="s">
        <v>3732</v>
      </c>
      <c r="X322" s="5" t="s">
        <v>3910</v>
      </c>
      <c r="Y322" s="5" t="s">
        <v>3897</v>
      </c>
      <c r="Z322" s="5" t="s">
        <v>3911</v>
      </c>
      <c r="AA322" s="5"/>
      <c r="AB322" s="5"/>
      <c r="AC322" s="5"/>
      <c r="AD322" s="5"/>
      <c r="AE322" s="5"/>
      <c r="AF322" s="5"/>
      <c r="AG322" s="5"/>
      <c r="AH322" s="5"/>
      <c r="AI322" s="5"/>
      <c r="AJ322" s="5" t="s">
        <v>3869</v>
      </c>
      <c r="AK322" s="5"/>
      <c r="AL322" s="5"/>
      <c r="AM322" s="5"/>
      <c r="AN322" s="5"/>
      <c r="AO322" s="5"/>
      <c r="AP322" s="5"/>
      <c r="AQ322" s="5"/>
      <c r="AR322" s="5"/>
      <c r="AS322" s="5" t="s">
        <v>3807</v>
      </c>
      <c r="AT322" s="5" t="s">
        <v>3912</v>
      </c>
      <c r="AU322" s="5"/>
      <c r="AV322" s="5" t="s">
        <v>178</v>
      </c>
      <c r="AW322" s="5" t="s">
        <v>3808</v>
      </c>
    </row>
    <row r="323" customFormat="false" ht="135.8" hidden="false" customHeight="false" outlineLevel="0" collapsed="false">
      <c r="A323" s="5" t="s">
        <v>3913</v>
      </c>
      <c r="B323" s="5" t="s">
        <v>3914</v>
      </c>
      <c r="C323" s="5" t="s">
        <v>3723</v>
      </c>
      <c r="D323" s="5" t="s">
        <v>3724</v>
      </c>
      <c r="E323" s="5" t="s">
        <v>514</v>
      </c>
      <c r="F323" s="5" t="s">
        <v>3915</v>
      </c>
      <c r="G323" s="5" t="s">
        <v>3916</v>
      </c>
      <c r="H323" s="5" t="n">
        <v>8</v>
      </c>
      <c r="I323" s="5" t="s">
        <v>274</v>
      </c>
      <c r="J323" s="5" t="s">
        <v>153</v>
      </c>
      <c r="K323" s="5" t="s">
        <v>3917</v>
      </c>
      <c r="L323" s="5" t="s">
        <v>55</v>
      </c>
      <c r="M323" s="5" t="s">
        <v>185</v>
      </c>
      <c r="N323" s="5" t="s">
        <v>186</v>
      </c>
      <c r="O323" s="5" t="s">
        <v>187</v>
      </c>
      <c r="P323" s="5" t="s">
        <v>158</v>
      </c>
      <c r="Q323" s="5" t="s">
        <v>3728</v>
      </c>
      <c r="R323" s="5" t="s">
        <v>3729</v>
      </c>
      <c r="S323" s="5" t="s">
        <v>3730</v>
      </c>
      <c r="T323" s="5" t="s">
        <v>277</v>
      </c>
      <c r="U323" s="5" t="n">
        <v>365</v>
      </c>
      <c r="V323" s="5" t="s">
        <v>3731</v>
      </c>
      <c r="W323" s="5" t="s">
        <v>3732</v>
      </c>
      <c r="X323" s="5" t="s">
        <v>3918</v>
      </c>
      <c r="Y323" s="5" t="s">
        <v>3919</v>
      </c>
      <c r="Z323" s="5" t="s">
        <v>3920</v>
      </c>
      <c r="AA323" s="5"/>
      <c r="AB323" s="5"/>
      <c r="AC323" s="5"/>
      <c r="AD323" s="5"/>
      <c r="AE323" s="5"/>
      <c r="AF323" s="5"/>
      <c r="AG323" s="5"/>
      <c r="AH323" s="5"/>
      <c r="AI323" s="5"/>
      <c r="AJ323" s="5" t="s">
        <v>3869</v>
      </c>
      <c r="AK323" s="5" t="s">
        <v>3921</v>
      </c>
      <c r="AL323" s="5"/>
      <c r="AM323" s="5"/>
      <c r="AN323" s="5"/>
      <c r="AO323" s="5"/>
      <c r="AP323" s="5"/>
      <c r="AQ323" s="5"/>
      <c r="AR323" s="5"/>
      <c r="AS323" s="5" t="s">
        <v>3922</v>
      </c>
      <c r="AT323" s="5"/>
      <c r="AU323" s="5"/>
      <c r="AV323" s="5" t="s">
        <v>178</v>
      </c>
      <c r="AW323" s="5" t="s">
        <v>3923</v>
      </c>
    </row>
    <row r="324" customFormat="false" ht="169.4" hidden="false" customHeight="false" outlineLevel="0" collapsed="false">
      <c r="A324" s="5" t="s">
        <v>3924</v>
      </c>
      <c r="B324" s="5" t="s">
        <v>3925</v>
      </c>
      <c r="C324" s="5" t="s">
        <v>3723</v>
      </c>
      <c r="D324" s="5" t="s">
        <v>3724</v>
      </c>
      <c r="E324" s="5" t="s">
        <v>514</v>
      </c>
      <c r="F324" s="5" t="s">
        <v>3926</v>
      </c>
      <c r="G324" s="5" t="s">
        <v>3927</v>
      </c>
      <c r="H324" s="5" t="n">
        <v>10</v>
      </c>
      <c r="I324" s="5" t="s">
        <v>274</v>
      </c>
      <c r="J324" s="5" t="s">
        <v>153</v>
      </c>
      <c r="K324" s="5" t="s">
        <v>3928</v>
      </c>
      <c r="L324" s="5" t="s">
        <v>30</v>
      </c>
      <c r="M324" s="5" t="s">
        <v>155</v>
      </c>
      <c r="N324" s="5" t="s">
        <v>3895</v>
      </c>
      <c r="O324" s="5" t="s">
        <v>157</v>
      </c>
      <c r="P324" s="5" t="s">
        <v>158</v>
      </c>
      <c r="Q324" s="5" t="s">
        <v>3728</v>
      </c>
      <c r="R324" s="5" t="s">
        <v>3729</v>
      </c>
      <c r="S324" s="5" t="s">
        <v>3730</v>
      </c>
      <c r="T324" s="5" t="s">
        <v>277</v>
      </c>
      <c r="U324" s="5" t="n">
        <v>365</v>
      </c>
      <c r="V324" s="5" t="s">
        <v>3731</v>
      </c>
      <c r="W324" s="5" t="s">
        <v>3732</v>
      </c>
      <c r="X324" s="5" t="s">
        <v>3929</v>
      </c>
      <c r="Y324" s="5" t="s">
        <v>3930</v>
      </c>
      <c r="Z324" s="5" t="s">
        <v>3931</v>
      </c>
      <c r="AA324" s="5"/>
      <c r="AB324" s="5"/>
      <c r="AC324" s="5"/>
      <c r="AD324" s="5"/>
      <c r="AE324" s="5"/>
      <c r="AF324" s="5" t="s">
        <v>3932</v>
      </c>
      <c r="AG324" s="5" t="s">
        <v>3933</v>
      </c>
      <c r="AH324" s="5"/>
      <c r="AI324" s="5"/>
      <c r="AJ324" s="5" t="s">
        <v>3869</v>
      </c>
      <c r="AK324" s="5"/>
      <c r="AL324" s="5" t="s">
        <v>3932</v>
      </c>
      <c r="AM324" s="5"/>
      <c r="AN324" s="5" t="s">
        <v>3934</v>
      </c>
      <c r="AO324" s="5"/>
      <c r="AP324" s="5"/>
      <c r="AQ324" s="5" t="s">
        <v>3932</v>
      </c>
      <c r="AR324" s="5" t="s">
        <v>3742</v>
      </c>
      <c r="AS324" s="5"/>
      <c r="AT324" s="5" t="s">
        <v>3935</v>
      </c>
      <c r="AU324" s="5"/>
      <c r="AV324" s="5" t="s">
        <v>178</v>
      </c>
      <c r="AW324" s="5" t="s">
        <v>3936</v>
      </c>
    </row>
    <row r="325" customFormat="false" ht="214.15" hidden="false" customHeight="false" outlineLevel="0" collapsed="false">
      <c r="A325" s="5" t="s">
        <v>3937</v>
      </c>
      <c r="B325" s="5" t="s">
        <v>3938</v>
      </c>
      <c r="C325" s="5" t="s">
        <v>3723</v>
      </c>
      <c r="D325" s="5" t="s">
        <v>3724</v>
      </c>
      <c r="E325" s="5" t="s">
        <v>514</v>
      </c>
      <c r="F325" s="5" t="s">
        <v>3939</v>
      </c>
      <c r="G325" s="5" t="s">
        <v>3940</v>
      </c>
      <c r="H325" s="5" t="n">
        <v>10</v>
      </c>
      <c r="I325" s="5" t="s">
        <v>274</v>
      </c>
      <c r="J325" s="5" t="s">
        <v>153</v>
      </c>
      <c r="K325" s="5" t="s">
        <v>3941</v>
      </c>
      <c r="L325" s="5" t="s">
        <v>30</v>
      </c>
      <c r="M325" s="5" t="s">
        <v>155</v>
      </c>
      <c r="N325" s="5" t="s">
        <v>619</v>
      </c>
      <c r="O325" s="5" t="s">
        <v>157</v>
      </c>
      <c r="P325" s="5" t="s">
        <v>158</v>
      </c>
      <c r="Q325" s="5" t="s">
        <v>3728</v>
      </c>
      <c r="R325" s="5" t="s">
        <v>3729</v>
      </c>
      <c r="S325" s="5" t="s">
        <v>3730</v>
      </c>
      <c r="T325" s="5" t="s">
        <v>277</v>
      </c>
      <c r="U325" s="5" t="n">
        <v>365</v>
      </c>
      <c r="V325" s="5" t="s">
        <v>3731</v>
      </c>
      <c r="W325" s="5" t="s">
        <v>3732</v>
      </c>
      <c r="X325" s="5" t="s">
        <v>3942</v>
      </c>
      <c r="Y325" s="5" t="s">
        <v>3943</v>
      </c>
      <c r="Z325" s="5" t="s">
        <v>3944</v>
      </c>
      <c r="AA325" s="5"/>
      <c r="AB325" s="5"/>
      <c r="AC325" s="5"/>
      <c r="AD325" s="5"/>
      <c r="AE325" s="5"/>
      <c r="AF325" s="5" t="s">
        <v>3932</v>
      </c>
      <c r="AG325" s="5" t="s">
        <v>3933</v>
      </c>
      <c r="AH325" s="5"/>
      <c r="AI325" s="5"/>
      <c r="AJ325" s="5"/>
      <c r="AK325" s="5"/>
      <c r="AL325" s="5" t="s">
        <v>3932</v>
      </c>
      <c r="AM325" s="5"/>
      <c r="AN325" s="5" t="s">
        <v>3934</v>
      </c>
      <c r="AO325" s="5"/>
      <c r="AP325" s="5"/>
      <c r="AQ325" s="5" t="s">
        <v>3932</v>
      </c>
      <c r="AR325" s="5" t="s">
        <v>3742</v>
      </c>
      <c r="AS325" s="5"/>
      <c r="AT325" s="5" t="s">
        <v>3945</v>
      </c>
      <c r="AU325" s="5"/>
      <c r="AV325" s="5" t="s">
        <v>178</v>
      </c>
      <c r="AW325" s="5" t="s">
        <v>3936</v>
      </c>
    </row>
    <row r="326" customFormat="false" ht="214.15" hidden="false" customHeight="false" outlineLevel="0" collapsed="false">
      <c r="A326" s="5" t="s">
        <v>3946</v>
      </c>
      <c r="B326" s="5" t="s">
        <v>3947</v>
      </c>
      <c r="C326" s="5" t="s">
        <v>3723</v>
      </c>
      <c r="D326" s="5" t="s">
        <v>3724</v>
      </c>
      <c r="E326" s="5" t="s">
        <v>1298</v>
      </c>
      <c r="F326" s="5" t="s">
        <v>3948</v>
      </c>
      <c r="G326" s="5" t="s">
        <v>3949</v>
      </c>
      <c r="H326" s="5" t="n">
        <v>9</v>
      </c>
      <c r="I326" s="5" t="s">
        <v>274</v>
      </c>
      <c r="J326" s="5" t="s">
        <v>153</v>
      </c>
      <c r="K326" s="5" t="s">
        <v>3950</v>
      </c>
      <c r="L326" s="5" t="s">
        <v>30</v>
      </c>
      <c r="M326" s="5" t="s">
        <v>155</v>
      </c>
      <c r="N326" s="5" t="s">
        <v>3951</v>
      </c>
      <c r="O326" s="5" t="s">
        <v>157</v>
      </c>
      <c r="P326" s="5" t="s">
        <v>158</v>
      </c>
      <c r="Q326" s="5" t="s">
        <v>3728</v>
      </c>
      <c r="R326" s="5" t="s">
        <v>3729</v>
      </c>
      <c r="S326" s="5" t="s">
        <v>3730</v>
      </c>
      <c r="T326" s="5" t="s">
        <v>277</v>
      </c>
      <c r="U326" s="5" t="n">
        <v>365</v>
      </c>
      <c r="V326" s="5" t="s">
        <v>3731</v>
      </c>
      <c r="W326" s="5" t="s">
        <v>3732</v>
      </c>
      <c r="X326" s="5" t="s">
        <v>3952</v>
      </c>
      <c r="Y326" s="5" t="s">
        <v>3953</v>
      </c>
      <c r="Z326" s="5" t="s">
        <v>3954</v>
      </c>
      <c r="AA326" s="5"/>
      <c r="AB326" s="5"/>
      <c r="AC326" s="5"/>
      <c r="AD326" s="5"/>
      <c r="AE326" s="5"/>
      <c r="AF326" s="5" t="s">
        <v>3955</v>
      </c>
      <c r="AG326" s="5" t="s">
        <v>3955</v>
      </c>
      <c r="AH326" s="5"/>
      <c r="AI326" s="5"/>
      <c r="AJ326" s="5" t="s">
        <v>3956</v>
      </c>
      <c r="AK326" s="5" t="s">
        <v>3921</v>
      </c>
      <c r="AL326" s="5" t="s">
        <v>3955</v>
      </c>
      <c r="AM326" s="5"/>
      <c r="AN326" s="5"/>
      <c r="AO326" s="5"/>
      <c r="AP326" s="5"/>
      <c r="AQ326" s="5"/>
      <c r="AR326" s="5" t="s">
        <v>3742</v>
      </c>
      <c r="AS326" s="5"/>
      <c r="AT326" s="5" t="s">
        <v>3957</v>
      </c>
      <c r="AU326" s="5"/>
      <c r="AV326" s="5" t="s">
        <v>178</v>
      </c>
      <c r="AW326" s="5" t="s">
        <v>3745</v>
      </c>
    </row>
    <row r="327" customFormat="false" ht="113.4" hidden="false" customHeight="false" outlineLevel="0" collapsed="false">
      <c r="A327" s="5" t="s">
        <v>3958</v>
      </c>
      <c r="B327" s="5" t="s">
        <v>3959</v>
      </c>
      <c r="C327" s="5" t="s">
        <v>3723</v>
      </c>
      <c r="D327" s="5" t="s">
        <v>3724</v>
      </c>
      <c r="E327" s="5" t="s">
        <v>1298</v>
      </c>
      <c r="F327" s="5" t="s">
        <v>3960</v>
      </c>
      <c r="G327" s="5" t="s">
        <v>3961</v>
      </c>
      <c r="H327" s="5" t="n">
        <v>8</v>
      </c>
      <c r="I327" s="5" t="s">
        <v>274</v>
      </c>
      <c r="J327" s="5" t="s">
        <v>153</v>
      </c>
      <c r="K327" s="5"/>
      <c r="L327" s="5" t="s">
        <v>55</v>
      </c>
      <c r="M327" s="5" t="s">
        <v>185</v>
      </c>
      <c r="N327" s="5" t="s">
        <v>439</v>
      </c>
      <c r="O327" s="5" t="s">
        <v>187</v>
      </c>
      <c r="P327" s="5" t="s">
        <v>158</v>
      </c>
      <c r="Q327" s="5" t="s">
        <v>3728</v>
      </c>
      <c r="R327" s="5" t="s">
        <v>3729</v>
      </c>
      <c r="S327" s="5" t="s">
        <v>3730</v>
      </c>
      <c r="T327" s="5" t="s">
        <v>277</v>
      </c>
      <c r="U327" s="5" t="n">
        <v>365</v>
      </c>
      <c r="V327" s="5" t="s">
        <v>3731</v>
      </c>
      <c r="W327" s="5" t="s">
        <v>3732</v>
      </c>
      <c r="X327" s="5" t="s">
        <v>3962</v>
      </c>
      <c r="Y327" s="5" t="s">
        <v>3963</v>
      </c>
      <c r="Z327" s="5" t="s">
        <v>3964</v>
      </c>
      <c r="AA327" s="5"/>
      <c r="AB327" s="5"/>
      <c r="AC327" s="5"/>
      <c r="AD327" s="5"/>
      <c r="AE327" s="5"/>
      <c r="AF327" s="5"/>
      <c r="AG327" s="5"/>
      <c r="AH327" s="5"/>
      <c r="AI327" s="5"/>
      <c r="AJ327" s="5" t="s">
        <v>3956</v>
      </c>
      <c r="AK327" s="5"/>
      <c r="AL327" s="5"/>
      <c r="AM327" s="5"/>
      <c r="AN327" s="5"/>
      <c r="AO327" s="5"/>
      <c r="AP327" s="5"/>
      <c r="AQ327" s="5"/>
      <c r="AR327" s="5"/>
      <c r="AS327" s="5"/>
      <c r="AT327" s="5" t="s">
        <v>3957</v>
      </c>
      <c r="AU327" s="5"/>
      <c r="AV327" s="5" t="s">
        <v>178</v>
      </c>
      <c r="AW327" s="5" t="s">
        <v>3745</v>
      </c>
    </row>
    <row r="328" customFormat="false" ht="202.95" hidden="false" customHeight="false" outlineLevel="0" collapsed="false">
      <c r="A328" s="5" t="s">
        <v>3965</v>
      </c>
      <c r="B328" s="5" t="s">
        <v>3966</v>
      </c>
      <c r="C328" s="5" t="s">
        <v>3723</v>
      </c>
      <c r="D328" s="5" t="s">
        <v>3724</v>
      </c>
      <c r="E328" s="5" t="s">
        <v>514</v>
      </c>
      <c r="F328" s="5" t="s">
        <v>3967</v>
      </c>
      <c r="G328" s="5" t="s">
        <v>3968</v>
      </c>
      <c r="H328" s="5" t="n">
        <v>9</v>
      </c>
      <c r="I328" s="5" t="s">
        <v>274</v>
      </c>
      <c r="J328" s="5" t="s">
        <v>153</v>
      </c>
      <c r="K328" s="5" t="s">
        <v>3969</v>
      </c>
      <c r="L328" s="5" t="s">
        <v>30</v>
      </c>
      <c r="M328" s="5" t="s">
        <v>155</v>
      </c>
      <c r="N328" s="5" t="s">
        <v>3970</v>
      </c>
      <c r="O328" s="5" t="s">
        <v>157</v>
      </c>
      <c r="P328" s="5" t="s">
        <v>158</v>
      </c>
      <c r="Q328" s="5" t="s">
        <v>3728</v>
      </c>
      <c r="R328" s="5" t="s">
        <v>3729</v>
      </c>
      <c r="S328" s="5" t="s">
        <v>3730</v>
      </c>
      <c r="T328" s="5" t="s">
        <v>277</v>
      </c>
      <c r="U328" s="5" t="n">
        <v>365</v>
      </c>
      <c r="V328" s="5" t="s">
        <v>3731</v>
      </c>
      <c r="W328" s="5" t="s">
        <v>3732</v>
      </c>
      <c r="X328" s="5" t="s">
        <v>3971</v>
      </c>
      <c r="Y328" s="5" t="s">
        <v>3972</v>
      </c>
      <c r="Z328" s="5" t="s">
        <v>3973</v>
      </c>
      <c r="AA328" s="5"/>
      <c r="AB328" s="5"/>
      <c r="AC328" s="5"/>
      <c r="AD328" s="5"/>
      <c r="AE328" s="5"/>
      <c r="AF328" s="5" t="s">
        <v>3974</v>
      </c>
      <c r="AG328" s="5" t="s">
        <v>3974</v>
      </c>
      <c r="AH328" s="5"/>
      <c r="AI328" s="5" t="s">
        <v>3975</v>
      </c>
      <c r="AJ328" s="5" t="s">
        <v>3976</v>
      </c>
      <c r="AK328" s="5"/>
      <c r="AL328" s="5" t="s">
        <v>3974</v>
      </c>
      <c r="AM328" s="5"/>
      <c r="AN328" s="5"/>
      <c r="AO328" s="5"/>
      <c r="AP328" s="5"/>
      <c r="AQ328" s="5"/>
      <c r="AR328" s="5" t="s">
        <v>3742</v>
      </c>
      <c r="AS328" s="5"/>
      <c r="AT328" s="5" t="s">
        <v>3977</v>
      </c>
      <c r="AU328" s="5"/>
      <c r="AV328" s="5" t="s">
        <v>178</v>
      </c>
      <c r="AW328" s="5" t="s">
        <v>3745</v>
      </c>
    </row>
    <row r="329" customFormat="false" ht="191.75" hidden="false" customHeight="false" outlineLevel="0" collapsed="false">
      <c r="A329" s="5" t="s">
        <v>3978</v>
      </c>
      <c r="B329" s="5" t="s">
        <v>3979</v>
      </c>
      <c r="C329" s="5" t="s">
        <v>3723</v>
      </c>
      <c r="D329" s="5" t="s">
        <v>3724</v>
      </c>
      <c r="E329" s="5" t="s">
        <v>626</v>
      </c>
      <c r="F329" s="5" t="s">
        <v>3980</v>
      </c>
      <c r="G329" s="5" t="s">
        <v>3981</v>
      </c>
      <c r="H329" s="5" t="n">
        <v>9</v>
      </c>
      <c r="I329" s="5" t="s">
        <v>274</v>
      </c>
      <c r="J329" s="5" t="s">
        <v>153</v>
      </c>
      <c r="K329" s="5" t="s">
        <v>3982</v>
      </c>
      <c r="L329" s="5" t="s">
        <v>30</v>
      </c>
      <c r="M329" s="5" t="s">
        <v>155</v>
      </c>
      <c r="N329" s="5" t="s">
        <v>3970</v>
      </c>
      <c r="O329" s="5" t="s">
        <v>157</v>
      </c>
      <c r="P329" s="5" t="s">
        <v>158</v>
      </c>
      <c r="Q329" s="5" t="s">
        <v>3728</v>
      </c>
      <c r="R329" s="5" t="s">
        <v>3729</v>
      </c>
      <c r="S329" s="5" t="s">
        <v>3730</v>
      </c>
      <c r="T329" s="5" t="s">
        <v>277</v>
      </c>
      <c r="U329" s="5" t="n">
        <v>365</v>
      </c>
      <c r="V329" s="5" t="s">
        <v>3731</v>
      </c>
      <c r="W329" s="5" t="s">
        <v>3732</v>
      </c>
      <c r="X329" s="5" t="s">
        <v>3983</v>
      </c>
      <c r="Y329" s="5" t="s">
        <v>3984</v>
      </c>
      <c r="Z329" s="5" t="s">
        <v>3985</v>
      </c>
      <c r="AA329" s="5"/>
      <c r="AB329" s="5"/>
      <c r="AC329" s="5"/>
      <c r="AD329" s="5"/>
      <c r="AE329" s="5"/>
      <c r="AF329" s="5" t="s">
        <v>3986</v>
      </c>
      <c r="AG329" s="5" t="s">
        <v>3986</v>
      </c>
      <c r="AH329" s="5"/>
      <c r="AI329" s="5" t="s">
        <v>3975</v>
      </c>
      <c r="AJ329" s="5" t="s">
        <v>3987</v>
      </c>
      <c r="AK329" s="5"/>
      <c r="AL329" s="5" t="s">
        <v>3986</v>
      </c>
      <c r="AM329" s="5"/>
      <c r="AN329" s="5"/>
      <c r="AO329" s="5"/>
      <c r="AP329" s="5"/>
      <c r="AQ329" s="5"/>
      <c r="AR329" s="5" t="s">
        <v>3742</v>
      </c>
      <c r="AS329" s="5"/>
      <c r="AT329" s="5" t="s">
        <v>3977</v>
      </c>
      <c r="AU329" s="5"/>
      <c r="AV329" s="5" t="s">
        <v>178</v>
      </c>
      <c r="AW329" s="5" t="s">
        <v>3745</v>
      </c>
    </row>
    <row r="330" customFormat="false" ht="169.4" hidden="false" customHeight="false" outlineLevel="0" collapsed="false">
      <c r="A330" s="5" t="s">
        <v>3988</v>
      </c>
      <c r="B330" s="5" t="s">
        <v>3989</v>
      </c>
      <c r="C330" s="5" t="s">
        <v>3723</v>
      </c>
      <c r="D330" s="5" t="s">
        <v>3724</v>
      </c>
      <c r="E330" s="5" t="s">
        <v>626</v>
      </c>
      <c r="F330" s="5" t="s">
        <v>3990</v>
      </c>
      <c r="G330" s="5" t="s">
        <v>3991</v>
      </c>
      <c r="H330" s="5" t="n">
        <v>9</v>
      </c>
      <c r="I330" s="5" t="s">
        <v>274</v>
      </c>
      <c r="J330" s="5" t="s">
        <v>153</v>
      </c>
      <c r="K330" s="5" t="s">
        <v>3992</v>
      </c>
      <c r="L330" s="5" t="s">
        <v>30</v>
      </c>
      <c r="M330" s="5" t="s">
        <v>155</v>
      </c>
      <c r="N330" s="5" t="s">
        <v>994</v>
      </c>
      <c r="O330" s="5" t="s">
        <v>157</v>
      </c>
      <c r="P330" s="5" t="s">
        <v>158</v>
      </c>
      <c r="Q330" s="5" t="s">
        <v>3728</v>
      </c>
      <c r="R330" s="5" t="s">
        <v>3729</v>
      </c>
      <c r="S330" s="5" t="s">
        <v>3730</v>
      </c>
      <c r="T330" s="5" t="s">
        <v>277</v>
      </c>
      <c r="U330" s="5" t="n">
        <v>365</v>
      </c>
      <c r="V330" s="5" t="s">
        <v>3731</v>
      </c>
      <c r="W330" s="5" t="s">
        <v>3732</v>
      </c>
      <c r="X330" s="5" t="s">
        <v>3993</v>
      </c>
      <c r="Y330" s="5" t="s">
        <v>3994</v>
      </c>
      <c r="Z330" s="5" t="s">
        <v>3995</v>
      </c>
      <c r="AA330" s="5"/>
      <c r="AB330" s="5"/>
      <c r="AC330" s="5"/>
      <c r="AD330" s="5"/>
      <c r="AE330" s="5"/>
      <c r="AF330" s="5" t="s">
        <v>3996</v>
      </c>
      <c r="AG330" s="5" t="s">
        <v>3996</v>
      </c>
      <c r="AH330" s="5"/>
      <c r="AI330" s="5"/>
      <c r="AJ330" s="5"/>
      <c r="AK330" s="5"/>
      <c r="AL330" s="5" t="s">
        <v>3996</v>
      </c>
      <c r="AM330" s="5" t="s">
        <v>3996</v>
      </c>
      <c r="AN330" s="5"/>
      <c r="AO330" s="5"/>
      <c r="AP330" s="5"/>
      <c r="AQ330" s="5" t="s">
        <v>3996</v>
      </c>
      <c r="AR330" s="5" t="s">
        <v>2921</v>
      </c>
      <c r="AS330" s="5"/>
      <c r="AT330" s="5"/>
      <c r="AU330" s="5"/>
      <c r="AV330" s="5" t="s">
        <v>178</v>
      </c>
      <c r="AW330" s="5" t="s">
        <v>3745</v>
      </c>
    </row>
    <row r="331" customFormat="false" ht="214.15" hidden="false" customHeight="false" outlineLevel="0" collapsed="false">
      <c r="A331" s="5" t="s">
        <v>3997</v>
      </c>
      <c r="B331" s="5" t="s">
        <v>3998</v>
      </c>
      <c r="C331" s="5" t="s">
        <v>3723</v>
      </c>
      <c r="D331" s="5" t="s">
        <v>3724</v>
      </c>
      <c r="E331" s="5" t="s">
        <v>514</v>
      </c>
      <c r="F331" s="5" t="s">
        <v>3999</v>
      </c>
      <c r="G331" s="5" t="s">
        <v>4000</v>
      </c>
      <c r="H331" s="5" t="n">
        <v>10</v>
      </c>
      <c r="I331" s="5" t="s">
        <v>274</v>
      </c>
      <c r="J331" s="5" t="s">
        <v>153</v>
      </c>
      <c r="K331" s="5" t="s">
        <v>4001</v>
      </c>
      <c r="L331" s="5" t="s">
        <v>30</v>
      </c>
      <c r="M331" s="5" t="s">
        <v>155</v>
      </c>
      <c r="N331" s="5" t="s">
        <v>1003</v>
      </c>
      <c r="O331" s="5" t="s">
        <v>157</v>
      </c>
      <c r="P331" s="5" t="s">
        <v>158</v>
      </c>
      <c r="Q331" s="5" t="s">
        <v>227</v>
      </c>
      <c r="R331" s="5" t="s">
        <v>3729</v>
      </c>
      <c r="S331" s="5" t="s">
        <v>3730</v>
      </c>
      <c r="T331" s="5" t="s">
        <v>277</v>
      </c>
      <c r="U331" s="5" t="n">
        <v>365</v>
      </c>
      <c r="V331" s="5" t="s">
        <v>3731</v>
      </c>
      <c r="W331" s="5" t="s">
        <v>3732</v>
      </c>
      <c r="X331" s="5" t="s">
        <v>4002</v>
      </c>
      <c r="Y331" s="5" t="s">
        <v>4003</v>
      </c>
      <c r="Z331" s="5" t="s">
        <v>4004</v>
      </c>
      <c r="AA331" s="5"/>
      <c r="AB331" s="5"/>
      <c r="AC331" s="5"/>
      <c r="AD331" s="5"/>
      <c r="AE331" s="5"/>
      <c r="AF331" s="5" t="s">
        <v>4005</v>
      </c>
      <c r="AG331" s="5" t="s">
        <v>4005</v>
      </c>
      <c r="AH331" s="5"/>
      <c r="AI331" s="5"/>
      <c r="AJ331" s="5"/>
      <c r="AK331" s="5"/>
      <c r="AL331" s="5" t="s">
        <v>4005</v>
      </c>
      <c r="AM331" s="5"/>
      <c r="AN331" s="5" t="s">
        <v>4006</v>
      </c>
      <c r="AO331" s="5"/>
      <c r="AP331" s="5"/>
      <c r="AQ331" s="5"/>
      <c r="AR331" s="5" t="s">
        <v>3742</v>
      </c>
      <c r="AS331" s="5"/>
      <c r="AT331" s="5"/>
      <c r="AU331" s="5"/>
      <c r="AV331" s="5" t="s">
        <v>178</v>
      </c>
      <c r="AW331" s="5" t="s">
        <v>4007</v>
      </c>
    </row>
    <row r="332" customFormat="false" ht="135.8" hidden="false" customHeight="false" outlineLevel="0" collapsed="false">
      <c r="A332" s="5" t="s">
        <v>4008</v>
      </c>
      <c r="B332" s="5" t="s">
        <v>4009</v>
      </c>
      <c r="C332" s="5" t="s">
        <v>3723</v>
      </c>
      <c r="D332" s="5" t="s">
        <v>3724</v>
      </c>
      <c r="E332" s="5" t="s">
        <v>626</v>
      </c>
      <c r="F332" s="5" t="s">
        <v>4010</v>
      </c>
      <c r="G332" s="5" t="s">
        <v>4011</v>
      </c>
      <c r="H332" s="5" t="n">
        <v>7</v>
      </c>
      <c r="I332" s="5" t="s">
        <v>274</v>
      </c>
      <c r="J332" s="5" t="s">
        <v>153</v>
      </c>
      <c r="K332" s="5" t="s">
        <v>4012</v>
      </c>
      <c r="L332" s="5" t="s">
        <v>30</v>
      </c>
      <c r="M332" s="5" t="s">
        <v>155</v>
      </c>
      <c r="N332" s="5" t="s">
        <v>4013</v>
      </c>
      <c r="O332" s="5" t="s">
        <v>157</v>
      </c>
      <c r="P332" s="5" t="s">
        <v>158</v>
      </c>
      <c r="Q332" s="5" t="s">
        <v>419</v>
      </c>
      <c r="R332" s="5" t="s">
        <v>3729</v>
      </c>
      <c r="S332" s="5" t="s">
        <v>3730</v>
      </c>
      <c r="T332" s="5" t="s">
        <v>277</v>
      </c>
      <c r="U332" s="5" t="n">
        <v>365</v>
      </c>
      <c r="V332" s="5" t="s">
        <v>3731</v>
      </c>
      <c r="W332" s="5" t="s">
        <v>3732</v>
      </c>
      <c r="X332" s="5" t="s">
        <v>4014</v>
      </c>
      <c r="Y332" s="5" t="s">
        <v>4015</v>
      </c>
      <c r="Z332" s="5" t="s">
        <v>4016</v>
      </c>
      <c r="AA332" s="5" t="s">
        <v>4017</v>
      </c>
      <c r="AB332" s="5"/>
      <c r="AC332" s="5"/>
      <c r="AD332" s="5"/>
      <c r="AE332" s="5"/>
      <c r="AF332" s="5" t="s">
        <v>1540</v>
      </c>
      <c r="AG332" s="5" t="s">
        <v>1540</v>
      </c>
      <c r="AH332" s="5"/>
      <c r="AI332" s="5"/>
      <c r="AJ332" s="5" t="s">
        <v>4018</v>
      </c>
      <c r="AK332" s="5" t="s">
        <v>4019</v>
      </c>
      <c r="AL332" s="5" t="s">
        <v>1540</v>
      </c>
      <c r="AM332" s="5" t="s">
        <v>1540</v>
      </c>
      <c r="AN332" s="5"/>
      <c r="AO332" s="5"/>
      <c r="AP332" s="5" t="s">
        <v>4020</v>
      </c>
      <c r="AQ332" s="5" t="s">
        <v>1540</v>
      </c>
      <c r="AR332" s="5" t="s">
        <v>2921</v>
      </c>
      <c r="AS332" s="5"/>
      <c r="AT332" s="5" t="s">
        <v>4021</v>
      </c>
      <c r="AU332" s="5"/>
      <c r="AV332" s="5" t="s">
        <v>178</v>
      </c>
      <c r="AW332" s="5" t="s">
        <v>4022</v>
      </c>
    </row>
    <row r="333" customFormat="false" ht="124.6" hidden="false" customHeight="false" outlineLevel="0" collapsed="false">
      <c r="A333" s="5" t="s">
        <v>4023</v>
      </c>
      <c r="B333" s="5" t="s">
        <v>4024</v>
      </c>
      <c r="C333" s="5" t="s">
        <v>3723</v>
      </c>
      <c r="D333" s="5" t="s">
        <v>3724</v>
      </c>
      <c r="E333" s="5" t="s">
        <v>626</v>
      </c>
      <c r="F333" s="5" t="s">
        <v>4025</v>
      </c>
      <c r="G333" s="5" t="s">
        <v>4026</v>
      </c>
      <c r="H333" s="5" t="n">
        <v>7</v>
      </c>
      <c r="I333" s="5" t="s">
        <v>274</v>
      </c>
      <c r="J333" s="5" t="s">
        <v>153</v>
      </c>
      <c r="K333" s="5"/>
      <c r="L333" s="5" t="s">
        <v>85</v>
      </c>
      <c r="M333" s="5" t="s">
        <v>185</v>
      </c>
      <c r="N333" s="5" t="s">
        <v>88</v>
      </c>
      <c r="O333" s="5" t="s">
        <v>214</v>
      </c>
      <c r="P333" s="5" t="s">
        <v>215</v>
      </c>
      <c r="Q333" s="5" t="s">
        <v>3728</v>
      </c>
      <c r="R333" s="5" t="s">
        <v>3729</v>
      </c>
      <c r="S333" s="5" t="s">
        <v>3730</v>
      </c>
      <c r="T333" s="5" t="s">
        <v>277</v>
      </c>
      <c r="U333" s="5" t="n">
        <v>365</v>
      </c>
      <c r="V333" s="5" t="s">
        <v>3731</v>
      </c>
      <c r="W333" s="5" t="s">
        <v>3732</v>
      </c>
      <c r="X333" s="5" t="s">
        <v>4027</v>
      </c>
      <c r="Y333" s="5" t="s">
        <v>4028</v>
      </c>
      <c r="Z333" s="5" t="s">
        <v>4029</v>
      </c>
      <c r="AA333" s="5"/>
      <c r="AB333" s="5"/>
      <c r="AC333" s="5"/>
      <c r="AD333" s="5"/>
      <c r="AE333" s="5"/>
      <c r="AF333" s="5" t="s">
        <v>4030</v>
      </c>
      <c r="AG333" s="5"/>
      <c r="AH333" s="5"/>
      <c r="AI333" s="5"/>
      <c r="AJ333" s="5"/>
      <c r="AK333" s="5"/>
      <c r="AL333" s="5" t="s">
        <v>4030</v>
      </c>
      <c r="AM333" s="5"/>
      <c r="AN333" s="5"/>
      <c r="AO333" s="5"/>
      <c r="AP333" s="5"/>
      <c r="AQ333" s="5" t="s">
        <v>4030</v>
      </c>
      <c r="AR333" s="5" t="s">
        <v>2921</v>
      </c>
      <c r="AS333" s="5"/>
      <c r="AT333" s="5"/>
      <c r="AU333" s="5"/>
      <c r="AV333" s="5"/>
      <c r="AW333" s="5" t="s">
        <v>3745</v>
      </c>
    </row>
    <row r="334" customFormat="false" ht="124.6" hidden="false" customHeight="false" outlineLevel="0" collapsed="false">
      <c r="A334" s="5" t="s">
        <v>4031</v>
      </c>
      <c r="B334" s="5" t="s">
        <v>4032</v>
      </c>
      <c r="C334" s="5" t="s">
        <v>3723</v>
      </c>
      <c r="D334" s="5" t="s">
        <v>3724</v>
      </c>
      <c r="E334" s="5" t="s">
        <v>626</v>
      </c>
      <c r="F334" s="5" t="s">
        <v>4033</v>
      </c>
      <c r="G334" s="5" t="s">
        <v>4034</v>
      </c>
      <c r="H334" s="5" t="n">
        <v>5</v>
      </c>
      <c r="I334" s="5" t="s">
        <v>152</v>
      </c>
      <c r="J334" s="5" t="s">
        <v>153</v>
      </c>
      <c r="K334" s="5" t="s">
        <v>4035</v>
      </c>
      <c r="L334" s="5" t="s">
        <v>55</v>
      </c>
      <c r="M334" s="5" t="s">
        <v>185</v>
      </c>
      <c r="N334" s="5" t="s">
        <v>439</v>
      </c>
      <c r="O334" s="5" t="s">
        <v>187</v>
      </c>
      <c r="P334" s="5" t="s">
        <v>158</v>
      </c>
      <c r="Q334" s="5" t="s">
        <v>3728</v>
      </c>
      <c r="R334" s="5" t="s">
        <v>3729</v>
      </c>
      <c r="S334" s="5" t="s">
        <v>3730</v>
      </c>
      <c r="T334" s="5" t="s">
        <v>162</v>
      </c>
      <c r="U334" s="5" t="n">
        <v>365</v>
      </c>
      <c r="V334" s="5" t="s">
        <v>3731</v>
      </c>
      <c r="W334" s="5" t="s">
        <v>3732</v>
      </c>
      <c r="X334" s="5" t="s">
        <v>4036</v>
      </c>
      <c r="Y334" s="5" t="s">
        <v>4037</v>
      </c>
      <c r="Z334" s="5" t="s">
        <v>4038</v>
      </c>
      <c r="AA334" s="5"/>
      <c r="AB334" s="5"/>
      <c r="AC334" s="5"/>
      <c r="AD334" s="5"/>
      <c r="AE334" s="5"/>
      <c r="AF334" s="5"/>
      <c r="AG334" s="5"/>
      <c r="AH334" s="5"/>
      <c r="AI334" s="5"/>
      <c r="AJ334" s="5" t="s">
        <v>4039</v>
      </c>
      <c r="AK334" s="5"/>
      <c r="AL334" s="5"/>
      <c r="AM334" s="5"/>
      <c r="AN334" s="5"/>
      <c r="AO334" s="5"/>
      <c r="AP334" s="5"/>
      <c r="AQ334" s="5"/>
      <c r="AR334" s="5"/>
      <c r="AS334" s="5"/>
      <c r="AT334" s="5"/>
      <c r="AU334" s="5"/>
      <c r="AV334" s="5"/>
      <c r="AW334" s="5" t="s">
        <v>4040</v>
      </c>
    </row>
    <row r="335" customFormat="false" ht="191.75" hidden="false" customHeight="false" outlineLevel="0" collapsed="false">
      <c r="A335" s="5" t="s">
        <v>4041</v>
      </c>
      <c r="B335" s="5" t="s">
        <v>4042</v>
      </c>
      <c r="C335" s="5" t="s">
        <v>4043</v>
      </c>
      <c r="D335" s="5" t="s">
        <v>4044</v>
      </c>
      <c r="E335" s="5" t="s">
        <v>149</v>
      </c>
      <c r="F335" s="5" t="s">
        <v>4045</v>
      </c>
      <c r="G335" s="5" t="s">
        <v>4046</v>
      </c>
      <c r="H335" s="5" t="n">
        <v>10</v>
      </c>
      <c r="I335" s="5" t="s">
        <v>603</v>
      </c>
      <c r="J335" s="5" t="s">
        <v>153</v>
      </c>
      <c r="K335" s="5" t="s">
        <v>4047</v>
      </c>
      <c r="L335" s="5" t="s">
        <v>30</v>
      </c>
      <c r="M335" s="5" t="s">
        <v>155</v>
      </c>
      <c r="N335" s="5" t="s">
        <v>868</v>
      </c>
      <c r="O335" s="5" t="s">
        <v>570</v>
      </c>
      <c r="P335" s="5" t="s">
        <v>158</v>
      </c>
      <c r="Q335" s="5" t="s">
        <v>519</v>
      </c>
      <c r="R335" s="5" t="s">
        <v>4048</v>
      </c>
      <c r="S335" s="5" t="s">
        <v>4049</v>
      </c>
      <c r="T335" s="5" t="s">
        <v>162</v>
      </c>
      <c r="U335" s="5" t="n">
        <v>365</v>
      </c>
      <c r="V335" s="5" t="s">
        <v>4050</v>
      </c>
      <c r="W335" s="5" t="s">
        <v>4051</v>
      </c>
      <c r="X335" s="5" t="s">
        <v>4052</v>
      </c>
      <c r="Y335" s="5" t="s">
        <v>4053</v>
      </c>
      <c r="Z335" s="5" t="s">
        <v>4054</v>
      </c>
      <c r="AA335" s="5" t="s">
        <v>4055</v>
      </c>
      <c r="AB335" s="5"/>
      <c r="AC335" s="5"/>
      <c r="AD335" s="5" t="s">
        <v>4056</v>
      </c>
      <c r="AE335" s="5"/>
      <c r="AF335" s="5" t="s">
        <v>4057</v>
      </c>
      <c r="AG335" s="5" t="s">
        <v>4057</v>
      </c>
      <c r="AH335" s="5" t="s">
        <v>4058</v>
      </c>
      <c r="AI335" s="5" t="s">
        <v>4059</v>
      </c>
      <c r="AJ335" s="5" t="s">
        <v>4060</v>
      </c>
      <c r="AK335" s="5" t="s">
        <v>4061</v>
      </c>
      <c r="AL335" s="5" t="s">
        <v>4057</v>
      </c>
      <c r="AM335" s="5"/>
      <c r="AN335" s="5" t="s">
        <v>4062</v>
      </c>
      <c r="AO335" s="5" t="s">
        <v>4063</v>
      </c>
      <c r="AP335" s="5" t="s">
        <v>4064</v>
      </c>
      <c r="AQ335" s="5" t="s">
        <v>4057</v>
      </c>
      <c r="AR335" s="5" t="s">
        <v>4065</v>
      </c>
      <c r="AS335" s="5"/>
      <c r="AT335" s="5" t="s">
        <v>4066</v>
      </c>
      <c r="AU335" s="5" t="s">
        <v>635</v>
      </c>
      <c r="AV335" s="5" t="s">
        <v>178</v>
      </c>
      <c r="AW335" s="5" t="s">
        <v>4067</v>
      </c>
    </row>
    <row r="336" customFormat="false" ht="214.15" hidden="false" customHeight="false" outlineLevel="0" collapsed="false">
      <c r="A336" s="5" t="s">
        <v>4068</v>
      </c>
      <c r="B336" s="5" t="s">
        <v>4069</v>
      </c>
      <c r="C336" s="5" t="s">
        <v>4043</v>
      </c>
      <c r="D336" s="5" t="s">
        <v>4044</v>
      </c>
      <c r="E336" s="5" t="s">
        <v>626</v>
      </c>
      <c r="F336" s="5" t="s">
        <v>4070</v>
      </c>
      <c r="G336" s="5" t="s">
        <v>4071</v>
      </c>
      <c r="H336" s="5" t="n">
        <v>9</v>
      </c>
      <c r="I336" s="5" t="s">
        <v>603</v>
      </c>
      <c r="J336" s="5" t="s">
        <v>153</v>
      </c>
      <c r="K336" s="5" t="s">
        <v>4072</v>
      </c>
      <c r="L336" s="5" t="s">
        <v>30</v>
      </c>
      <c r="M336" s="5" t="s">
        <v>155</v>
      </c>
      <c r="N336" s="5" t="s">
        <v>4073</v>
      </c>
      <c r="O336" s="5" t="s">
        <v>570</v>
      </c>
      <c r="P336" s="5" t="s">
        <v>158</v>
      </c>
      <c r="Q336" s="5" t="s">
        <v>159</v>
      </c>
      <c r="R336" s="5" t="s">
        <v>4048</v>
      </c>
      <c r="S336" s="5" t="s">
        <v>4049</v>
      </c>
      <c r="T336" s="5" t="s">
        <v>606</v>
      </c>
      <c r="U336" s="5" t="n">
        <v>365</v>
      </c>
      <c r="V336" s="5" t="s">
        <v>4050</v>
      </c>
      <c r="W336" s="5" t="s">
        <v>4051</v>
      </c>
      <c r="X336" s="5" t="s">
        <v>4074</v>
      </c>
      <c r="Y336" s="5" t="s">
        <v>4075</v>
      </c>
      <c r="Z336" s="5" t="s">
        <v>4076</v>
      </c>
      <c r="AA336" s="5" t="s">
        <v>4077</v>
      </c>
      <c r="AB336" s="5" t="s">
        <v>4078</v>
      </c>
      <c r="AC336" s="5"/>
      <c r="AD336" s="5"/>
      <c r="AE336" s="5"/>
      <c r="AF336" s="5" t="s">
        <v>4079</v>
      </c>
      <c r="AG336" s="5" t="s">
        <v>4079</v>
      </c>
      <c r="AH336" s="5" t="s">
        <v>4080</v>
      </c>
      <c r="AI336" s="5"/>
      <c r="AJ336" s="5" t="s">
        <v>4081</v>
      </c>
      <c r="AK336" s="5" t="s">
        <v>4082</v>
      </c>
      <c r="AL336" s="5" t="s">
        <v>4079</v>
      </c>
      <c r="AM336" s="5" t="s">
        <v>4083</v>
      </c>
      <c r="AN336" s="5" t="s">
        <v>4084</v>
      </c>
      <c r="AO336" s="5" t="s">
        <v>4085</v>
      </c>
      <c r="AP336" s="5"/>
      <c r="AQ336" s="5" t="s">
        <v>4079</v>
      </c>
      <c r="AR336" s="5" t="s">
        <v>2665</v>
      </c>
      <c r="AS336" s="5"/>
      <c r="AT336" s="5"/>
      <c r="AU336" s="5" t="s">
        <v>4086</v>
      </c>
      <c r="AV336" s="5" t="s">
        <v>178</v>
      </c>
      <c r="AW336" s="5" t="s">
        <v>4087</v>
      </c>
    </row>
    <row r="337" customFormat="false" ht="135.8" hidden="false" customHeight="false" outlineLevel="0" collapsed="false">
      <c r="A337" s="5" t="s">
        <v>4088</v>
      </c>
      <c r="B337" s="5" t="s">
        <v>4089</v>
      </c>
      <c r="C337" s="5" t="s">
        <v>4043</v>
      </c>
      <c r="D337" s="5" t="s">
        <v>4044</v>
      </c>
      <c r="E337" s="5" t="s">
        <v>514</v>
      </c>
      <c r="F337" s="5" t="s">
        <v>4090</v>
      </c>
      <c r="G337" s="5" t="s">
        <v>4091</v>
      </c>
      <c r="H337" s="5" t="n">
        <v>10</v>
      </c>
      <c r="I337" s="5" t="s">
        <v>152</v>
      </c>
      <c r="J337" s="5" t="s">
        <v>153</v>
      </c>
      <c r="K337" s="5" t="s">
        <v>4092</v>
      </c>
      <c r="L337" s="5" t="s">
        <v>30</v>
      </c>
      <c r="M337" s="5" t="s">
        <v>155</v>
      </c>
      <c r="N337" s="5" t="s">
        <v>846</v>
      </c>
      <c r="O337" s="5" t="s">
        <v>157</v>
      </c>
      <c r="P337" s="5" t="s">
        <v>215</v>
      </c>
      <c r="Q337" s="5" t="s">
        <v>519</v>
      </c>
      <c r="R337" s="5" t="s">
        <v>4048</v>
      </c>
      <c r="S337" s="5" t="s">
        <v>4049</v>
      </c>
      <c r="T337" s="5" t="s">
        <v>162</v>
      </c>
      <c r="U337" s="5" t="n">
        <v>365</v>
      </c>
      <c r="V337" s="5" t="s">
        <v>4050</v>
      </c>
      <c r="W337" s="5" t="s">
        <v>4051</v>
      </c>
      <c r="X337" s="5" t="s">
        <v>4093</v>
      </c>
      <c r="Y337" s="5" t="s">
        <v>4094</v>
      </c>
      <c r="Z337" s="5" t="s">
        <v>4095</v>
      </c>
      <c r="AA337" s="5"/>
      <c r="AB337" s="5"/>
      <c r="AC337" s="5"/>
      <c r="AD337" s="5"/>
      <c r="AE337" s="5"/>
      <c r="AF337" s="5"/>
      <c r="AG337" s="5"/>
      <c r="AH337" s="5" t="s">
        <v>4096</v>
      </c>
      <c r="AI337" s="5"/>
      <c r="AJ337" s="5"/>
      <c r="AK337" s="5"/>
      <c r="AL337" s="5"/>
      <c r="AM337" s="5"/>
      <c r="AN337" s="5"/>
      <c r="AO337" s="5"/>
      <c r="AP337" s="5"/>
      <c r="AQ337" s="5"/>
      <c r="AR337" s="5"/>
      <c r="AS337" s="5"/>
      <c r="AT337" s="5"/>
      <c r="AU337" s="5"/>
      <c r="AV337" s="5" t="s">
        <v>178</v>
      </c>
      <c r="AW337" s="5" t="s">
        <v>4087</v>
      </c>
    </row>
    <row r="338" customFormat="false" ht="214.15" hidden="false" customHeight="false" outlineLevel="0" collapsed="false">
      <c r="A338" s="5" t="s">
        <v>4097</v>
      </c>
      <c r="B338" s="5" t="s">
        <v>4098</v>
      </c>
      <c r="C338" s="5" t="s">
        <v>4043</v>
      </c>
      <c r="D338" s="5" t="s">
        <v>4044</v>
      </c>
      <c r="E338" s="5" t="s">
        <v>626</v>
      </c>
      <c r="F338" s="5" t="s">
        <v>4099</v>
      </c>
      <c r="G338" s="5" t="s">
        <v>4100</v>
      </c>
      <c r="H338" s="5" t="n">
        <v>9</v>
      </c>
      <c r="I338" s="5" t="s">
        <v>603</v>
      </c>
      <c r="J338" s="5" t="s">
        <v>153</v>
      </c>
      <c r="K338" s="5" t="s">
        <v>4101</v>
      </c>
      <c r="L338" s="5" t="s">
        <v>30</v>
      </c>
      <c r="M338" s="5" t="s">
        <v>155</v>
      </c>
      <c r="N338" s="5" t="s">
        <v>4102</v>
      </c>
      <c r="O338" s="5" t="s">
        <v>570</v>
      </c>
      <c r="P338" s="5" t="s">
        <v>158</v>
      </c>
      <c r="Q338" s="5" t="s">
        <v>519</v>
      </c>
      <c r="R338" s="5" t="s">
        <v>4048</v>
      </c>
      <c r="S338" s="5" t="s">
        <v>4049</v>
      </c>
      <c r="T338" s="5" t="s">
        <v>606</v>
      </c>
      <c r="U338" s="5" t="n">
        <v>365</v>
      </c>
      <c r="V338" s="5" t="s">
        <v>4050</v>
      </c>
      <c r="W338" s="5" t="s">
        <v>4051</v>
      </c>
      <c r="X338" s="5" t="s">
        <v>4103</v>
      </c>
      <c r="Y338" s="5" t="s">
        <v>4104</v>
      </c>
      <c r="Z338" s="5" t="s">
        <v>4105</v>
      </c>
      <c r="AA338" s="5" t="s">
        <v>4055</v>
      </c>
      <c r="AB338" s="5" t="s">
        <v>4106</v>
      </c>
      <c r="AC338" s="5"/>
      <c r="AD338" s="5" t="s">
        <v>4107</v>
      </c>
      <c r="AE338" s="5"/>
      <c r="AF338" s="5" t="s">
        <v>4108</v>
      </c>
      <c r="AG338" s="5" t="s">
        <v>4108</v>
      </c>
      <c r="AH338" s="5"/>
      <c r="AI338" s="5"/>
      <c r="AJ338" s="5"/>
      <c r="AK338" s="5" t="s">
        <v>4109</v>
      </c>
      <c r="AL338" s="5" t="s">
        <v>4108</v>
      </c>
      <c r="AM338" s="5"/>
      <c r="AN338" s="5" t="s">
        <v>4110</v>
      </c>
      <c r="AO338" s="5"/>
      <c r="AP338" s="5" t="s">
        <v>4111</v>
      </c>
      <c r="AQ338" s="5"/>
      <c r="AR338" s="5" t="s">
        <v>2665</v>
      </c>
      <c r="AS338" s="5"/>
      <c r="AT338" s="5" t="s">
        <v>4112</v>
      </c>
      <c r="AU338" s="5" t="s">
        <v>4113</v>
      </c>
      <c r="AV338" s="5" t="s">
        <v>178</v>
      </c>
      <c r="AW338" s="5" t="s">
        <v>4087</v>
      </c>
    </row>
    <row r="339" customFormat="false" ht="202.95" hidden="false" customHeight="false" outlineLevel="0" collapsed="false">
      <c r="A339" s="5" t="s">
        <v>4114</v>
      </c>
      <c r="B339" s="5" t="s">
        <v>4115</v>
      </c>
      <c r="C339" s="5" t="s">
        <v>4043</v>
      </c>
      <c r="D339" s="5" t="s">
        <v>4044</v>
      </c>
      <c r="E339" s="5" t="s">
        <v>626</v>
      </c>
      <c r="F339" s="5" t="s">
        <v>4116</v>
      </c>
      <c r="G339" s="5" t="s">
        <v>4117</v>
      </c>
      <c r="H339" s="5" t="n">
        <v>9</v>
      </c>
      <c r="I339" s="5" t="s">
        <v>603</v>
      </c>
      <c r="J339" s="5" t="s">
        <v>557</v>
      </c>
      <c r="K339" s="5" t="s">
        <v>4118</v>
      </c>
      <c r="L339" s="5" t="s">
        <v>30</v>
      </c>
      <c r="M339" s="5" t="s">
        <v>155</v>
      </c>
      <c r="N339" s="5" t="s">
        <v>1312</v>
      </c>
      <c r="O339" s="5" t="s">
        <v>157</v>
      </c>
      <c r="P339" s="5" t="s">
        <v>641</v>
      </c>
      <c r="Q339" s="5" t="s">
        <v>519</v>
      </c>
      <c r="R339" s="5" t="s">
        <v>4048</v>
      </c>
      <c r="S339" s="5" t="s">
        <v>4049</v>
      </c>
      <c r="T339" s="5" t="s">
        <v>606</v>
      </c>
      <c r="U339" s="5" t="n">
        <v>90</v>
      </c>
      <c r="V339" s="5" t="s">
        <v>4050</v>
      </c>
      <c r="W339" s="5" t="s">
        <v>4051</v>
      </c>
      <c r="X339" s="5" t="s">
        <v>4119</v>
      </c>
      <c r="Y339" s="5" t="s">
        <v>4120</v>
      </c>
      <c r="Z339" s="5" t="s">
        <v>4121</v>
      </c>
      <c r="AA339" s="5"/>
      <c r="AB339" s="5"/>
      <c r="AC339" s="5"/>
      <c r="AD339" s="5"/>
      <c r="AE339" s="5"/>
      <c r="AF339" s="5" t="s">
        <v>4122</v>
      </c>
      <c r="AG339" s="5" t="s">
        <v>4122</v>
      </c>
      <c r="AH339" s="5"/>
      <c r="AI339" s="5"/>
      <c r="AJ339" s="5"/>
      <c r="AK339" s="5" t="s">
        <v>4123</v>
      </c>
      <c r="AL339" s="5" t="s">
        <v>4122</v>
      </c>
      <c r="AM339" s="5"/>
      <c r="AN339" s="5"/>
      <c r="AO339" s="5"/>
      <c r="AP339" s="5"/>
      <c r="AQ339" s="5"/>
      <c r="AR339" s="5" t="s">
        <v>2665</v>
      </c>
      <c r="AS339" s="5"/>
      <c r="AT339" s="5"/>
      <c r="AU339" s="5"/>
      <c r="AV339" s="5" t="s">
        <v>178</v>
      </c>
      <c r="AW339" s="5" t="s">
        <v>4124</v>
      </c>
    </row>
    <row r="340" customFormat="false" ht="135.8" hidden="false" customHeight="false" outlineLevel="0" collapsed="false">
      <c r="A340" s="5" t="s">
        <v>4125</v>
      </c>
      <c r="B340" s="5" t="s">
        <v>4126</v>
      </c>
      <c r="C340" s="5" t="s">
        <v>4043</v>
      </c>
      <c r="D340" s="5" t="s">
        <v>4044</v>
      </c>
      <c r="E340" s="5" t="s">
        <v>626</v>
      </c>
      <c r="F340" s="5" t="s">
        <v>4127</v>
      </c>
      <c r="G340" s="5" t="s">
        <v>4128</v>
      </c>
      <c r="H340" s="5" t="n">
        <v>2</v>
      </c>
      <c r="I340" s="5" t="s">
        <v>603</v>
      </c>
      <c r="J340" s="5" t="s">
        <v>153</v>
      </c>
      <c r="K340" s="5"/>
      <c r="L340" s="5" t="s">
        <v>30</v>
      </c>
      <c r="M340" s="5" t="s">
        <v>155</v>
      </c>
      <c r="N340" s="5" t="s">
        <v>42</v>
      </c>
      <c r="O340" s="5" t="s">
        <v>157</v>
      </c>
      <c r="P340" s="5" t="s">
        <v>215</v>
      </c>
      <c r="Q340" s="5" t="s">
        <v>519</v>
      </c>
      <c r="R340" s="5" t="s">
        <v>4048</v>
      </c>
      <c r="S340" s="5" t="s">
        <v>4049</v>
      </c>
      <c r="T340" s="5" t="s">
        <v>606</v>
      </c>
      <c r="U340" s="5" t="n">
        <v>365</v>
      </c>
      <c r="V340" s="5" t="s">
        <v>4050</v>
      </c>
      <c r="W340" s="5" t="s">
        <v>4051</v>
      </c>
      <c r="X340" s="5" t="s">
        <v>4129</v>
      </c>
      <c r="Y340" s="5" t="s">
        <v>4130</v>
      </c>
      <c r="Z340" s="5" t="s">
        <v>4131</v>
      </c>
      <c r="AA340" s="5"/>
      <c r="AB340" s="5"/>
      <c r="AC340" s="5"/>
      <c r="AD340" s="5"/>
      <c r="AE340" s="5"/>
      <c r="AF340" s="5" t="s">
        <v>4132</v>
      </c>
      <c r="AG340" s="5" t="s">
        <v>4133</v>
      </c>
      <c r="AH340" s="5"/>
      <c r="AI340" s="5"/>
      <c r="AJ340" s="5"/>
      <c r="AK340" s="5"/>
      <c r="AL340" s="5" t="s">
        <v>4132</v>
      </c>
      <c r="AM340" s="5"/>
      <c r="AN340" s="5"/>
      <c r="AO340" s="5"/>
      <c r="AP340" s="5"/>
      <c r="AQ340" s="5"/>
      <c r="AR340" s="5" t="s">
        <v>2665</v>
      </c>
      <c r="AS340" s="5"/>
      <c r="AT340" s="5"/>
      <c r="AU340" s="5"/>
      <c r="AV340" s="5"/>
      <c r="AW340" s="5" t="s">
        <v>4124</v>
      </c>
    </row>
    <row r="341" customFormat="false" ht="158.2" hidden="false" customHeight="false" outlineLevel="0" collapsed="false">
      <c r="A341" s="5" t="s">
        <v>4134</v>
      </c>
      <c r="B341" s="5" t="s">
        <v>4135</v>
      </c>
      <c r="C341" s="5" t="s">
        <v>4043</v>
      </c>
      <c r="D341" s="5" t="s">
        <v>4044</v>
      </c>
      <c r="E341" s="5" t="s">
        <v>626</v>
      </c>
      <c r="F341" s="5" t="s">
        <v>4136</v>
      </c>
      <c r="G341" s="5" t="s">
        <v>4137</v>
      </c>
      <c r="H341" s="5" t="n">
        <v>9</v>
      </c>
      <c r="I341" s="5" t="s">
        <v>603</v>
      </c>
      <c r="J341" s="5" t="s">
        <v>153</v>
      </c>
      <c r="K341" s="5" t="s">
        <v>4138</v>
      </c>
      <c r="L341" s="5" t="s">
        <v>30</v>
      </c>
      <c r="M341" s="5" t="s">
        <v>155</v>
      </c>
      <c r="N341" s="5" t="s">
        <v>4102</v>
      </c>
      <c r="O341" s="5" t="s">
        <v>570</v>
      </c>
      <c r="P341" s="5" t="s">
        <v>158</v>
      </c>
      <c r="Q341" s="5" t="s">
        <v>519</v>
      </c>
      <c r="R341" s="5" t="s">
        <v>4048</v>
      </c>
      <c r="S341" s="5" t="s">
        <v>4049</v>
      </c>
      <c r="T341" s="5" t="s">
        <v>606</v>
      </c>
      <c r="U341" s="5" t="n">
        <v>365</v>
      </c>
      <c r="V341" s="5" t="s">
        <v>4050</v>
      </c>
      <c r="W341" s="5" t="s">
        <v>4051</v>
      </c>
      <c r="X341" s="5" t="s">
        <v>4139</v>
      </c>
      <c r="Y341" s="5" t="s">
        <v>4140</v>
      </c>
      <c r="Z341" s="5" t="s">
        <v>4141</v>
      </c>
      <c r="AA341" s="5" t="s">
        <v>4055</v>
      </c>
      <c r="AB341" s="5" t="s">
        <v>4106</v>
      </c>
      <c r="AC341" s="5"/>
      <c r="AD341" s="5" t="s">
        <v>4142</v>
      </c>
      <c r="AE341" s="5"/>
      <c r="AF341" s="5" t="s">
        <v>4143</v>
      </c>
      <c r="AG341" s="5" t="s">
        <v>4143</v>
      </c>
      <c r="AH341" s="5"/>
      <c r="AI341" s="5"/>
      <c r="AJ341" s="5"/>
      <c r="AK341" s="5" t="s">
        <v>4109</v>
      </c>
      <c r="AL341" s="5" t="s">
        <v>4143</v>
      </c>
      <c r="AM341" s="5"/>
      <c r="AN341" s="5" t="s">
        <v>4144</v>
      </c>
      <c r="AO341" s="5"/>
      <c r="AP341" s="5" t="s">
        <v>4111</v>
      </c>
      <c r="AQ341" s="5"/>
      <c r="AR341" s="5" t="s">
        <v>2665</v>
      </c>
      <c r="AS341" s="5"/>
      <c r="AT341" s="5" t="s">
        <v>4145</v>
      </c>
      <c r="AU341" s="5" t="s">
        <v>2858</v>
      </c>
      <c r="AV341" s="5" t="s">
        <v>178</v>
      </c>
      <c r="AW341" s="5" t="s">
        <v>4087</v>
      </c>
    </row>
    <row r="342" customFormat="false" ht="135.8" hidden="false" customHeight="false" outlineLevel="0" collapsed="false">
      <c r="A342" s="5" t="s">
        <v>4146</v>
      </c>
      <c r="B342" s="5" t="s">
        <v>4147</v>
      </c>
      <c r="C342" s="5" t="s">
        <v>4043</v>
      </c>
      <c r="D342" s="5" t="s">
        <v>4044</v>
      </c>
      <c r="E342" s="5" t="s">
        <v>626</v>
      </c>
      <c r="F342" s="5" t="s">
        <v>4148</v>
      </c>
      <c r="G342" s="5" t="s">
        <v>4149</v>
      </c>
      <c r="H342" s="5" t="n">
        <v>2</v>
      </c>
      <c r="I342" s="5" t="s">
        <v>603</v>
      </c>
      <c r="J342" s="5" t="s">
        <v>153</v>
      </c>
      <c r="K342" s="5"/>
      <c r="L342" s="5" t="s">
        <v>30</v>
      </c>
      <c r="M342" s="5" t="s">
        <v>155</v>
      </c>
      <c r="N342" s="5" t="s">
        <v>42</v>
      </c>
      <c r="O342" s="5" t="s">
        <v>157</v>
      </c>
      <c r="P342" s="5" t="s">
        <v>215</v>
      </c>
      <c r="Q342" s="5" t="s">
        <v>519</v>
      </c>
      <c r="R342" s="5" t="s">
        <v>4048</v>
      </c>
      <c r="S342" s="5" t="s">
        <v>4049</v>
      </c>
      <c r="T342" s="5" t="s">
        <v>606</v>
      </c>
      <c r="U342" s="5" t="n">
        <v>365</v>
      </c>
      <c r="V342" s="5" t="s">
        <v>4050</v>
      </c>
      <c r="W342" s="5" t="s">
        <v>4051</v>
      </c>
      <c r="X342" s="5" t="s">
        <v>4150</v>
      </c>
      <c r="Y342" s="5" t="s">
        <v>4151</v>
      </c>
      <c r="Z342" s="5" t="s">
        <v>4152</v>
      </c>
      <c r="AA342" s="5"/>
      <c r="AB342" s="5"/>
      <c r="AC342" s="5"/>
      <c r="AD342" s="5"/>
      <c r="AE342" s="5"/>
      <c r="AF342" s="5" t="s">
        <v>4153</v>
      </c>
      <c r="AG342" s="5" t="s">
        <v>4153</v>
      </c>
      <c r="AH342" s="5"/>
      <c r="AI342" s="5"/>
      <c r="AJ342" s="5"/>
      <c r="AK342" s="5"/>
      <c r="AL342" s="5" t="s">
        <v>4153</v>
      </c>
      <c r="AM342" s="5"/>
      <c r="AN342" s="5"/>
      <c r="AO342" s="5"/>
      <c r="AP342" s="5"/>
      <c r="AQ342" s="5"/>
      <c r="AR342" s="5" t="s">
        <v>2665</v>
      </c>
      <c r="AS342" s="5"/>
      <c r="AT342" s="5"/>
      <c r="AU342" s="5"/>
      <c r="AV342" s="5"/>
      <c r="AW342" s="5" t="s">
        <v>4124</v>
      </c>
    </row>
    <row r="343" customFormat="false" ht="124.6" hidden="false" customHeight="false" outlineLevel="0" collapsed="false">
      <c r="A343" s="5" t="s">
        <v>4154</v>
      </c>
      <c r="B343" s="5" t="s">
        <v>4155</v>
      </c>
      <c r="C343" s="5" t="s">
        <v>4043</v>
      </c>
      <c r="D343" s="5" t="s">
        <v>4044</v>
      </c>
      <c r="E343" s="5" t="s">
        <v>626</v>
      </c>
      <c r="F343" s="5" t="s">
        <v>4156</v>
      </c>
      <c r="G343" s="5" t="s">
        <v>4157</v>
      </c>
      <c r="H343" s="5" t="n">
        <v>2</v>
      </c>
      <c r="I343" s="5" t="s">
        <v>603</v>
      </c>
      <c r="J343" s="5" t="s">
        <v>557</v>
      </c>
      <c r="K343" s="5"/>
      <c r="L343" s="5" t="s">
        <v>30</v>
      </c>
      <c r="M343" s="5" t="s">
        <v>155</v>
      </c>
      <c r="N343" s="5" t="s">
        <v>42</v>
      </c>
      <c r="O343" s="5" t="s">
        <v>157</v>
      </c>
      <c r="P343" s="5" t="s">
        <v>215</v>
      </c>
      <c r="Q343" s="5" t="s">
        <v>519</v>
      </c>
      <c r="R343" s="5" t="s">
        <v>4048</v>
      </c>
      <c r="S343" s="5" t="s">
        <v>4049</v>
      </c>
      <c r="T343" s="5" t="s">
        <v>606</v>
      </c>
      <c r="U343" s="5" t="n">
        <v>90</v>
      </c>
      <c r="V343" s="5" t="s">
        <v>4050</v>
      </c>
      <c r="W343" s="5" t="s">
        <v>4051</v>
      </c>
      <c r="X343" s="5" t="s">
        <v>4158</v>
      </c>
      <c r="Y343" s="5" t="s">
        <v>4159</v>
      </c>
      <c r="Z343" s="5" t="s">
        <v>4160</v>
      </c>
      <c r="AA343" s="5"/>
      <c r="AB343" s="5"/>
      <c r="AC343" s="5"/>
      <c r="AD343" s="5"/>
      <c r="AE343" s="5"/>
      <c r="AF343" s="5" t="s">
        <v>4161</v>
      </c>
      <c r="AG343" s="5" t="s">
        <v>4161</v>
      </c>
      <c r="AH343" s="5"/>
      <c r="AI343" s="5"/>
      <c r="AJ343" s="5"/>
      <c r="AK343" s="5"/>
      <c r="AL343" s="5" t="s">
        <v>4161</v>
      </c>
      <c r="AM343" s="5"/>
      <c r="AN343" s="5"/>
      <c r="AO343" s="5"/>
      <c r="AP343" s="5"/>
      <c r="AQ343" s="5"/>
      <c r="AR343" s="5" t="s">
        <v>2665</v>
      </c>
      <c r="AS343" s="5"/>
      <c r="AT343" s="5"/>
      <c r="AU343" s="5"/>
      <c r="AV343" s="5"/>
      <c r="AW343" s="5" t="s">
        <v>4124</v>
      </c>
    </row>
    <row r="344" customFormat="false" ht="124.6" hidden="false" customHeight="false" outlineLevel="0" collapsed="false">
      <c r="A344" s="5" t="s">
        <v>4162</v>
      </c>
      <c r="B344" s="5" t="s">
        <v>4163</v>
      </c>
      <c r="C344" s="5" t="s">
        <v>4043</v>
      </c>
      <c r="D344" s="5" t="s">
        <v>4044</v>
      </c>
      <c r="E344" s="5" t="s">
        <v>626</v>
      </c>
      <c r="F344" s="5" t="s">
        <v>4164</v>
      </c>
      <c r="G344" s="5" t="s">
        <v>4165</v>
      </c>
      <c r="H344" s="5" t="n">
        <v>2</v>
      </c>
      <c r="I344" s="5" t="s">
        <v>603</v>
      </c>
      <c r="J344" s="5" t="s">
        <v>153</v>
      </c>
      <c r="K344" s="5"/>
      <c r="L344" s="5" t="s">
        <v>30</v>
      </c>
      <c r="M344" s="5" t="s">
        <v>155</v>
      </c>
      <c r="N344" s="5" t="s">
        <v>42</v>
      </c>
      <c r="O344" s="5" t="s">
        <v>157</v>
      </c>
      <c r="P344" s="5" t="s">
        <v>215</v>
      </c>
      <c r="Q344" s="5" t="s">
        <v>519</v>
      </c>
      <c r="R344" s="5" t="s">
        <v>4048</v>
      </c>
      <c r="S344" s="5" t="s">
        <v>4049</v>
      </c>
      <c r="T344" s="5" t="s">
        <v>606</v>
      </c>
      <c r="U344" s="5" t="n">
        <v>365</v>
      </c>
      <c r="V344" s="5" t="s">
        <v>4050</v>
      </c>
      <c r="W344" s="5" t="s">
        <v>4051</v>
      </c>
      <c r="X344" s="5" t="s">
        <v>4166</v>
      </c>
      <c r="Y344" s="5" t="s">
        <v>4167</v>
      </c>
      <c r="Z344" s="5" t="s">
        <v>4168</v>
      </c>
      <c r="AA344" s="5"/>
      <c r="AB344" s="5"/>
      <c r="AC344" s="5"/>
      <c r="AD344" s="5"/>
      <c r="AE344" s="5"/>
      <c r="AF344" s="5" t="s">
        <v>4169</v>
      </c>
      <c r="AG344" s="5" t="s">
        <v>4169</v>
      </c>
      <c r="AH344" s="5"/>
      <c r="AI344" s="5"/>
      <c r="AJ344" s="5"/>
      <c r="AK344" s="5"/>
      <c r="AL344" s="5" t="s">
        <v>4169</v>
      </c>
      <c r="AM344" s="5"/>
      <c r="AN344" s="5"/>
      <c r="AO344" s="5"/>
      <c r="AP344" s="5"/>
      <c r="AQ344" s="5"/>
      <c r="AR344" s="5" t="s">
        <v>2665</v>
      </c>
      <c r="AS344" s="5"/>
      <c r="AT344" s="5"/>
      <c r="AU344" s="5"/>
      <c r="AV344" s="5"/>
      <c r="AW344" s="5" t="s">
        <v>4124</v>
      </c>
    </row>
    <row r="345" customFormat="false" ht="135.8" hidden="false" customHeight="false" outlineLevel="0" collapsed="false">
      <c r="A345" s="5" t="s">
        <v>4170</v>
      </c>
      <c r="B345" s="5" t="s">
        <v>4171</v>
      </c>
      <c r="C345" s="5" t="s">
        <v>4043</v>
      </c>
      <c r="D345" s="5" t="s">
        <v>4044</v>
      </c>
      <c r="E345" s="5" t="s">
        <v>626</v>
      </c>
      <c r="F345" s="5" t="s">
        <v>4172</v>
      </c>
      <c r="G345" s="5" t="s">
        <v>4173</v>
      </c>
      <c r="H345" s="5" t="n">
        <v>4</v>
      </c>
      <c r="I345" s="5" t="s">
        <v>603</v>
      </c>
      <c r="J345" s="5" t="s">
        <v>153</v>
      </c>
      <c r="K345" s="5" t="s">
        <v>4138</v>
      </c>
      <c r="L345" s="5" t="s">
        <v>55</v>
      </c>
      <c r="M345" s="5" t="s">
        <v>185</v>
      </c>
      <c r="N345" s="5" t="s">
        <v>54</v>
      </c>
      <c r="O345" s="5" t="s">
        <v>187</v>
      </c>
      <c r="P345" s="5" t="s">
        <v>215</v>
      </c>
      <c r="Q345" s="5" t="s">
        <v>519</v>
      </c>
      <c r="R345" s="5" t="s">
        <v>4048</v>
      </c>
      <c r="S345" s="5" t="s">
        <v>4049</v>
      </c>
      <c r="T345" s="5" t="s">
        <v>606</v>
      </c>
      <c r="U345" s="5" t="n">
        <v>365</v>
      </c>
      <c r="V345" s="5" t="s">
        <v>4050</v>
      </c>
      <c r="W345" s="5" t="s">
        <v>4051</v>
      </c>
      <c r="X345" s="5" t="s">
        <v>4174</v>
      </c>
      <c r="Y345" s="5" t="s">
        <v>4175</v>
      </c>
      <c r="Z345" s="5" t="s">
        <v>4176</v>
      </c>
      <c r="AA345" s="5"/>
      <c r="AB345" s="5"/>
      <c r="AC345" s="5"/>
      <c r="AD345" s="5"/>
      <c r="AE345" s="5"/>
      <c r="AF345" s="5"/>
      <c r="AG345" s="5"/>
      <c r="AH345" s="5"/>
      <c r="AI345" s="5"/>
      <c r="AJ345" s="5"/>
      <c r="AK345" s="5" t="s">
        <v>4123</v>
      </c>
      <c r="AL345" s="5"/>
      <c r="AM345" s="5"/>
      <c r="AN345" s="5"/>
      <c r="AO345" s="5"/>
      <c r="AP345" s="5"/>
      <c r="AQ345" s="5"/>
      <c r="AR345" s="5"/>
      <c r="AS345" s="5"/>
      <c r="AT345" s="5"/>
      <c r="AU345" s="5"/>
      <c r="AV345" s="5" t="s">
        <v>178</v>
      </c>
      <c r="AW345" s="5" t="s">
        <v>4124</v>
      </c>
    </row>
    <row r="346" customFormat="false" ht="270.1" hidden="false" customHeight="false" outlineLevel="0" collapsed="false">
      <c r="A346" s="5" t="s">
        <v>4177</v>
      </c>
      <c r="B346" s="5" t="s">
        <v>4178</v>
      </c>
      <c r="C346" s="5" t="s">
        <v>4043</v>
      </c>
      <c r="D346" s="5" t="s">
        <v>4044</v>
      </c>
      <c r="E346" s="5" t="s">
        <v>626</v>
      </c>
      <c r="F346" s="5" t="s">
        <v>4179</v>
      </c>
      <c r="G346" s="5" t="s">
        <v>4180</v>
      </c>
      <c r="H346" s="5" t="n">
        <v>9</v>
      </c>
      <c r="I346" s="5" t="s">
        <v>603</v>
      </c>
      <c r="J346" s="5" t="s">
        <v>153</v>
      </c>
      <c r="K346" s="5" t="s">
        <v>4138</v>
      </c>
      <c r="L346" s="5" t="s">
        <v>30</v>
      </c>
      <c r="M346" s="5" t="s">
        <v>155</v>
      </c>
      <c r="N346" s="5" t="s">
        <v>4181</v>
      </c>
      <c r="O346" s="5" t="s">
        <v>570</v>
      </c>
      <c r="P346" s="5" t="s">
        <v>158</v>
      </c>
      <c r="Q346" s="5" t="s">
        <v>440</v>
      </c>
      <c r="R346" s="5" t="s">
        <v>4048</v>
      </c>
      <c r="S346" s="5" t="s">
        <v>4049</v>
      </c>
      <c r="T346" s="5" t="s">
        <v>606</v>
      </c>
      <c r="U346" s="5" t="n">
        <v>365</v>
      </c>
      <c r="V346" s="5" t="s">
        <v>4050</v>
      </c>
      <c r="W346" s="5" t="s">
        <v>4051</v>
      </c>
      <c r="X346" s="5" t="s">
        <v>4182</v>
      </c>
      <c r="Y346" s="5" t="s">
        <v>4183</v>
      </c>
      <c r="Z346" s="5" t="s">
        <v>4184</v>
      </c>
      <c r="AA346" s="5" t="s">
        <v>4185</v>
      </c>
      <c r="AB346" s="5" t="s">
        <v>4186</v>
      </c>
      <c r="AC346" s="5"/>
      <c r="AD346" s="5" t="s">
        <v>4187</v>
      </c>
      <c r="AE346" s="5"/>
      <c r="AF346" s="5" t="s">
        <v>4188</v>
      </c>
      <c r="AG346" s="5" t="s">
        <v>4189</v>
      </c>
      <c r="AH346" s="5" t="s">
        <v>4190</v>
      </c>
      <c r="AI346" s="5"/>
      <c r="AJ346" s="5"/>
      <c r="AK346" s="5" t="s">
        <v>4109</v>
      </c>
      <c r="AL346" s="5" t="s">
        <v>4188</v>
      </c>
      <c r="AM346" s="5" t="s">
        <v>4189</v>
      </c>
      <c r="AN346" s="5"/>
      <c r="AO346" s="5" t="s">
        <v>4063</v>
      </c>
      <c r="AP346" s="5" t="s">
        <v>4111</v>
      </c>
      <c r="AQ346" s="5" t="s">
        <v>4191</v>
      </c>
      <c r="AR346" s="5" t="s">
        <v>2665</v>
      </c>
      <c r="AS346" s="5"/>
      <c r="AT346" s="5" t="s">
        <v>4145</v>
      </c>
      <c r="AU346" s="5" t="s">
        <v>4192</v>
      </c>
      <c r="AV346" s="5" t="s">
        <v>178</v>
      </c>
      <c r="AW346" s="5" t="s">
        <v>4087</v>
      </c>
    </row>
    <row r="347" customFormat="false" ht="113.4" hidden="false" customHeight="false" outlineLevel="0" collapsed="false">
      <c r="A347" s="5" t="s">
        <v>4193</v>
      </c>
      <c r="B347" s="5" t="s">
        <v>4194</v>
      </c>
      <c r="C347" s="5" t="s">
        <v>4043</v>
      </c>
      <c r="D347" s="5" t="s">
        <v>4044</v>
      </c>
      <c r="E347" s="5" t="s">
        <v>626</v>
      </c>
      <c r="F347" s="5" t="s">
        <v>4195</v>
      </c>
      <c r="G347" s="5" t="s">
        <v>4196</v>
      </c>
      <c r="H347" s="5" t="n">
        <v>5</v>
      </c>
      <c r="I347" s="5" t="s">
        <v>603</v>
      </c>
      <c r="J347" s="5" t="s">
        <v>153</v>
      </c>
      <c r="K347" s="5"/>
      <c r="L347" s="5" t="s">
        <v>85</v>
      </c>
      <c r="M347" s="5" t="s">
        <v>185</v>
      </c>
      <c r="N347" s="5" t="s">
        <v>88</v>
      </c>
      <c r="O347" s="5" t="s">
        <v>214</v>
      </c>
      <c r="P347" s="5" t="s">
        <v>215</v>
      </c>
      <c r="Q347" s="5" t="s">
        <v>519</v>
      </c>
      <c r="R347" s="5" t="s">
        <v>4048</v>
      </c>
      <c r="S347" s="5" t="s">
        <v>4049</v>
      </c>
      <c r="T347" s="5" t="s">
        <v>606</v>
      </c>
      <c r="U347" s="5" t="n">
        <v>365</v>
      </c>
      <c r="V347" s="5" t="s">
        <v>4050</v>
      </c>
      <c r="W347" s="5" t="s">
        <v>4051</v>
      </c>
      <c r="X347" s="5" t="s">
        <v>4197</v>
      </c>
      <c r="Y347" s="5" t="s">
        <v>4198</v>
      </c>
      <c r="Z347" s="5" t="s">
        <v>4199</v>
      </c>
      <c r="AA347" s="5"/>
      <c r="AB347" s="5"/>
      <c r="AC347" s="5"/>
      <c r="AD347" s="5"/>
      <c r="AE347" s="5"/>
      <c r="AF347" s="5" t="s">
        <v>4191</v>
      </c>
      <c r="AG347" s="5"/>
      <c r="AH347" s="5"/>
      <c r="AI347" s="5"/>
      <c r="AJ347" s="5"/>
      <c r="AK347" s="5"/>
      <c r="AL347" s="5" t="s">
        <v>4191</v>
      </c>
      <c r="AM347" s="5"/>
      <c r="AN347" s="5"/>
      <c r="AO347" s="5"/>
      <c r="AP347" s="5"/>
      <c r="AQ347" s="5" t="s">
        <v>4191</v>
      </c>
      <c r="AR347" s="5" t="s">
        <v>2665</v>
      </c>
      <c r="AS347" s="5"/>
      <c r="AT347" s="5"/>
      <c r="AU347" s="5"/>
      <c r="AV347" s="5"/>
      <c r="AW347" s="5" t="s">
        <v>4200</v>
      </c>
    </row>
    <row r="348" customFormat="false" ht="147" hidden="false" customHeight="false" outlineLevel="0" collapsed="false">
      <c r="A348" s="5" t="s">
        <v>4201</v>
      </c>
      <c r="B348" s="5" t="s">
        <v>4202</v>
      </c>
      <c r="C348" s="5" t="s">
        <v>4043</v>
      </c>
      <c r="D348" s="5" t="s">
        <v>4044</v>
      </c>
      <c r="E348" s="5" t="s">
        <v>626</v>
      </c>
      <c r="F348" s="5" t="s">
        <v>4203</v>
      </c>
      <c r="G348" s="5" t="s">
        <v>4204</v>
      </c>
      <c r="H348" s="5" t="n">
        <v>9</v>
      </c>
      <c r="I348" s="5" t="s">
        <v>603</v>
      </c>
      <c r="J348" s="5" t="s">
        <v>153</v>
      </c>
      <c r="K348" s="5" t="s">
        <v>4138</v>
      </c>
      <c r="L348" s="5" t="s">
        <v>30</v>
      </c>
      <c r="M348" s="5" t="s">
        <v>155</v>
      </c>
      <c r="N348" s="5" t="s">
        <v>1236</v>
      </c>
      <c r="O348" s="5" t="s">
        <v>157</v>
      </c>
      <c r="P348" s="5" t="s">
        <v>158</v>
      </c>
      <c r="Q348" s="5" t="s">
        <v>519</v>
      </c>
      <c r="R348" s="5" t="s">
        <v>4048</v>
      </c>
      <c r="S348" s="5" t="s">
        <v>4049</v>
      </c>
      <c r="T348" s="5" t="s">
        <v>606</v>
      </c>
      <c r="U348" s="5" t="n">
        <v>365</v>
      </c>
      <c r="V348" s="5" t="s">
        <v>4050</v>
      </c>
      <c r="W348" s="5" t="s">
        <v>4051</v>
      </c>
      <c r="X348" s="5" t="s">
        <v>4205</v>
      </c>
      <c r="Y348" s="5" t="s">
        <v>4206</v>
      </c>
      <c r="Z348" s="5" t="s">
        <v>4207</v>
      </c>
      <c r="AA348" s="5" t="s">
        <v>4208</v>
      </c>
      <c r="AB348" s="5" t="s">
        <v>4186</v>
      </c>
      <c r="AC348" s="5"/>
      <c r="AD348" s="5"/>
      <c r="AE348" s="5"/>
      <c r="AF348" s="5" t="s">
        <v>4209</v>
      </c>
      <c r="AG348" s="5"/>
      <c r="AH348" s="5"/>
      <c r="AI348" s="5"/>
      <c r="AJ348" s="5"/>
      <c r="AK348" s="5" t="s">
        <v>4109</v>
      </c>
      <c r="AL348" s="5" t="s">
        <v>4209</v>
      </c>
      <c r="AM348" s="5"/>
      <c r="AN348" s="5"/>
      <c r="AO348" s="5"/>
      <c r="AP348" s="5"/>
      <c r="AQ348" s="5"/>
      <c r="AR348" s="5" t="s">
        <v>2665</v>
      </c>
      <c r="AS348" s="5"/>
      <c r="AT348" s="5" t="s">
        <v>4145</v>
      </c>
      <c r="AU348" s="5" t="s">
        <v>2858</v>
      </c>
      <c r="AV348" s="5" t="s">
        <v>178</v>
      </c>
      <c r="AW348" s="5" t="s">
        <v>4087</v>
      </c>
    </row>
    <row r="349" customFormat="false" ht="180.55" hidden="false" customHeight="false" outlineLevel="0" collapsed="false">
      <c r="A349" s="5" t="s">
        <v>4210</v>
      </c>
      <c r="B349" s="5" t="s">
        <v>4211</v>
      </c>
      <c r="C349" s="5" t="s">
        <v>4043</v>
      </c>
      <c r="D349" s="5" t="s">
        <v>4044</v>
      </c>
      <c r="E349" s="5" t="s">
        <v>626</v>
      </c>
      <c r="F349" s="5" t="s">
        <v>4212</v>
      </c>
      <c r="G349" s="5" t="s">
        <v>4213</v>
      </c>
      <c r="H349" s="5" t="n">
        <v>9</v>
      </c>
      <c r="I349" s="5" t="s">
        <v>603</v>
      </c>
      <c r="J349" s="5" t="s">
        <v>557</v>
      </c>
      <c r="K349" s="5"/>
      <c r="L349" s="5" t="s">
        <v>30</v>
      </c>
      <c r="M349" s="5" t="s">
        <v>155</v>
      </c>
      <c r="N349" s="5" t="s">
        <v>4214</v>
      </c>
      <c r="O349" s="5" t="s">
        <v>570</v>
      </c>
      <c r="P349" s="5" t="s">
        <v>158</v>
      </c>
      <c r="Q349" s="5" t="s">
        <v>519</v>
      </c>
      <c r="R349" s="5" t="s">
        <v>4048</v>
      </c>
      <c r="S349" s="5" t="s">
        <v>4049</v>
      </c>
      <c r="T349" s="5" t="s">
        <v>606</v>
      </c>
      <c r="U349" s="5" t="n">
        <v>90</v>
      </c>
      <c r="V349" s="5" t="s">
        <v>4050</v>
      </c>
      <c r="W349" s="5" t="s">
        <v>4051</v>
      </c>
      <c r="X349" s="5" t="s">
        <v>4215</v>
      </c>
      <c r="Y349" s="5" t="s">
        <v>4216</v>
      </c>
      <c r="Z349" s="5" t="s">
        <v>4217</v>
      </c>
      <c r="AA349" s="5" t="s">
        <v>4218</v>
      </c>
      <c r="AB349" s="5" t="s">
        <v>4219</v>
      </c>
      <c r="AC349" s="5"/>
      <c r="AD349" s="5" t="s">
        <v>4220</v>
      </c>
      <c r="AE349" s="5"/>
      <c r="AF349" s="5" t="s">
        <v>4221</v>
      </c>
      <c r="AG349" s="5" t="s">
        <v>4221</v>
      </c>
      <c r="AH349" s="5" t="s">
        <v>4222</v>
      </c>
      <c r="AI349" s="5" t="s">
        <v>4223</v>
      </c>
      <c r="AJ349" s="5" t="s">
        <v>4224</v>
      </c>
      <c r="AK349" s="5"/>
      <c r="AL349" s="5" t="s">
        <v>4221</v>
      </c>
      <c r="AM349" s="5"/>
      <c r="AN349" s="5"/>
      <c r="AO349" s="5" t="s">
        <v>4225</v>
      </c>
      <c r="AP349" s="5"/>
      <c r="AQ349" s="5" t="s">
        <v>4221</v>
      </c>
      <c r="AR349" s="5" t="s">
        <v>2665</v>
      </c>
      <c r="AS349" s="5"/>
      <c r="AT349" s="5"/>
      <c r="AU349" s="5" t="s">
        <v>635</v>
      </c>
      <c r="AV349" s="5" t="s">
        <v>178</v>
      </c>
      <c r="AW349" s="5" t="s">
        <v>4226</v>
      </c>
    </row>
    <row r="350" customFormat="false" ht="135.8" hidden="false" customHeight="false" outlineLevel="0" collapsed="false">
      <c r="A350" s="5" t="s">
        <v>4227</v>
      </c>
      <c r="B350" s="5" t="s">
        <v>4228</v>
      </c>
      <c r="C350" s="5" t="s">
        <v>4043</v>
      </c>
      <c r="D350" s="5" t="s">
        <v>4044</v>
      </c>
      <c r="E350" s="5" t="s">
        <v>626</v>
      </c>
      <c r="F350" s="5" t="s">
        <v>4229</v>
      </c>
      <c r="G350" s="5" t="s">
        <v>4230</v>
      </c>
      <c r="H350" s="5" t="n">
        <v>9</v>
      </c>
      <c r="I350" s="5" t="s">
        <v>603</v>
      </c>
      <c r="J350" s="5" t="s">
        <v>153</v>
      </c>
      <c r="K350" s="5"/>
      <c r="L350" s="5" t="s">
        <v>30</v>
      </c>
      <c r="M350" s="5" t="s">
        <v>155</v>
      </c>
      <c r="N350" s="5" t="s">
        <v>3814</v>
      </c>
      <c r="O350" s="5" t="s">
        <v>157</v>
      </c>
      <c r="P350" s="5" t="s">
        <v>641</v>
      </c>
      <c r="Q350" s="5" t="s">
        <v>519</v>
      </c>
      <c r="R350" s="5" t="s">
        <v>4048</v>
      </c>
      <c r="S350" s="5" t="s">
        <v>4049</v>
      </c>
      <c r="T350" s="5" t="s">
        <v>606</v>
      </c>
      <c r="U350" s="5" t="n">
        <v>365</v>
      </c>
      <c r="V350" s="5" t="s">
        <v>4050</v>
      </c>
      <c r="W350" s="5" t="s">
        <v>4051</v>
      </c>
      <c r="X350" s="5" t="s">
        <v>4231</v>
      </c>
      <c r="Y350" s="5" t="s">
        <v>4232</v>
      </c>
      <c r="Z350" s="5" t="s">
        <v>4233</v>
      </c>
      <c r="AA350" s="5"/>
      <c r="AB350" s="5"/>
      <c r="AC350" s="5"/>
      <c r="AD350" s="5"/>
      <c r="AE350" s="5"/>
      <c r="AF350" s="5" t="s">
        <v>4221</v>
      </c>
      <c r="AG350" s="5" t="s">
        <v>4221</v>
      </c>
      <c r="AH350" s="5"/>
      <c r="AI350" s="5"/>
      <c r="AJ350" s="5" t="s">
        <v>4234</v>
      </c>
      <c r="AK350" s="5"/>
      <c r="AL350" s="5" t="s">
        <v>4221</v>
      </c>
      <c r="AM350" s="5"/>
      <c r="AN350" s="5"/>
      <c r="AO350" s="5"/>
      <c r="AP350" s="5"/>
      <c r="AQ350" s="5" t="s">
        <v>4221</v>
      </c>
      <c r="AR350" s="5" t="s">
        <v>2665</v>
      </c>
      <c r="AS350" s="5"/>
      <c r="AT350" s="5"/>
      <c r="AU350" s="5"/>
      <c r="AV350" s="5" t="s">
        <v>178</v>
      </c>
      <c r="AW350" s="5" t="s">
        <v>4226</v>
      </c>
    </row>
    <row r="351" customFormat="false" ht="135.8" hidden="false" customHeight="false" outlineLevel="0" collapsed="false">
      <c r="A351" s="5" t="s">
        <v>4235</v>
      </c>
      <c r="B351" s="5" t="s">
        <v>4236</v>
      </c>
      <c r="C351" s="5" t="s">
        <v>4043</v>
      </c>
      <c r="D351" s="5" t="s">
        <v>4044</v>
      </c>
      <c r="E351" s="5" t="s">
        <v>626</v>
      </c>
      <c r="F351" s="5" t="s">
        <v>4237</v>
      </c>
      <c r="G351" s="5" t="s">
        <v>4238</v>
      </c>
      <c r="H351" s="5" t="n">
        <v>7</v>
      </c>
      <c r="I351" s="5" t="s">
        <v>603</v>
      </c>
      <c r="J351" s="5" t="s">
        <v>153</v>
      </c>
      <c r="K351" s="5"/>
      <c r="L351" s="5" t="s">
        <v>30</v>
      </c>
      <c r="M351" s="5" t="s">
        <v>155</v>
      </c>
      <c r="N351" s="5" t="s">
        <v>398</v>
      </c>
      <c r="O351" s="5" t="s">
        <v>157</v>
      </c>
      <c r="P351" s="5" t="s">
        <v>641</v>
      </c>
      <c r="Q351" s="5" t="s">
        <v>519</v>
      </c>
      <c r="R351" s="5" t="s">
        <v>4048</v>
      </c>
      <c r="S351" s="5" t="s">
        <v>4049</v>
      </c>
      <c r="T351" s="5" t="s">
        <v>606</v>
      </c>
      <c r="U351" s="5" t="n">
        <v>365</v>
      </c>
      <c r="V351" s="5" t="s">
        <v>4050</v>
      </c>
      <c r="W351" s="5" t="s">
        <v>4051</v>
      </c>
      <c r="X351" s="5" t="s">
        <v>4239</v>
      </c>
      <c r="Y351" s="5" t="s">
        <v>4240</v>
      </c>
      <c r="Z351" s="5" t="s">
        <v>4241</v>
      </c>
      <c r="AA351" s="5"/>
      <c r="AB351" s="5"/>
      <c r="AC351" s="5"/>
      <c r="AD351" s="5"/>
      <c r="AE351" s="5"/>
      <c r="AF351" s="5" t="s">
        <v>4221</v>
      </c>
      <c r="AG351" s="5" t="s">
        <v>4221</v>
      </c>
      <c r="AH351" s="5"/>
      <c r="AI351" s="5"/>
      <c r="AJ351" s="5"/>
      <c r="AK351" s="5"/>
      <c r="AL351" s="5" t="s">
        <v>4221</v>
      </c>
      <c r="AM351" s="5"/>
      <c r="AN351" s="5"/>
      <c r="AO351" s="5"/>
      <c r="AP351" s="5"/>
      <c r="AQ351" s="5" t="s">
        <v>4221</v>
      </c>
      <c r="AR351" s="5" t="s">
        <v>2665</v>
      </c>
      <c r="AS351" s="5"/>
      <c r="AT351" s="5"/>
      <c r="AU351" s="5"/>
      <c r="AV351" s="5" t="s">
        <v>178</v>
      </c>
      <c r="AW351" s="5" t="s">
        <v>4226</v>
      </c>
    </row>
    <row r="352" customFormat="false" ht="135.8" hidden="false" customHeight="false" outlineLevel="0" collapsed="false">
      <c r="A352" s="5" t="s">
        <v>4242</v>
      </c>
      <c r="B352" s="5" t="s">
        <v>4243</v>
      </c>
      <c r="C352" s="5" t="s">
        <v>4043</v>
      </c>
      <c r="D352" s="5" t="s">
        <v>4044</v>
      </c>
      <c r="E352" s="5" t="s">
        <v>626</v>
      </c>
      <c r="F352" s="5" t="s">
        <v>4244</v>
      </c>
      <c r="G352" s="5" t="s">
        <v>4245</v>
      </c>
      <c r="H352" s="5" t="n">
        <v>5</v>
      </c>
      <c r="I352" s="5" t="s">
        <v>603</v>
      </c>
      <c r="J352" s="5" t="s">
        <v>153</v>
      </c>
      <c r="K352" s="5"/>
      <c r="L352" s="5" t="s">
        <v>30</v>
      </c>
      <c r="M352" s="5" t="s">
        <v>155</v>
      </c>
      <c r="N352" s="5" t="s">
        <v>3814</v>
      </c>
      <c r="O352" s="5" t="s">
        <v>157</v>
      </c>
      <c r="P352" s="5" t="s">
        <v>641</v>
      </c>
      <c r="Q352" s="5" t="s">
        <v>519</v>
      </c>
      <c r="R352" s="5" t="s">
        <v>4048</v>
      </c>
      <c r="S352" s="5" t="s">
        <v>4049</v>
      </c>
      <c r="T352" s="5" t="s">
        <v>606</v>
      </c>
      <c r="U352" s="5" t="n">
        <v>365</v>
      </c>
      <c r="V352" s="5" t="s">
        <v>4050</v>
      </c>
      <c r="W352" s="5" t="s">
        <v>4051</v>
      </c>
      <c r="X352" s="5" t="s">
        <v>4246</v>
      </c>
      <c r="Y352" s="5" t="s">
        <v>4247</v>
      </c>
      <c r="Z352" s="5" t="s">
        <v>4233</v>
      </c>
      <c r="AA352" s="5"/>
      <c r="AB352" s="5"/>
      <c r="AC352" s="5"/>
      <c r="AD352" s="5"/>
      <c r="AE352" s="5"/>
      <c r="AF352" s="5" t="s">
        <v>4221</v>
      </c>
      <c r="AG352" s="5" t="s">
        <v>4221</v>
      </c>
      <c r="AH352" s="5"/>
      <c r="AI352" s="5"/>
      <c r="AJ352" s="5" t="s">
        <v>4234</v>
      </c>
      <c r="AK352" s="5"/>
      <c r="AL352" s="5" t="s">
        <v>4221</v>
      </c>
      <c r="AM352" s="5"/>
      <c r="AN352" s="5"/>
      <c r="AO352" s="5"/>
      <c r="AP352" s="5"/>
      <c r="AQ352" s="5" t="s">
        <v>4221</v>
      </c>
      <c r="AR352" s="5" t="s">
        <v>2665</v>
      </c>
      <c r="AS352" s="5"/>
      <c r="AT352" s="5"/>
      <c r="AU352" s="5"/>
      <c r="AV352" s="5" t="s">
        <v>178</v>
      </c>
      <c r="AW352" s="5" t="s">
        <v>4226</v>
      </c>
    </row>
    <row r="353" customFormat="false" ht="124.6" hidden="false" customHeight="false" outlineLevel="0" collapsed="false">
      <c r="A353" s="5" t="s">
        <v>4248</v>
      </c>
      <c r="B353" s="5" t="s">
        <v>4249</v>
      </c>
      <c r="C353" s="5" t="s">
        <v>4043</v>
      </c>
      <c r="D353" s="5" t="s">
        <v>4044</v>
      </c>
      <c r="E353" s="5" t="s">
        <v>626</v>
      </c>
      <c r="F353" s="5" t="s">
        <v>4250</v>
      </c>
      <c r="G353" s="5" t="s">
        <v>4251</v>
      </c>
      <c r="H353" s="5" t="n">
        <v>5</v>
      </c>
      <c r="I353" s="5" t="s">
        <v>603</v>
      </c>
      <c r="J353" s="5" t="s">
        <v>153</v>
      </c>
      <c r="K353" s="5"/>
      <c r="L353" s="5" t="s">
        <v>30</v>
      </c>
      <c r="M353" s="5" t="s">
        <v>155</v>
      </c>
      <c r="N353" s="5" t="s">
        <v>398</v>
      </c>
      <c r="O353" s="5" t="s">
        <v>157</v>
      </c>
      <c r="P353" s="5" t="s">
        <v>215</v>
      </c>
      <c r="Q353" s="5" t="s">
        <v>519</v>
      </c>
      <c r="R353" s="5" t="s">
        <v>4048</v>
      </c>
      <c r="S353" s="5" t="s">
        <v>4049</v>
      </c>
      <c r="T353" s="5" t="s">
        <v>606</v>
      </c>
      <c r="U353" s="5" t="n">
        <v>365</v>
      </c>
      <c r="V353" s="5" t="s">
        <v>4050</v>
      </c>
      <c r="W353" s="5" t="s">
        <v>4051</v>
      </c>
      <c r="X353" s="5" t="s">
        <v>4252</v>
      </c>
      <c r="Y353" s="5" t="s">
        <v>4253</v>
      </c>
      <c r="Z353" s="5" t="s">
        <v>4254</v>
      </c>
      <c r="AA353" s="5"/>
      <c r="AB353" s="5"/>
      <c r="AC353" s="5"/>
      <c r="AD353" s="5"/>
      <c r="AE353" s="5"/>
      <c r="AF353" s="5" t="s">
        <v>4255</v>
      </c>
      <c r="AG353" s="5" t="s">
        <v>4221</v>
      </c>
      <c r="AH353" s="5"/>
      <c r="AI353" s="5"/>
      <c r="AJ353" s="5"/>
      <c r="AK353" s="5"/>
      <c r="AL353" s="5" t="s">
        <v>4255</v>
      </c>
      <c r="AM353" s="5"/>
      <c r="AN353" s="5"/>
      <c r="AO353" s="5"/>
      <c r="AP353" s="5"/>
      <c r="AQ353" s="5" t="s">
        <v>4221</v>
      </c>
      <c r="AR353" s="5" t="s">
        <v>2665</v>
      </c>
      <c r="AS353" s="5"/>
      <c r="AT353" s="5"/>
      <c r="AU353" s="5"/>
      <c r="AV353" s="5"/>
      <c r="AW353" s="5" t="s">
        <v>4256</v>
      </c>
    </row>
    <row r="354" customFormat="false" ht="247.75" hidden="false" customHeight="false" outlineLevel="0" collapsed="false">
      <c r="A354" s="5" t="s">
        <v>4257</v>
      </c>
      <c r="B354" s="5" t="s">
        <v>4258</v>
      </c>
      <c r="C354" s="5" t="s">
        <v>4043</v>
      </c>
      <c r="D354" s="5" t="s">
        <v>4044</v>
      </c>
      <c r="E354" s="5" t="s">
        <v>626</v>
      </c>
      <c r="F354" s="5" t="s">
        <v>4259</v>
      </c>
      <c r="G354" s="5" t="s">
        <v>4260</v>
      </c>
      <c r="H354" s="5" t="n">
        <v>10</v>
      </c>
      <c r="I354" s="5" t="s">
        <v>603</v>
      </c>
      <c r="J354" s="5" t="s">
        <v>153</v>
      </c>
      <c r="K354" s="5" t="s">
        <v>4261</v>
      </c>
      <c r="L354" s="5" t="s">
        <v>30</v>
      </c>
      <c r="M354" s="5" t="s">
        <v>155</v>
      </c>
      <c r="N354" s="5" t="s">
        <v>4262</v>
      </c>
      <c r="O354" s="5" t="s">
        <v>570</v>
      </c>
      <c r="P354" s="5" t="s">
        <v>158</v>
      </c>
      <c r="Q354" s="5" t="s">
        <v>519</v>
      </c>
      <c r="R354" s="5" t="s">
        <v>4048</v>
      </c>
      <c r="S354" s="5" t="s">
        <v>4049</v>
      </c>
      <c r="T354" s="5" t="s">
        <v>606</v>
      </c>
      <c r="U354" s="5" t="n">
        <v>365</v>
      </c>
      <c r="V354" s="5" t="s">
        <v>4050</v>
      </c>
      <c r="W354" s="5" t="s">
        <v>4051</v>
      </c>
      <c r="X354" s="5" t="s">
        <v>4263</v>
      </c>
      <c r="Y354" s="5" t="s">
        <v>4264</v>
      </c>
      <c r="Z354" s="5" t="s">
        <v>4265</v>
      </c>
      <c r="AA354" s="5" t="s">
        <v>4266</v>
      </c>
      <c r="AB354" s="5"/>
      <c r="AC354" s="5"/>
      <c r="AD354" s="5"/>
      <c r="AE354" s="5"/>
      <c r="AF354" s="5" t="s">
        <v>4267</v>
      </c>
      <c r="AG354" s="5"/>
      <c r="AH354" s="5" t="s">
        <v>4268</v>
      </c>
      <c r="AI354" s="5" t="s">
        <v>3975</v>
      </c>
      <c r="AJ354" s="5" t="s">
        <v>4269</v>
      </c>
      <c r="AK354" s="5"/>
      <c r="AL354" s="5" t="s">
        <v>4267</v>
      </c>
      <c r="AM354" s="5"/>
      <c r="AN354" s="5"/>
      <c r="AO354" s="5" t="s">
        <v>4270</v>
      </c>
      <c r="AP354" s="5"/>
      <c r="AQ354" s="5" t="s">
        <v>4267</v>
      </c>
      <c r="AR354" s="5" t="s">
        <v>2665</v>
      </c>
      <c r="AS354" s="5"/>
      <c r="AT354" s="5" t="s">
        <v>4271</v>
      </c>
      <c r="AU354" s="5"/>
      <c r="AV354" s="5" t="s">
        <v>178</v>
      </c>
      <c r="AW354" s="5" t="s">
        <v>4272</v>
      </c>
    </row>
    <row r="355" customFormat="false" ht="135.8" hidden="false" customHeight="false" outlineLevel="0" collapsed="false">
      <c r="A355" s="5" t="s">
        <v>4273</v>
      </c>
      <c r="B355" s="5" t="s">
        <v>4274</v>
      </c>
      <c r="C355" s="5" t="s">
        <v>4043</v>
      </c>
      <c r="D355" s="5" t="s">
        <v>4044</v>
      </c>
      <c r="E355" s="5" t="s">
        <v>626</v>
      </c>
      <c r="F355" s="5" t="s">
        <v>4275</v>
      </c>
      <c r="G355" s="5" t="s">
        <v>4276</v>
      </c>
      <c r="H355" s="5" t="n">
        <v>10</v>
      </c>
      <c r="I355" s="5" t="s">
        <v>603</v>
      </c>
      <c r="J355" s="5" t="s">
        <v>153</v>
      </c>
      <c r="K355" s="5" t="s">
        <v>4277</v>
      </c>
      <c r="L355" s="5" t="s">
        <v>30</v>
      </c>
      <c r="M355" s="5" t="s">
        <v>155</v>
      </c>
      <c r="N355" s="5" t="s">
        <v>310</v>
      </c>
      <c r="O355" s="5" t="s">
        <v>157</v>
      </c>
      <c r="P355" s="5" t="s">
        <v>158</v>
      </c>
      <c r="Q355" s="5" t="s">
        <v>519</v>
      </c>
      <c r="R355" s="5" t="s">
        <v>4048</v>
      </c>
      <c r="S355" s="5" t="s">
        <v>4049</v>
      </c>
      <c r="T355" s="5" t="s">
        <v>606</v>
      </c>
      <c r="U355" s="5" t="n">
        <v>365</v>
      </c>
      <c r="V355" s="5" t="s">
        <v>4050</v>
      </c>
      <c r="W355" s="5" t="s">
        <v>4051</v>
      </c>
      <c r="X355" s="5" t="s">
        <v>4278</v>
      </c>
      <c r="Y355" s="5" t="s">
        <v>4279</v>
      </c>
      <c r="Z355" s="5" t="s">
        <v>4280</v>
      </c>
      <c r="AA355" s="5"/>
      <c r="AB355" s="5"/>
      <c r="AC355" s="5"/>
      <c r="AD355" s="5"/>
      <c r="AE355" s="5"/>
      <c r="AF355" s="5"/>
      <c r="AG355" s="5"/>
      <c r="AH355" s="5"/>
      <c r="AI355" s="5" t="s">
        <v>3975</v>
      </c>
      <c r="AJ355" s="5" t="s">
        <v>4281</v>
      </c>
      <c r="AK355" s="5"/>
      <c r="AL355" s="5"/>
      <c r="AM355" s="5"/>
      <c r="AN355" s="5"/>
      <c r="AO355" s="5"/>
      <c r="AP355" s="5"/>
      <c r="AQ355" s="5"/>
      <c r="AR355" s="5"/>
      <c r="AS355" s="5"/>
      <c r="AT355" s="5" t="s">
        <v>4282</v>
      </c>
      <c r="AU355" s="5"/>
      <c r="AV355" s="5" t="s">
        <v>178</v>
      </c>
      <c r="AW355" s="5" t="s">
        <v>4283</v>
      </c>
    </row>
    <row r="356" customFormat="false" ht="180.55" hidden="false" customHeight="false" outlineLevel="0" collapsed="false">
      <c r="A356" s="5" t="s">
        <v>4284</v>
      </c>
      <c r="B356" s="5" t="s">
        <v>4285</v>
      </c>
      <c r="C356" s="5" t="s">
        <v>4043</v>
      </c>
      <c r="D356" s="5" t="s">
        <v>4044</v>
      </c>
      <c r="E356" s="5" t="s">
        <v>626</v>
      </c>
      <c r="F356" s="5" t="s">
        <v>4286</v>
      </c>
      <c r="G356" s="5" t="s">
        <v>4287</v>
      </c>
      <c r="H356" s="5" t="n">
        <v>10</v>
      </c>
      <c r="I356" s="5" t="s">
        <v>603</v>
      </c>
      <c r="J356" s="5" t="s">
        <v>153</v>
      </c>
      <c r="K356" s="5" t="s">
        <v>3992</v>
      </c>
      <c r="L356" s="5" t="s">
        <v>30</v>
      </c>
      <c r="M356" s="5" t="s">
        <v>155</v>
      </c>
      <c r="N356" s="5" t="s">
        <v>4288</v>
      </c>
      <c r="O356" s="5" t="s">
        <v>157</v>
      </c>
      <c r="P356" s="5" t="s">
        <v>158</v>
      </c>
      <c r="Q356" s="5" t="s">
        <v>519</v>
      </c>
      <c r="R356" s="5" t="s">
        <v>4048</v>
      </c>
      <c r="S356" s="5" t="s">
        <v>4049</v>
      </c>
      <c r="T356" s="5" t="s">
        <v>606</v>
      </c>
      <c r="U356" s="5" t="n">
        <v>365</v>
      </c>
      <c r="V356" s="5" t="s">
        <v>4050</v>
      </c>
      <c r="W356" s="5" t="s">
        <v>4051</v>
      </c>
      <c r="X356" s="5" t="s">
        <v>4289</v>
      </c>
      <c r="Y356" s="5" t="s">
        <v>4290</v>
      </c>
      <c r="Z356" s="5" t="s">
        <v>4291</v>
      </c>
      <c r="AA356" s="5"/>
      <c r="AB356" s="5"/>
      <c r="AC356" s="5"/>
      <c r="AD356" s="5"/>
      <c r="AE356" s="5"/>
      <c r="AF356" s="5" t="s">
        <v>4292</v>
      </c>
      <c r="AG356" s="5" t="s">
        <v>4292</v>
      </c>
      <c r="AH356" s="5"/>
      <c r="AI356" s="5" t="s">
        <v>3975</v>
      </c>
      <c r="AJ356" s="5"/>
      <c r="AK356" s="5"/>
      <c r="AL356" s="5" t="s">
        <v>4292</v>
      </c>
      <c r="AM356" s="5"/>
      <c r="AN356" s="5" t="s">
        <v>4293</v>
      </c>
      <c r="AO356" s="5"/>
      <c r="AP356" s="5"/>
      <c r="AQ356" s="5" t="s">
        <v>4292</v>
      </c>
      <c r="AR356" s="5" t="s">
        <v>2921</v>
      </c>
      <c r="AS356" s="5"/>
      <c r="AT356" s="5" t="s">
        <v>4282</v>
      </c>
      <c r="AU356" s="5"/>
      <c r="AV356" s="5" t="s">
        <v>178</v>
      </c>
      <c r="AW356" s="5" t="s">
        <v>4294</v>
      </c>
    </row>
    <row r="357" customFormat="false" ht="214.15" hidden="false" customHeight="false" outlineLevel="0" collapsed="false">
      <c r="A357" s="5" t="s">
        <v>4295</v>
      </c>
      <c r="B357" s="5" t="s">
        <v>4296</v>
      </c>
      <c r="C357" s="5" t="s">
        <v>4043</v>
      </c>
      <c r="D357" s="5" t="s">
        <v>4044</v>
      </c>
      <c r="E357" s="5" t="s">
        <v>626</v>
      </c>
      <c r="F357" s="5" t="s">
        <v>4297</v>
      </c>
      <c r="G357" s="5" t="s">
        <v>4298</v>
      </c>
      <c r="H357" s="5" t="n">
        <v>9</v>
      </c>
      <c r="I357" s="5" t="s">
        <v>603</v>
      </c>
      <c r="J357" s="5" t="s">
        <v>153</v>
      </c>
      <c r="K357" s="5" t="s">
        <v>4299</v>
      </c>
      <c r="L357" s="5" t="s">
        <v>30</v>
      </c>
      <c r="M357" s="5" t="s">
        <v>155</v>
      </c>
      <c r="N357" s="5" t="s">
        <v>4300</v>
      </c>
      <c r="O357" s="5" t="s">
        <v>570</v>
      </c>
      <c r="P357" s="5" t="s">
        <v>158</v>
      </c>
      <c r="Q357" s="5" t="s">
        <v>519</v>
      </c>
      <c r="R357" s="5" t="s">
        <v>4048</v>
      </c>
      <c r="S357" s="5" t="s">
        <v>4049</v>
      </c>
      <c r="T357" s="5" t="s">
        <v>606</v>
      </c>
      <c r="U357" s="5" t="n">
        <v>365</v>
      </c>
      <c r="V357" s="5" t="s">
        <v>4050</v>
      </c>
      <c r="W357" s="5" t="s">
        <v>4051</v>
      </c>
      <c r="X357" s="5" t="s">
        <v>4301</v>
      </c>
      <c r="Y357" s="5" t="s">
        <v>4302</v>
      </c>
      <c r="Z357" s="5" t="s">
        <v>4303</v>
      </c>
      <c r="AA357" s="5" t="s">
        <v>4304</v>
      </c>
      <c r="AB357" s="5" t="s">
        <v>4305</v>
      </c>
      <c r="AC357" s="5"/>
      <c r="AD357" s="5" t="s">
        <v>4306</v>
      </c>
      <c r="AE357" s="5"/>
      <c r="AF357" s="5" t="s">
        <v>4307</v>
      </c>
      <c r="AG357" s="5"/>
      <c r="AH357" s="5" t="s">
        <v>4308</v>
      </c>
      <c r="AI357" s="5" t="s">
        <v>4059</v>
      </c>
      <c r="AJ357" s="5" t="s">
        <v>4309</v>
      </c>
      <c r="AK357" s="5" t="s">
        <v>4019</v>
      </c>
      <c r="AL357" s="5" t="s">
        <v>4307</v>
      </c>
      <c r="AM357" s="5"/>
      <c r="AN357" s="5"/>
      <c r="AO357" s="5" t="s">
        <v>4310</v>
      </c>
      <c r="AP357" s="5"/>
      <c r="AQ357" s="5"/>
      <c r="AR357" s="5" t="s">
        <v>2921</v>
      </c>
      <c r="AS357" s="5"/>
      <c r="AT357" s="5" t="s">
        <v>4311</v>
      </c>
      <c r="AU357" s="5" t="s">
        <v>2858</v>
      </c>
      <c r="AV357" s="5" t="s">
        <v>178</v>
      </c>
      <c r="AW357" s="5" t="s">
        <v>4312</v>
      </c>
    </row>
    <row r="358" customFormat="false" ht="169.4" hidden="false" customHeight="false" outlineLevel="0" collapsed="false">
      <c r="A358" s="5" t="s">
        <v>4313</v>
      </c>
      <c r="B358" s="5" t="s">
        <v>4314</v>
      </c>
      <c r="C358" s="5" t="s">
        <v>4043</v>
      </c>
      <c r="D358" s="5" t="s">
        <v>4044</v>
      </c>
      <c r="E358" s="5" t="s">
        <v>626</v>
      </c>
      <c r="F358" s="5" t="s">
        <v>4315</v>
      </c>
      <c r="G358" s="5" t="s">
        <v>4316</v>
      </c>
      <c r="H358" s="5" t="n">
        <v>9</v>
      </c>
      <c r="I358" s="5" t="s">
        <v>603</v>
      </c>
      <c r="J358" s="5" t="s">
        <v>153</v>
      </c>
      <c r="K358" s="5"/>
      <c r="L358" s="5" t="s">
        <v>30</v>
      </c>
      <c r="M358" s="5" t="s">
        <v>155</v>
      </c>
      <c r="N358" s="5" t="s">
        <v>4317</v>
      </c>
      <c r="O358" s="5" t="s">
        <v>570</v>
      </c>
      <c r="P358" s="5" t="s">
        <v>158</v>
      </c>
      <c r="Q358" s="5" t="s">
        <v>519</v>
      </c>
      <c r="R358" s="5" t="s">
        <v>4048</v>
      </c>
      <c r="S358" s="5" t="s">
        <v>4049</v>
      </c>
      <c r="T358" s="5" t="s">
        <v>606</v>
      </c>
      <c r="U358" s="5" t="n">
        <v>365</v>
      </c>
      <c r="V358" s="5" t="s">
        <v>4050</v>
      </c>
      <c r="W358" s="5" t="s">
        <v>4051</v>
      </c>
      <c r="X358" s="5" t="s">
        <v>4318</v>
      </c>
      <c r="Y358" s="5" t="s">
        <v>4319</v>
      </c>
      <c r="Z358" s="5" t="s">
        <v>4320</v>
      </c>
      <c r="AA358" s="5"/>
      <c r="AB358" s="5" t="s">
        <v>4321</v>
      </c>
      <c r="AC358" s="5"/>
      <c r="AD358" s="5" t="s">
        <v>4322</v>
      </c>
      <c r="AE358" s="5"/>
      <c r="AF358" s="5" t="s">
        <v>4323</v>
      </c>
      <c r="AG358" s="5" t="s">
        <v>4323</v>
      </c>
      <c r="AH358" s="5"/>
      <c r="AI358" s="5"/>
      <c r="AJ358" s="5"/>
      <c r="AK358" s="5"/>
      <c r="AL358" s="5" t="s">
        <v>4323</v>
      </c>
      <c r="AM358" s="5"/>
      <c r="AN358" s="5" t="s">
        <v>4084</v>
      </c>
      <c r="AO358" s="5"/>
      <c r="AP358" s="5"/>
      <c r="AQ358" s="5" t="s">
        <v>4323</v>
      </c>
      <c r="AR358" s="5" t="s">
        <v>2665</v>
      </c>
      <c r="AS358" s="5"/>
      <c r="AT358" s="5" t="s">
        <v>4145</v>
      </c>
      <c r="AU358" s="5" t="s">
        <v>2545</v>
      </c>
      <c r="AV358" s="5" t="s">
        <v>178</v>
      </c>
      <c r="AW358" s="5" t="s">
        <v>4087</v>
      </c>
    </row>
    <row r="359" customFormat="false" ht="147" hidden="false" customHeight="false" outlineLevel="0" collapsed="false">
      <c r="A359" s="5" t="s">
        <v>4324</v>
      </c>
      <c r="B359" s="5" t="s">
        <v>4325</v>
      </c>
      <c r="C359" s="5" t="s">
        <v>4043</v>
      </c>
      <c r="D359" s="5" t="s">
        <v>4044</v>
      </c>
      <c r="E359" s="5" t="s">
        <v>626</v>
      </c>
      <c r="F359" s="5" t="s">
        <v>4326</v>
      </c>
      <c r="G359" s="5" t="s">
        <v>4327</v>
      </c>
      <c r="H359" s="5" t="n">
        <v>9</v>
      </c>
      <c r="I359" s="5" t="s">
        <v>603</v>
      </c>
      <c r="J359" s="5" t="s">
        <v>153</v>
      </c>
      <c r="K359" s="5"/>
      <c r="L359" s="5" t="s">
        <v>30</v>
      </c>
      <c r="M359" s="5" t="s">
        <v>155</v>
      </c>
      <c r="N359" s="5" t="s">
        <v>4328</v>
      </c>
      <c r="O359" s="5" t="s">
        <v>570</v>
      </c>
      <c r="P359" s="5" t="s">
        <v>158</v>
      </c>
      <c r="Q359" s="5" t="s">
        <v>519</v>
      </c>
      <c r="R359" s="5" t="s">
        <v>4048</v>
      </c>
      <c r="S359" s="5" t="s">
        <v>4049</v>
      </c>
      <c r="T359" s="5" t="s">
        <v>606</v>
      </c>
      <c r="U359" s="5" t="n">
        <v>365</v>
      </c>
      <c r="V359" s="5" t="s">
        <v>4050</v>
      </c>
      <c r="W359" s="5" t="s">
        <v>4051</v>
      </c>
      <c r="X359" s="5" t="s">
        <v>4329</v>
      </c>
      <c r="Y359" s="5" t="s">
        <v>4330</v>
      </c>
      <c r="Z359" s="5" t="s">
        <v>4331</v>
      </c>
      <c r="AA359" s="5"/>
      <c r="AB359" s="5" t="s">
        <v>4321</v>
      </c>
      <c r="AC359" s="5"/>
      <c r="AD359" s="5" t="s">
        <v>4322</v>
      </c>
      <c r="AE359" s="5"/>
      <c r="AF359" s="5" t="s">
        <v>4083</v>
      </c>
      <c r="AG359" s="5" t="s">
        <v>4083</v>
      </c>
      <c r="AH359" s="5"/>
      <c r="AI359" s="5"/>
      <c r="AJ359" s="5"/>
      <c r="AK359" s="5"/>
      <c r="AL359" s="5" t="s">
        <v>4083</v>
      </c>
      <c r="AM359" s="5" t="s">
        <v>4083</v>
      </c>
      <c r="AN359" s="5"/>
      <c r="AO359" s="5"/>
      <c r="AP359" s="5"/>
      <c r="AQ359" s="5" t="s">
        <v>4083</v>
      </c>
      <c r="AR359" s="5" t="s">
        <v>2665</v>
      </c>
      <c r="AS359" s="5"/>
      <c r="AT359" s="5" t="s">
        <v>4145</v>
      </c>
      <c r="AU359" s="5"/>
      <c r="AV359" s="5" t="s">
        <v>178</v>
      </c>
      <c r="AW359" s="5" t="s">
        <v>4087</v>
      </c>
    </row>
    <row r="360" customFormat="false" ht="135.8" hidden="false" customHeight="false" outlineLevel="0" collapsed="false">
      <c r="A360" s="5" t="s">
        <v>4332</v>
      </c>
      <c r="B360" s="5" t="s">
        <v>4333</v>
      </c>
      <c r="C360" s="5" t="s">
        <v>4043</v>
      </c>
      <c r="D360" s="5" t="s">
        <v>4044</v>
      </c>
      <c r="E360" s="5" t="s">
        <v>626</v>
      </c>
      <c r="F360" s="5" t="s">
        <v>4334</v>
      </c>
      <c r="G360" s="5" t="s">
        <v>4335</v>
      </c>
      <c r="H360" s="5" t="n">
        <v>7</v>
      </c>
      <c r="I360" s="5" t="s">
        <v>603</v>
      </c>
      <c r="J360" s="5" t="s">
        <v>153</v>
      </c>
      <c r="K360" s="5"/>
      <c r="L360" s="5" t="s">
        <v>30</v>
      </c>
      <c r="M360" s="5" t="s">
        <v>155</v>
      </c>
      <c r="N360" s="5" t="s">
        <v>994</v>
      </c>
      <c r="O360" s="5" t="s">
        <v>157</v>
      </c>
      <c r="P360" s="5" t="s">
        <v>215</v>
      </c>
      <c r="Q360" s="5" t="s">
        <v>519</v>
      </c>
      <c r="R360" s="5" t="s">
        <v>4048</v>
      </c>
      <c r="S360" s="5" t="s">
        <v>4049</v>
      </c>
      <c r="T360" s="5" t="s">
        <v>606</v>
      </c>
      <c r="U360" s="5" t="n">
        <v>365</v>
      </c>
      <c r="V360" s="5" t="s">
        <v>4050</v>
      </c>
      <c r="W360" s="5" t="s">
        <v>4051</v>
      </c>
      <c r="X360" s="5" t="s">
        <v>4336</v>
      </c>
      <c r="Y360" s="5" t="s">
        <v>4337</v>
      </c>
      <c r="Z360" s="5" t="s">
        <v>4338</v>
      </c>
      <c r="AA360" s="5"/>
      <c r="AB360" s="5"/>
      <c r="AC360" s="5"/>
      <c r="AD360" s="5"/>
      <c r="AE360" s="5"/>
      <c r="AF360" s="5" t="s">
        <v>4083</v>
      </c>
      <c r="AG360" s="5" t="s">
        <v>4083</v>
      </c>
      <c r="AH360" s="5"/>
      <c r="AI360" s="5"/>
      <c r="AJ360" s="5"/>
      <c r="AK360" s="5"/>
      <c r="AL360" s="5" t="s">
        <v>4083</v>
      </c>
      <c r="AM360" s="5" t="s">
        <v>4083</v>
      </c>
      <c r="AN360" s="5"/>
      <c r="AO360" s="5"/>
      <c r="AP360" s="5"/>
      <c r="AQ360" s="5" t="s">
        <v>4083</v>
      </c>
      <c r="AR360" s="5" t="s">
        <v>2665</v>
      </c>
      <c r="AS360" s="5"/>
      <c r="AT360" s="5"/>
      <c r="AU360" s="5"/>
      <c r="AV360" s="5" t="s">
        <v>178</v>
      </c>
      <c r="AW360" s="5" t="s">
        <v>4087</v>
      </c>
    </row>
    <row r="361" customFormat="false" ht="135.8" hidden="false" customHeight="false" outlineLevel="0" collapsed="false">
      <c r="A361" s="5" t="s">
        <v>4339</v>
      </c>
      <c r="B361" s="5" t="s">
        <v>4340</v>
      </c>
      <c r="C361" s="5" t="s">
        <v>4043</v>
      </c>
      <c r="D361" s="5" t="s">
        <v>4044</v>
      </c>
      <c r="E361" s="5" t="s">
        <v>626</v>
      </c>
      <c r="F361" s="5" t="s">
        <v>4341</v>
      </c>
      <c r="G361" s="5" t="s">
        <v>4342</v>
      </c>
      <c r="H361" s="5" t="n">
        <v>9</v>
      </c>
      <c r="I361" s="5" t="s">
        <v>603</v>
      </c>
      <c r="J361" s="5" t="s">
        <v>153</v>
      </c>
      <c r="K361" s="5"/>
      <c r="L361" s="5" t="s">
        <v>85</v>
      </c>
      <c r="M361" s="5" t="s">
        <v>185</v>
      </c>
      <c r="N361" s="5" t="s">
        <v>88</v>
      </c>
      <c r="O361" s="5" t="s">
        <v>214</v>
      </c>
      <c r="P361" s="5" t="s">
        <v>215</v>
      </c>
      <c r="Q361" s="5" t="s">
        <v>519</v>
      </c>
      <c r="R361" s="5" t="s">
        <v>4048</v>
      </c>
      <c r="S361" s="5" t="s">
        <v>4049</v>
      </c>
      <c r="T361" s="5" t="s">
        <v>606</v>
      </c>
      <c r="U361" s="5" t="n">
        <v>365</v>
      </c>
      <c r="V361" s="5" t="s">
        <v>4050</v>
      </c>
      <c r="W361" s="5" t="s">
        <v>4051</v>
      </c>
      <c r="X361" s="5" t="s">
        <v>4343</v>
      </c>
      <c r="Y361" s="5" t="s">
        <v>4344</v>
      </c>
      <c r="Z361" s="5" t="s">
        <v>4345</v>
      </c>
      <c r="AA361" s="5"/>
      <c r="AB361" s="5"/>
      <c r="AC361" s="5"/>
      <c r="AD361" s="5"/>
      <c r="AE361" s="5"/>
      <c r="AF361" s="5" t="s">
        <v>4346</v>
      </c>
      <c r="AG361" s="5"/>
      <c r="AH361" s="5"/>
      <c r="AI361" s="5"/>
      <c r="AJ361" s="5"/>
      <c r="AK361" s="5"/>
      <c r="AL361" s="5" t="s">
        <v>4346</v>
      </c>
      <c r="AM361" s="5"/>
      <c r="AN361" s="5"/>
      <c r="AO361" s="5"/>
      <c r="AP361" s="5"/>
      <c r="AQ361" s="5" t="s">
        <v>4346</v>
      </c>
      <c r="AR361" s="5" t="s">
        <v>2665</v>
      </c>
      <c r="AS361" s="5"/>
      <c r="AT361" s="5"/>
      <c r="AU361" s="5"/>
      <c r="AV361" s="5" t="s">
        <v>178</v>
      </c>
      <c r="AW361" s="5" t="s">
        <v>4087</v>
      </c>
    </row>
    <row r="362" customFormat="false" ht="124.6" hidden="false" customHeight="false" outlineLevel="0" collapsed="false">
      <c r="A362" s="5" t="s">
        <v>4347</v>
      </c>
      <c r="B362" s="5" t="s">
        <v>4348</v>
      </c>
      <c r="C362" s="5" t="s">
        <v>4043</v>
      </c>
      <c r="D362" s="5" t="s">
        <v>4044</v>
      </c>
      <c r="E362" s="5" t="s">
        <v>626</v>
      </c>
      <c r="F362" s="5" t="s">
        <v>4349</v>
      </c>
      <c r="G362" s="5" t="s">
        <v>4350</v>
      </c>
      <c r="H362" s="5" t="n">
        <v>1</v>
      </c>
      <c r="I362" s="5" t="s">
        <v>603</v>
      </c>
      <c r="J362" s="5" t="s">
        <v>153</v>
      </c>
      <c r="K362" s="5"/>
      <c r="L362" s="5" t="s">
        <v>85</v>
      </c>
      <c r="M362" s="5" t="s">
        <v>185</v>
      </c>
      <c r="N362" s="5" t="s">
        <v>84</v>
      </c>
      <c r="O362" s="5" t="s">
        <v>214</v>
      </c>
      <c r="P362" s="5" t="s">
        <v>215</v>
      </c>
      <c r="Q362" s="5" t="s">
        <v>519</v>
      </c>
      <c r="R362" s="5" t="s">
        <v>4048</v>
      </c>
      <c r="S362" s="5" t="s">
        <v>4049</v>
      </c>
      <c r="T362" s="5" t="s">
        <v>606</v>
      </c>
      <c r="U362" s="5" t="n">
        <v>365</v>
      </c>
      <c r="V362" s="5" t="s">
        <v>4050</v>
      </c>
      <c r="W362" s="5" t="s">
        <v>4051</v>
      </c>
      <c r="X362" s="5" t="s">
        <v>4351</v>
      </c>
      <c r="Y362" s="5" t="s">
        <v>4352</v>
      </c>
      <c r="Z362" s="5" t="s">
        <v>4353</v>
      </c>
      <c r="AA362" s="5"/>
      <c r="AB362" s="5"/>
      <c r="AC362" s="5"/>
      <c r="AD362" s="5"/>
      <c r="AE362" s="5"/>
      <c r="AF362" s="5" t="s">
        <v>4354</v>
      </c>
      <c r="AG362" s="5"/>
      <c r="AH362" s="5"/>
      <c r="AI362" s="5"/>
      <c r="AJ362" s="5"/>
      <c r="AK362" s="5"/>
      <c r="AL362" s="5" t="s">
        <v>4354</v>
      </c>
      <c r="AM362" s="5"/>
      <c r="AN362" s="5"/>
      <c r="AO362" s="5"/>
      <c r="AP362" s="5" t="s">
        <v>4355</v>
      </c>
      <c r="AQ362" s="5"/>
      <c r="AR362" s="5" t="s">
        <v>2665</v>
      </c>
      <c r="AS362" s="5"/>
      <c r="AT362" s="5"/>
      <c r="AU362" s="5"/>
      <c r="AV362" s="5"/>
      <c r="AW362" s="5" t="s">
        <v>4356</v>
      </c>
    </row>
    <row r="363" customFormat="false" ht="214.15" hidden="false" customHeight="false" outlineLevel="0" collapsed="false">
      <c r="A363" s="5" t="s">
        <v>4357</v>
      </c>
      <c r="B363" s="5" t="s">
        <v>4358</v>
      </c>
      <c r="C363" s="5" t="s">
        <v>4043</v>
      </c>
      <c r="D363" s="5" t="s">
        <v>4044</v>
      </c>
      <c r="E363" s="5" t="s">
        <v>626</v>
      </c>
      <c r="F363" s="5" t="s">
        <v>4359</v>
      </c>
      <c r="G363" s="5" t="s">
        <v>4360</v>
      </c>
      <c r="H363" s="5" t="n">
        <v>10</v>
      </c>
      <c r="I363" s="5" t="s">
        <v>603</v>
      </c>
      <c r="J363" s="5" t="s">
        <v>153</v>
      </c>
      <c r="K363" s="5"/>
      <c r="L363" s="5" t="s">
        <v>30</v>
      </c>
      <c r="M363" s="5" t="s">
        <v>155</v>
      </c>
      <c r="N363" s="5" t="s">
        <v>4361</v>
      </c>
      <c r="O363" s="5" t="s">
        <v>570</v>
      </c>
      <c r="P363" s="5" t="s">
        <v>158</v>
      </c>
      <c r="Q363" s="5" t="s">
        <v>519</v>
      </c>
      <c r="R363" s="5" t="s">
        <v>4048</v>
      </c>
      <c r="S363" s="5" t="s">
        <v>4049</v>
      </c>
      <c r="T363" s="5" t="s">
        <v>606</v>
      </c>
      <c r="U363" s="5" t="n">
        <v>365</v>
      </c>
      <c r="V363" s="5" t="s">
        <v>4050</v>
      </c>
      <c r="W363" s="5" t="s">
        <v>4362</v>
      </c>
      <c r="X363" s="5" t="s">
        <v>4363</v>
      </c>
      <c r="Y363" s="5" t="s">
        <v>4364</v>
      </c>
      <c r="Z363" s="5" t="s">
        <v>4365</v>
      </c>
      <c r="AA363" s="5" t="s">
        <v>4366</v>
      </c>
      <c r="AB363" s="5"/>
      <c r="AC363" s="5"/>
      <c r="AD363" s="5" t="s">
        <v>4367</v>
      </c>
      <c r="AE363" s="5"/>
      <c r="AF363" s="5" t="s">
        <v>4368</v>
      </c>
      <c r="AG363" s="5" t="s">
        <v>4368</v>
      </c>
      <c r="AH363" s="5" t="s">
        <v>4369</v>
      </c>
      <c r="AI363" s="5" t="s">
        <v>4370</v>
      </c>
      <c r="AJ363" s="5" t="s">
        <v>4081</v>
      </c>
      <c r="AK363" s="5"/>
      <c r="AL363" s="5" t="s">
        <v>4368</v>
      </c>
      <c r="AM363" s="5"/>
      <c r="AN363" s="5" t="s">
        <v>4371</v>
      </c>
      <c r="AO363" s="5" t="s">
        <v>4372</v>
      </c>
      <c r="AP363" s="5"/>
      <c r="AQ363" s="5" t="s">
        <v>4368</v>
      </c>
      <c r="AR363" s="5" t="s">
        <v>2665</v>
      </c>
      <c r="AS363" s="5"/>
      <c r="AT363" s="5" t="s">
        <v>4373</v>
      </c>
      <c r="AU363" s="5"/>
      <c r="AV363" s="5" t="s">
        <v>178</v>
      </c>
      <c r="AW363" s="5" t="s">
        <v>4087</v>
      </c>
    </row>
    <row r="364" customFormat="false" ht="247.75" hidden="false" customHeight="false" outlineLevel="0" collapsed="false">
      <c r="A364" s="5" t="s">
        <v>4374</v>
      </c>
      <c r="B364" s="5" t="s">
        <v>4375</v>
      </c>
      <c r="C364" s="5" t="s">
        <v>4043</v>
      </c>
      <c r="D364" s="5" t="s">
        <v>4044</v>
      </c>
      <c r="E364" s="5" t="s">
        <v>626</v>
      </c>
      <c r="F364" s="5" t="s">
        <v>4376</v>
      </c>
      <c r="G364" s="5" t="s">
        <v>4377</v>
      </c>
      <c r="H364" s="5" t="n">
        <v>9</v>
      </c>
      <c r="I364" s="5" t="s">
        <v>603</v>
      </c>
      <c r="J364" s="5" t="s">
        <v>153</v>
      </c>
      <c r="K364" s="5"/>
      <c r="L364" s="5" t="s">
        <v>30</v>
      </c>
      <c r="M364" s="5" t="s">
        <v>155</v>
      </c>
      <c r="N364" s="5" t="s">
        <v>4214</v>
      </c>
      <c r="O364" s="5" t="s">
        <v>570</v>
      </c>
      <c r="P364" s="5" t="s">
        <v>158</v>
      </c>
      <c r="Q364" s="5" t="s">
        <v>519</v>
      </c>
      <c r="R364" s="5" t="s">
        <v>4048</v>
      </c>
      <c r="S364" s="5" t="s">
        <v>4049</v>
      </c>
      <c r="T364" s="5" t="s">
        <v>606</v>
      </c>
      <c r="U364" s="5" t="n">
        <v>365</v>
      </c>
      <c r="V364" s="5" t="s">
        <v>4050</v>
      </c>
      <c r="W364" s="5" t="s">
        <v>4362</v>
      </c>
      <c r="X364" s="5" t="s">
        <v>4378</v>
      </c>
      <c r="Y364" s="5" t="s">
        <v>4379</v>
      </c>
      <c r="Z364" s="5" t="s">
        <v>4380</v>
      </c>
      <c r="AA364" s="5" t="s">
        <v>4366</v>
      </c>
      <c r="AB364" s="5" t="s">
        <v>4381</v>
      </c>
      <c r="AC364" s="5"/>
      <c r="AD364" s="5" t="s">
        <v>4382</v>
      </c>
      <c r="AE364" s="5"/>
      <c r="AF364" s="5" t="s">
        <v>4383</v>
      </c>
      <c r="AG364" s="5" t="s">
        <v>4383</v>
      </c>
      <c r="AH364" s="5" t="s">
        <v>4384</v>
      </c>
      <c r="AI364" s="5" t="s">
        <v>4370</v>
      </c>
      <c r="AJ364" s="5" t="s">
        <v>4385</v>
      </c>
      <c r="AK364" s="5"/>
      <c r="AL364" s="5" t="s">
        <v>4383</v>
      </c>
      <c r="AM364" s="5"/>
      <c r="AN364" s="5"/>
      <c r="AO364" s="5" t="s">
        <v>4386</v>
      </c>
      <c r="AP364" s="5"/>
      <c r="AQ364" s="5" t="s">
        <v>4383</v>
      </c>
      <c r="AR364" s="5" t="s">
        <v>2665</v>
      </c>
      <c r="AS364" s="5"/>
      <c r="AT364" s="5" t="s">
        <v>4387</v>
      </c>
      <c r="AU364" s="5"/>
      <c r="AV364" s="5" t="s">
        <v>178</v>
      </c>
      <c r="AW364" s="5" t="s">
        <v>4087</v>
      </c>
    </row>
    <row r="365" customFormat="false" ht="180.55" hidden="false" customHeight="false" outlineLevel="0" collapsed="false">
      <c r="A365" s="5" t="s">
        <v>4388</v>
      </c>
      <c r="B365" s="5" t="s">
        <v>4389</v>
      </c>
      <c r="C365" s="5" t="s">
        <v>4043</v>
      </c>
      <c r="D365" s="5" t="s">
        <v>4044</v>
      </c>
      <c r="E365" s="5" t="s">
        <v>626</v>
      </c>
      <c r="F365" s="5" t="s">
        <v>4390</v>
      </c>
      <c r="G365" s="5" t="s">
        <v>4391</v>
      </c>
      <c r="H365" s="5" t="n">
        <v>9</v>
      </c>
      <c r="I365" s="5" t="s">
        <v>603</v>
      </c>
      <c r="J365" s="5" t="s">
        <v>557</v>
      </c>
      <c r="K365" s="5"/>
      <c r="L365" s="5" t="s">
        <v>30</v>
      </c>
      <c r="M365" s="5" t="s">
        <v>155</v>
      </c>
      <c r="N365" s="5" t="s">
        <v>4392</v>
      </c>
      <c r="O365" s="5" t="s">
        <v>570</v>
      </c>
      <c r="P365" s="5" t="s">
        <v>158</v>
      </c>
      <c r="Q365" s="5" t="s">
        <v>519</v>
      </c>
      <c r="R365" s="5" t="s">
        <v>4048</v>
      </c>
      <c r="S365" s="5" t="s">
        <v>4049</v>
      </c>
      <c r="T365" s="5" t="s">
        <v>606</v>
      </c>
      <c r="U365" s="5" t="n">
        <v>90</v>
      </c>
      <c r="V365" s="5" t="s">
        <v>4050</v>
      </c>
      <c r="W365" s="5" t="s">
        <v>4362</v>
      </c>
      <c r="X365" s="5" t="s">
        <v>4393</v>
      </c>
      <c r="Y365" s="5" t="s">
        <v>4394</v>
      </c>
      <c r="Z365" s="5" t="s">
        <v>4395</v>
      </c>
      <c r="AA365" s="5"/>
      <c r="AB365" s="5" t="s">
        <v>4396</v>
      </c>
      <c r="AC365" s="5"/>
      <c r="AD365" s="5" t="s">
        <v>4397</v>
      </c>
      <c r="AE365" s="5"/>
      <c r="AF365" s="5" t="s">
        <v>4398</v>
      </c>
      <c r="AG365" s="5" t="s">
        <v>4398</v>
      </c>
      <c r="AH365" s="5"/>
      <c r="AI365" s="5"/>
      <c r="AJ365" s="5" t="s">
        <v>4081</v>
      </c>
      <c r="AK365" s="5"/>
      <c r="AL365" s="5" t="s">
        <v>4398</v>
      </c>
      <c r="AM365" s="5" t="s">
        <v>4398</v>
      </c>
      <c r="AN365" s="5"/>
      <c r="AO365" s="5" t="s">
        <v>4399</v>
      </c>
      <c r="AP365" s="5"/>
      <c r="AQ365" s="5" t="s">
        <v>4398</v>
      </c>
      <c r="AR365" s="5" t="s">
        <v>2665</v>
      </c>
      <c r="AS365" s="5"/>
      <c r="AT365" s="5"/>
      <c r="AU365" s="5"/>
      <c r="AV365" s="5"/>
      <c r="AW365" s="5" t="s">
        <v>4087</v>
      </c>
    </row>
    <row r="366" customFormat="false" ht="124.6" hidden="false" customHeight="false" outlineLevel="0" collapsed="false">
      <c r="A366" s="5" t="s">
        <v>4400</v>
      </c>
      <c r="B366" s="5" t="s">
        <v>4401</v>
      </c>
      <c r="C366" s="5" t="s">
        <v>4043</v>
      </c>
      <c r="D366" s="5" t="s">
        <v>4044</v>
      </c>
      <c r="E366" s="5" t="s">
        <v>626</v>
      </c>
      <c r="F366" s="5" t="s">
        <v>4402</v>
      </c>
      <c r="G366" s="5" t="s">
        <v>4403</v>
      </c>
      <c r="H366" s="5" t="n">
        <v>9</v>
      </c>
      <c r="I366" s="5" t="s">
        <v>274</v>
      </c>
      <c r="J366" s="5" t="s">
        <v>153</v>
      </c>
      <c r="K366" s="5"/>
      <c r="L366" s="5" t="s">
        <v>85</v>
      </c>
      <c r="M366" s="5" t="s">
        <v>185</v>
      </c>
      <c r="N366" s="5" t="s">
        <v>88</v>
      </c>
      <c r="O366" s="5" t="s">
        <v>214</v>
      </c>
      <c r="P366" s="5" t="s">
        <v>215</v>
      </c>
      <c r="Q366" s="5" t="s">
        <v>519</v>
      </c>
      <c r="R366" s="5" t="s">
        <v>4048</v>
      </c>
      <c r="S366" s="5" t="s">
        <v>4049</v>
      </c>
      <c r="T366" s="5" t="s">
        <v>277</v>
      </c>
      <c r="U366" s="5" t="n">
        <v>365</v>
      </c>
      <c r="V366" s="5" t="s">
        <v>4050</v>
      </c>
      <c r="W366" s="5" t="s">
        <v>4362</v>
      </c>
      <c r="X366" s="5" t="s">
        <v>4404</v>
      </c>
      <c r="Y366" s="5" t="s">
        <v>4405</v>
      </c>
      <c r="Z366" s="5" t="s">
        <v>4406</v>
      </c>
      <c r="AA366" s="5"/>
      <c r="AB366" s="5"/>
      <c r="AC366" s="5"/>
      <c r="AD366" s="5"/>
      <c r="AE366" s="5"/>
      <c r="AF366" s="5" t="s">
        <v>4267</v>
      </c>
      <c r="AG366" s="5"/>
      <c r="AH366" s="5"/>
      <c r="AI366" s="5"/>
      <c r="AJ366" s="5"/>
      <c r="AK366" s="5"/>
      <c r="AL366" s="5" t="s">
        <v>4267</v>
      </c>
      <c r="AM366" s="5"/>
      <c r="AN366" s="5"/>
      <c r="AO366" s="5"/>
      <c r="AP366" s="5"/>
      <c r="AQ366" s="5" t="s">
        <v>4267</v>
      </c>
      <c r="AR366" s="5" t="s">
        <v>2665</v>
      </c>
      <c r="AS366" s="5"/>
      <c r="AT366" s="5"/>
      <c r="AU366" s="5"/>
      <c r="AV366" s="5" t="s">
        <v>178</v>
      </c>
      <c r="AW366" s="5" t="s">
        <v>4407</v>
      </c>
    </row>
    <row r="367" customFormat="false" ht="258.95" hidden="false" customHeight="false" outlineLevel="0" collapsed="false">
      <c r="A367" s="5" t="s">
        <v>4408</v>
      </c>
      <c r="B367" s="5" t="s">
        <v>4409</v>
      </c>
      <c r="C367" s="5" t="s">
        <v>4043</v>
      </c>
      <c r="D367" s="5" t="s">
        <v>4044</v>
      </c>
      <c r="E367" s="5" t="s">
        <v>626</v>
      </c>
      <c r="F367" s="5" t="s">
        <v>4410</v>
      </c>
      <c r="G367" s="5" t="s">
        <v>4411</v>
      </c>
      <c r="H367" s="5" t="n">
        <v>5</v>
      </c>
      <c r="I367" s="5" t="s">
        <v>603</v>
      </c>
      <c r="J367" s="5" t="s">
        <v>557</v>
      </c>
      <c r="K367" s="5"/>
      <c r="L367" s="5" t="s">
        <v>30</v>
      </c>
      <c r="M367" s="5" t="s">
        <v>155</v>
      </c>
      <c r="N367" s="5" t="s">
        <v>398</v>
      </c>
      <c r="O367" s="5" t="s">
        <v>157</v>
      </c>
      <c r="P367" s="5" t="s">
        <v>215</v>
      </c>
      <c r="Q367" s="5" t="s">
        <v>519</v>
      </c>
      <c r="R367" s="5" t="s">
        <v>4048</v>
      </c>
      <c r="S367" s="5" t="s">
        <v>4049</v>
      </c>
      <c r="T367" s="5" t="s">
        <v>606</v>
      </c>
      <c r="U367" s="5" t="n">
        <v>90</v>
      </c>
      <c r="V367" s="5" t="s">
        <v>4050</v>
      </c>
      <c r="W367" s="5" t="s">
        <v>4362</v>
      </c>
      <c r="X367" s="5" t="s">
        <v>4412</v>
      </c>
      <c r="Y367" s="5" t="s">
        <v>4413</v>
      </c>
      <c r="Z367" s="5" t="s">
        <v>4414</v>
      </c>
      <c r="AA367" s="5"/>
      <c r="AB367" s="5"/>
      <c r="AC367" s="5"/>
      <c r="AD367" s="5"/>
      <c r="AE367" s="5"/>
      <c r="AF367" s="5" t="s">
        <v>4383</v>
      </c>
      <c r="AG367" s="5" t="s">
        <v>4383</v>
      </c>
      <c r="AH367" s="5"/>
      <c r="AI367" s="5"/>
      <c r="AJ367" s="5"/>
      <c r="AK367" s="5"/>
      <c r="AL367" s="5" t="s">
        <v>4383</v>
      </c>
      <c r="AM367" s="5"/>
      <c r="AN367" s="5"/>
      <c r="AO367" s="5"/>
      <c r="AP367" s="5"/>
      <c r="AQ367" s="5" t="s">
        <v>4383</v>
      </c>
      <c r="AR367" s="5" t="s">
        <v>2665</v>
      </c>
      <c r="AS367" s="5"/>
      <c r="AT367" s="5"/>
      <c r="AU367" s="5"/>
      <c r="AV367" s="5" t="s">
        <v>178</v>
      </c>
      <c r="AW367" s="5" t="s">
        <v>4087</v>
      </c>
    </row>
    <row r="368" customFormat="false" ht="169.4" hidden="false" customHeight="false" outlineLevel="0" collapsed="false">
      <c r="A368" s="5" t="s">
        <v>4415</v>
      </c>
      <c r="B368" s="5" t="s">
        <v>4416</v>
      </c>
      <c r="C368" s="5" t="s">
        <v>4043</v>
      </c>
      <c r="D368" s="5" t="s">
        <v>4044</v>
      </c>
      <c r="E368" s="5" t="s">
        <v>626</v>
      </c>
      <c r="F368" s="5" t="s">
        <v>4417</v>
      </c>
      <c r="G368" s="5" t="s">
        <v>4418</v>
      </c>
      <c r="H368" s="5" t="n">
        <v>10</v>
      </c>
      <c r="I368" s="5" t="s">
        <v>603</v>
      </c>
      <c r="J368" s="5" t="s">
        <v>153</v>
      </c>
      <c r="K368" s="5"/>
      <c r="L368" s="5" t="s">
        <v>30</v>
      </c>
      <c r="M368" s="5" t="s">
        <v>155</v>
      </c>
      <c r="N368" s="5" t="s">
        <v>4419</v>
      </c>
      <c r="O368" s="5" t="s">
        <v>570</v>
      </c>
      <c r="P368" s="5" t="s">
        <v>641</v>
      </c>
      <c r="Q368" s="5" t="s">
        <v>519</v>
      </c>
      <c r="R368" s="5" t="s">
        <v>4048</v>
      </c>
      <c r="S368" s="5" t="s">
        <v>4049</v>
      </c>
      <c r="T368" s="5" t="s">
        <v>606</v>
      </c>
      <c r="U368" s="5" t="n">
        <v>365</v>
      </c>
      <c r="V368" s="5" t="s">
        <v>4050</v>
      </c>
      <c r="W368" s="5" t="s">
        <v>4362</v>
      </c>
      <c r="X368" s="5" t="s">
        <v>4420</v>
      </c>
      <c r="Y368" s="5" t="s">
        <v>4421</v>
      </c>
      <c r="Z368" s="5" t="s">
        <v>4422</v>
      </c>
      <c r="AA368" s="5"/>
      <c r="AB368" s="5"/>
      <c r="AC368" s="5"/>
      <c r="AD368" s="5" t="s">
        <v>4423</v>
      </c>
      <c r="AE368" s="5"/>
      <c r="AF368" s="5" t="s">
        <v>4424</v>
      </c>
      <c r="AG368" s="5" t="s">
        <v>4424</v>
      </c>
      <c r="AH368" s="5"/>
      <c r="AI368" s="5"/>
      <c r="AJ368" s="5"/>
      <c r="AK368" s="5"/>
      <c r="AL368" s="5" t="s">
        <v>4424</v>
      </c>
      <c r="AM368" s="5" t="s">
        <v>4424</v>
      </c>
      <c r="AN368" s="5"/>
      <c r="AO368" s="5"/>
      <c r="AP368" s="5"/>
      <c r="AQ368" s="5" t="s">
        <v>4424</v>
      </c>
      <c r="AR368" s="5" t="s">
        <v>2665</v>
      </c>
      <c r="AS368" s="5"/>
      <c r="AT368" s="5" t="s">
        <v>4387</v>
      </c>
      <c r="AU368" s="5"/>
      <c r="AV368" s="5" t="s">
        <v>178</v>
      </c>
      <c r="AW368" s="5" t="s">
        <v>4425</v>
      </c>
    </row>
    <row r="369" customFormat="false" ht="135.8" hidden="false" customHeight="false" outlineLevel="0" collapsed="false">
      <c r="A369" s="5" t="s">
        <v>4426</v>
      </c>
      <c r="B369" s="5" t="s">
        <v>4427</v>
      </c>
      <c r="C369" s="5" t="s">
        <v>4043</v>
      </c>
      <c r="D369" s="5" t="s">
        <v>4044</v>
      </c>
      <c r="E369" s="5" t="s">
        <v>626</v>
      </c>
      <c r="F369" s="5" t="s">
        <v>4428</v>
      </c>
      <c r="G369" s="5" t="s">
        <v>4429</v>
      </c>
      <c r="H369" s="5" t="n">
        <v>9</v>
      </c>
      <c r="I369" s="5" t="s">
        <v>603</v>
      </c>
      <c r="J369" s="5" t="s">
        <v>557</v>
      </c>
      <c r="K369" s="5"/>
      <c r="L369" s="5" t="s">
        <v>30</v>
      </c>
      <c r="M369" s="5" t="s">
        <v>155</v>
      </c>
      <c r="N369" s="5" t="s">
        <v>398</v>
      </c>
      <c r="O369" s="5" t="s">
        <v>157</v>
      </c>
      <c r="P369" s="5" t="s">
        <v>215</v>
      </c>
      <c r="Q369" s="5" t="s">
        <v>519</v>
      </c>
      <c r="R369" s="5" t="s">
        <v>4048</v>
      </c>
      <c r="S369" s="5" t="s">
        <v>4049</v>
      </c>
      <c r="T369" s="5" t="s">
        <v>606</v>
      </c>
      <c r="U369" s="5" t="n">
        <v>90</v>
      </c>
      <c r="V369" s="5" t="s">
        <v>4050</v>
      </c>
      <c r="W369" s="5" t="s">
        <v>4362</v>
      </c>
      <c r="X369" s="5" t="s">
        <v>4430</v>
      </c>
      <c r="Y369" s="5" t="s">
        <v>4431</v>
      </c>
      <c r="Z369" s="5" t="s">
        <v>4432</v>
      </c>
      <c r="AA369" s="5"/>
      <c r="AB369" s="5"/>
      <c r="AC369" s="5"/>
      <c r="AD369" s="5"/>
      <c r="AE369" s="5"/>
      <c r="AF369" s="5" t="s">
        <v>4221</v>
      </c>
      <c r="AG369" s="5" t="s">
        <v>4221</v>
      </c>
      <c r="AH369" s="5"/>
      <c r="AI369" s="5"/>
      <c r="AJ369" s="5"/>
      <c r="AK369" s="5"/>
      <c r="AL369" s="5" t="s">
        <v>4221</v>
      </c>
      <c r="AM369" s="5"/>
      <c r="AN369" s="5"/>
      <c r="AO369" s="5"/>
      <c r="AP369" s="5"/>
      <c r="AQ369" s="5" t="s">
        <v>4221</v>
      </c>
      <c r="AR369" s="5" t="s">
        <v>2665</v>
      </c>
      <c r="AS369" s="5"/>
      <c r="AT369" s="5"/>
      <c r="AU369" s="5"/>
      <c r="AV369" s="5"/>
      <c r="AW369" s="5" t="s">
        <v>4087</v>
      </c>
    </row>
    <row r="370" customFormat="false" ht="147" hidden="false" customHeight="false" outlineLevel="0" collapsed="false">
      <c r="A370" s="5" t="s">
        <v>4433</v>
      </c>
      <c r="B370" s="5" t="s">
        <v>4434</v>
      </c>
      <c r="C370" s="5" t="s">
        <v>4043</v>
      </c>
      <c r="D370" s="5" t="s">
        <v>4044</v>
      </c>
      <c r="E370" s="5" t="s">
        <v>626</v>
      </c>
      <c r="F370" s="5" t="s">
        <v>4435</v>
      </c>
      <c r="G370" s="5" t="s">
        <v>4436</v>
      </c>
      <c r="H370" s="5" t="n">
        <v>10</v>
      </c>
      <c r="I370" s="5" t="s">
        <v>603</v>
      </c>
      <c r="J370" s="5" t="s">
        <v>153</v>
      </c>
      <c r="K370" s="5"/>
      <c r="L370" s="5" t="s">
        <v>30</v>
      </c>
      <c r="M370" s="5" t="s">
        <v>155</v>
      </c>
      <c r="N370" s="5" t="s">
        <v>4437</v>
      </c>
      <c r="O370" s="5" t="s">
        <v>570</v>
      </c>
      <c r="P370" s="5" t="s">
        <v>158</v>
      </c>
      <c r="Q370" s="5" t="s">
        <v>519</v>
      </c>
      <c r="R370" s="5" t="s">
        <v>4048</v>
      </c>
      <c r="S370" s="5" t="s">
        <v>4049</v>
      </c>
      <c r="T370" s="5" t="s">
        <v>606</v>
      </c>
      <c r="U370" s="5" t="n">
        <v>365</v>
      </c>
      <c r="V370" s="5" t="s">
        <v>4050</v>
      </c>
      <c r="W370" s="5" t="s">
        <v>4362</v>
      </c>
      <c r="X370" s="5" t="s">
        <v>4438</v>
      </c>
      <c r="Y370" s="5" t="s">
        <v>4439</v>
      </c>
      <c r="Z370" s="5" t="s">
        <v>4440</v>
      </c>
      <c r="AA370" s="5"/>
      <c r="AB370" s="5"/>
      <c r="AC370" s="5"/>
      <c r="AD370" s="5" t="s">
        <v>4441</v>
      </c>
      <c r="AE370" s="5"/>
      <c r="AF370" s="5" t="s">
        <v>4442</v>
      </c>
      <c r="AG370" s="5" t="s">
        <v>4443</v>
      </c>
      <c r="AH370" s="5" t="s">
        <v>4444</v>
      </c>
      <c r="AI370" s="5" t="s">
        <v>4445</v>
      </c>
      <c r="AJ370" s="5"/>
      <c r="AK370" s="5"/>
      <c r="AL370" s="5" t="s">
        <v>4442</v>
      </c>
      <c r="AM370" s="5"/>
      <c r="AN370" s="5" t="s">
        <v>4371</v>
      </c>
      <c r="AO370" s="5" t="s">
        <v>4446</v>
      </c>
      <c r="AP370" s="5"/>
      <c r="AQ370" s="5" t="s">
        <v>4443</v>
      </c>
      <c r="AR370" s="5" t="s">
        <v>2665</v>
      </c>
      <c r="AS370" s="5"/>
      <c r="AT370" s="5" t="s">
        <v>4387</v>
      </c>
      <c r="AU370" s="5"/>
      <c r="AV370" s="5" t="s">
        <v>178</v>
      </c>
      <c r="AW370" s="5" t="s">
        <v>4124</v>
      </c>
    </row>
    <row r="371" customFormat="false" ht="135.8" hidden="false" customHeight="false" outlineLevel="0" collapsed="false">
      <c r="A371" s="5" t="s">
        <v>4447</v>
      </c>
      <c r="B371" s="5" t="s">
        <v>4448</v>
      </c>
      <c r="C371" s="5" t="s">
        <v>4043</v>
      </c>
      <c r="D371" s="5" t="s">
        <v>4044</v>
      </c>
      <c r="E371" s="5" t="s">
        <v>626</v>
      </c>
      <c r="F371" s="5" t="s">
        <v>4449</v>
      </c>
      <c r="G371" s="5" t="s">
        <v>4450</v>
      </c>
      <c r="H371" s="5" t="n">
        <v>5</v>
      </c>
      <c r="I371" s="5" t="s">
        <v>603</v>
      </c>
      <c r="J371" s="5" t="s">
        <v>153</v>
      </c>
      <c r="K371" s="5"/>
      <c r="L371" s="5" t="s">
        <v>30</v>
      </c>
      <c r="M371" s="5" t="s">
        <v>155</v>
      </c>
      <c r="N371" s="5" t="s">
        <v>2028</v>
      </c>
      <c r="O371" s="5" t="s">
        <v>157</v>
      </c>
      <c r="P371" s="5" t="s">
        <v>215</v>
      </c>
      <c r="Q371" s="5" t="s">
        <v>519</v>
      </c>
      <c r="R371" s="5" t="s">
        <v>4048</v>
      </c>
      <c r="S371" s="5" t="s">
        <v>4049</v>
      </c>
      <c r="T371" s="5" t="s">
        <v>606</v>
      </c>
      <c r="U371" s="5" t="n">
        <v>365</v>
      </c>
      <c r="V371" s="5" t="s">
        <v>4050</v>
      </c>
      <c r="W371" s="5" t="s">
        <v>4362</v>
      </c>
      <c r="X371" s="5" t="s">
        <v>4451</v>
      </c>
      <c r="Y371" s="5" t="s">
        <v>4344</v>
      </c>
      <c r="Z371" s="5" t="s">
        <v>4452</v>
      </c>
      <c r="AA371" s="5"/>
      <c r="AB371" s="5"/>
      <c r="AC371" s="5"/>
      <c r="AD371" s="5"/>
      <c r="AE371" s="5"/>
      <c r="AF371" s="5" t="s">
        <v>4346</v>
      </c>
      <c r="AG371" s="5"/>
      <c r="AH371" s="5"/>
      <c r="AI371" s="5" t="s">
        <v>4453</v>
      </c>
      <c r="AJ371" s="5"/>
      <c r="AK371" s="5"/>
      <c r="AL371" s="5" t="s">
        <v>4346</v>
      </c>
      <c r="AM371" s="5"/>
      <c r="AN371" s="5"/>
      <c r="AO371" s="5"/>
      <c r="AP371" s="5"/>
      <c r="AQ371" s="5" t="s">
        <v>4346</v>
      </c>
      <c r="AR371" s="5" t="s">
        <v>2665</v>
      </c>
      <c r="AS371" s="5"/>
      <c r="AT371" s="5"/>
      <c r="AU371" s="5"/>
      <c r="AV371" s="5"/>
      <c r="AW371" s="5" t="s">
        <v>4454</v>
      </c>
    </row>
    <row r="372" customFormat="false" ht="247.75" hidden="false" customHeight="false" outlineLevel="0" collapsed="false">
      <c r="A372" s="5" t="s">
        <v>4455</v>
      </c>
      <c r="B372" s="5" t="s">
        <v>4456</v>
      </c>
      <c r="C372" s="5" t="s">
        <v>4043</v>
      </c>
      <c r="D372" s="5" t="s">
        <v>4044</v>
      </c>
      <c r="E372" s="5" t="s">
        <v>626</v>
      </c>
      <c r="F372" s="5" t="s">
        <v>4457</v>
      </c>
      <c r="G372" s="5" t="s">
        <v>4458</v>
      </c>
      <c r="H372" s="5" t="n">
        <v>8</v>
      </c>
      <c r="I372" s="5" t="s">
        <v>603</v>
      </c>
      <c r="J372" s="5" t="s">
        <v>557</v>
      </c>
      <c r="K372" s="5"/>
      <c r="L372" s="5" t="s">
        <v>30</v>
      </c>
      <c r="M372" s="5" t="s">
        <v>155</v>
      </c>
      <c r="N372" s="5" t="s">
        <v>836</v>
      </c>
      <c r="O372" s="5" t="s">
        <v>157</v>
      </c>
      <c r="P372" s="5" t="s">
        <v>215</v>
      </c>
      <c r="Q372" s="5" t="s">
        <v>519</v>
      </c>
      <c r="R372" s="5" t="s">
        <v>4048</v>
      </c>
      <c r="S372" s="5" t="s">
        <v>4049</v>
      </c>
      <c r="T372" s="5" t="s">
        <v>606</v>
      </c>
      <c r="U372" s="5" t="n">
        <v>90</v>
      </c>
      <c r="V372" s="5" t="s">
        <v>4050</v>
      </c>
      <c r="W372" s="5" t="s">
        <v>4362</v>
      </c>
      <c r="X372" s="5" t="s">
        <v>4459</v>
      </c>
      <c r="Y372" s="5" t="s">
        <v>4460</v>
      </c>
      <c r="Z372" s="5" t="s">
        <v>4461</v>
      </c>
      <c r="AA372" s="5"/>
      <c r="AB372" s="5"/>
      <c r="AC372" s="5"/>
      <c r="AD372" s="5"/>
      <c r="AE372" s="5"/>
      <c r="AF372" s="5" t="s">
        <v>4462</v>
      </c>
      <c r="AG372" s="5"/>
      <c r="AH372" s="5"/>
      <c r="AI372" s="5" t="s">
        <v>2809</v>
      </c>
      <c r="AJ372" s="5"/>
      <c r="AK372" s="5"/>
      <c r="AL372" s="5" t="s">
        <v>4462</v>
      </c>
      <c r="AM372" s="5"/>
      <c r="AN372" s="5"/>
      <c r="AO372" s="5"/>
      <c r="AP372" s="5"/>
      <c r="AQ372" s="5"/>
      <c r="AR372" s="5" t="s">
        <v>2665</v>
      </c>
      <c r="AS372" s="5"/>
      <c r="AT372" s="5" t="s">
        <v>4373</v>
      </c>
      <c r="AU372" s="5"/>
      <c r="AV372" s="5" t="s">
        <v>178</v>
      </c>
      <c r="AW372" s="5" t="s">
        <v>4463</v>
      </c>
    </row>
    <row r="373" customFormat="false" ht="124.6" hidden="false" customHeight="false" outlineLevel="0" collapsed="false">
      <c r="A373" s="5" t="s">
        <v>4464</v>
      </c>
      <c r="B373" s="5" t="s">
        <v>4465</v>
      </c>
      <c r="C373" s="5" t="s">
        <v>4043</v>
      </c>
      <c r="D373" s="5" t="s">
        <v>4044</v>
      </c>
      <c r="E373" s="5" t="s">
        <v>626</v>
      </c>
      <c r="F373" s="5" t="s">
        <v>4466</v>
      </c>
      <c r="G373" s="5" t="s">
        <v>4467</v>
      </c>
      <c r="H373" s="5" t="n">
        <v>9</v>
      </c>
      <c r="I373" s="5" t="s">
        <v>152</v>
      </c>
      <c r="J373" s="5" t="s">
        <v>153</v>
      </c>
      <c r="K373" s="5"/>
      <c r="L373" s="5" t="s">
        <v>30</v>
      </c>
      <c r="M373" s="5" t="s">
        <v>155</v>
      </c>
      <c r="N373" s="5" t="s">
        <v>124</v>
      </c>
      <c r="O373" s="5" t="s">
        <v>157</v>
      </c>
      <c r="P373" s="5" t="s">
        <v>215</v>
      </c>
      <c r="Q373" s="5" t="s">
        <v>519</v>
      </c>
      <c r="R373" s="5" t="s">
        <v>4048</v>
      </c>
      <c r="S373" s="5" t="s">
        <v>4049</v>
      </c>
      <c r="T373" s="5" t="s">
        <v>162</v>
      </c>
      <c r="U373" s="5" t="n">
        <v>365</v>
      </c>
      <c r="V373" s="5" t="s">
        <v>4050</v>
      </c>
      <c r="W373" s="5" t="s">
        <v>4362</v>
      </c>
      <c r="X373" s="5" t="s">
        <v>4468</v>
      </c>
      <c r="Y373" s="5" t="s">
        <v>4469</v>
      </c>
      <c r="Z373" s="5" t="s">
        <v>4470</v>
      </c>
      <c r="AA373" s="5" t="s">
        <v>4471</v>
      </c>
      <c r="AB373" s="5"/>
      <c r="AC373" s="5"/>
      <c r="AD373" s="5"/>
      <c r="AE373" s="5"/>
      <c r="AF373" s="5"/>
      <c r="AG373" s="5"/>
      <c r="AH373" s="5"/>
      <c r="AI373" s="5"/>
      <c r="AJ373" s="5"/>
      <c r="AK373" s="5"/>
      <c r="AL373" s="5"/>
      <c r="AM373" s="5"/>
      <c r="AN373" s="5"/>
      <c r="AO373" s="5"/>
      <c r="AP373" s="5"/>
      <c r="AQ373" s="5"/>
      <c r="AR373" s="5"/>
      <c r="AS373" s="5"/>
      <c r="AT373" s="5"/>
      <c r="AU373" s="5"/>
      <c r="AV373" s="5"/>
      <c r="AW373" s="5" t="s">
        <v>4472</v>
      </c>
    </row>
    <row r="374" customFormat="false" ht="135.8" hidden="false" customHeight="false" outlineLevel="0" collapsed="false">
      <c r="A374" s="5" t="s">
        <v>4473</v>
      </c>
      <c r="B374" s="5" t="s">
        <v>4474</v>
      </c>
      <c r="C374" s="5" t="s">
        <v>4043</v>
      </c>
      <c r="D374" s="5" t="s">
        <v>4044</v>
      </c>
      <c r="E374" s="5" t="s">
        <v>626</v>
      </c>
      <c r="F374" s="5" t="s">
        <v>4475</v>
      </c>
      <c r="G374" s="5" t="s">
        <v>4476</v>
      </c>
      <c r="H374" s="5" t="n">
        <v>6</v>
      </c>
      <c r="I374" s="5" t="s">
        <v>603</v>
      </c>
      <c r="J374" s="5" t="s">
        <v>153</v>
      </c>
      <c r="K374" s="5"/>
      <c r="L374" s="5" t="s">
        <v>30</v>
      </c>
      <c r="M374" s="5" t="s">
        <v>155</v>
      </c>
      <c r="N374" s="5" t="s">
        <v>4477</v>
      </c>
      <c r="O374" s="5" t="s">
        <v>570</v>
      </c>
      <c r="P374" s="5" t="s">
        <v>641</v>
      </c>
      <c r="Q374" s="5" t="s">
        <v>519</v>
      </c>
      <c r="R374" s="5" t="s">
        <v>4048</v>
      </c>
      <c r="S374" s="5" t="s">
        <v>4049</v>
      </c>
      <c r="T374" s="5" t="s">
        <v>606</v>
      </c>
      <c r="U374" s="5" t="n">
        <v>365</v>
      </c>
      <c r="V374" s="5" t="s">
        <v>4050</v>
      </c>
      <c r="W374" s="5" t="s">
        <v>4051</v>
      </c>
      <c r="X374" s="5" t="s">
        <v>4478</v>
      </c>
      <c r="Y374" s="5" t="s">
        <v>4479</v>
      </c>
      <c r="Z374" s="5" t="s">
        <v>4480</v>
      </c>
      <c r="AA374" s="5" t="s">
        <v>4481</v>
      </c>
      <c r="AB374" s="5" t="s">
        <v>4482</v>
      </c>
      <c r="AC374" s="5"/>
      <c r="AD374" s="5" t="s">
        <v>4483</v>
      </c>
      <c r="AE374" s="5"/>
      <c r="AF374" s="5" t="s">
        <v>4484</v>
      </c>
      <c r="AG374" s="5" t="s">
        <v>4484</v>
      </c>
      <c r="AH374" s="5"/>
      <c r="AI374" s="5"/>
      <c r="AJ374" s="5"/>
      <c r="AK374" s="5"/>
      <c r="AL374" s="5" t="s">
        <v>4484</v>
      </c>
      <c r="AM374" s="5"/>
      <c r="AN374" s="5"/>
      <c r="AO374" s="5"/>
      <c r="AP374" s="5"/>
      <c r="AQ374" s="5"/>
      <c r="AR374" s="5" t="s">
        <v>2665</v>
      </c>
      <c r="AS374" s="5"/>
      <c r="AT374" s="5"/>
      <c r="AU374" s="5"/>
      <c r="AV374" s="5" t="s">
        <v>178</v>
      </c>
      <c r="AW374" s="5" t="s">
        <v>4124</v>
      </c>
    </row>
    <row r="375" customFormat="false" ht="147" hidden="false" customHeight="false" outlineLevel="0" collapsed="false">
      <c r="A375" s="5" t="s">
        <v>4485</v>
      </c>
      <c r="B375" s="5" t="s">
        <v>4486</v>
      </c>
      <c r="C375" s="5" t="s">
        <v>4043</v>
      </c>
      <c r="D375" s="5" t="s">
        <v>4044</v>
      </c>
      <c r="E375" s="5" t="s">
        <v>626</v>
      </c>
      <c r="F375" s="5" t="s">
        <v>4487</v>
      </c>
      <c r="G375" s="5" t="s">
        <v>4488</v>
      </c>
      <c r="H375" s="5" t="n">
        <v>8</v>
      </c>
      <c r="I375" s="5" t="s">
        <v>603</v>
      </c>
      <c r="J375" s="5" t="s">
        <v>652</v>
      </c>
      <c r="K375" s="5"/>
      <c r="L375" s="5" t="s">
        <v>30</v>
      </c>
      <c r="M375" s="5" t="s">
        <v>155</v>
      </c>
      <c r="N375" s="5" t="s">
        <v>4489</v>
      </c>
      <c r="O375" s="5" t="s">
        <v>570</v>
      </c>
      <c r="P375" s="5" t="s">
        <v>215</v>
      </c>
      <c r="Q375" s="5" t="s">
        <v>519</v>
      </c>
      <c r="R375" s="5" t="s">
        <v>4048</v>
      </c>
      <c r="S375" s="5" t="s">
        <v>4049</v>
      </c>
      <c r="T375" s="5" t="s">
        <v>606</v>
      </c>
      <c r="U375" s="5" t="n">
        <v>180</v>
      </c>
      <c r="V375" s="5" t="s">
        <v>4050</v>
      </c>
      <c r="W375" s="5" t="s">
        <v>4051</v>
      </c>
      <c r="X375" s="5" t="s">
        <v>4490</v>
      </c>
      <c r="Y375" s="5" t="s">
        <v>4491</v>
      </c>
      <c r="Z375" s="5" t="s">
        <v>4492</v>
      </c>
      <c r="AA375" s="5"/>
      <c r="AB375" s="5"/>
      <c r="AC375" s="5"/>
      <c r="AD375" s="5"/>
      <c r="AE375" s="5"/>
      <c r="AF375" s="5" t="s">
        <v>2664</v>
      </c>
      <c r="AG375" s="5" t="s">
        <v>2664</v>
      </c>
      <c r="AH375" s="5"/>
      <c r="AI375" s="5"/>
      <c r="AJ375" s="5"/>
      <c r="AK375" s="5"/>
      <c r="AL375" s="5" t="s">
        <v>2664</v>
      </c>
      <c r="AM375" s="5"/>
      <c r="AN375" s="5"/>
      <c r="AO375" s="5" t="s">
        <v>4493</v>
      </c>
      <c r="AP375" s="5"/>
      <c r="AQ375" s="5" t="s">
        <v>2664</v>
      </c>
      <c r="AR375" s="5" t="s">
        <v>2665</v>
      </c>
      <c r="AS375" s="5"/>
      <c r="AT375" s="5"/>
      <c r="AU375" s="5"/>
      <c r="AV375" s="5"/>
      <c r="AW375" s="5" t="s">
        <v>4494</v>
      </c>
    </row>
    <row r="376" customFormat="false" ht="135.8" hidden="false" customHeight="false" outlineLevel="0" collapsed="false">
      <c r="A376" s="5" t="s">
        <v>4495</v>
      </c>
      <c r="B376" s="5" t="s">
        <v>4496</v>
      </c>
      <c r="C376" s="5" t="s">
        <v>4043</v>
      </c>
      <c r="D376" s="5" t="s">
        <v>4044</v>
      </c>
      <c r="E376" s="5" t="s">
        <v>626</v>
      </c>
      <c r="F376" s="5" t="s">
        <v>4497</v>
      </c>
      <c r="G376" s="5" t="s">
        <v>4498</v>
      </c>
      <c r="H376" s="5" t="n">
        <v>3</v>
      </c>
      <c r="I376" s="5" t="s">
        <v>603</v>
      </c>
      <c r="J376" s="5" t="s">
        <v>557</v>
      </c>
      <c r="K376" s="5"/>
      <c r="L376" s="5" t="s">
        <v>30</v>
      </c>
      <c r="M376" s="5" t="s">
        <v>155</v>
      </c>
      <c r="N376" s="5" t="s">
        <v>2383</v>
      </c>
      <c r="O376" s="5" t="s">
        <v>570</v>
      </c>
      <c r="P376" s="5" t="s">
        <v>215</v>
      </c>
      <c r="Q376" s="5" t="s">
        <v>519</v>
      </c>
      <c r="R376" s="5" t="s">
        <v>4048</v>
      </c>
      <c r="S376" s="5" t="s">
        <v>4049</v>
      </c>
      <c r="T376" s="5" t="s">
        <v>606</v>
      </c>
      <c r="U376" s="5" t="n">
        <v>90</v>
      </c>
      <c r="V376" s="5" t="s">
        <v>4050</v>
      </c>
      <c r="W376" s="5" t="s">
        <v>4051</v>
      </c>
      <c r="X376" s="5" t="s">
        <v>4499</v>
      </c>
      <c r="Y376" s="5" t="s">
        <v>4500</v>
      </c>
      <c r="Z376" s="5" t="s">
        <v>4501</v>
      </c>
      <c r="AA376" s="5"/>
      <c r="AB376" s="5" t="s">
        <v>4502</v>
      </c>
      <c r="AC376" s="5"/>
      <c r="AD376" s="5" t="s">
        <v>4503</v>
      </c>
      <c r="AE376" s="5"/>
      <c r="AF376" s="5"/>
      <c r="AG376" s="5"/>
      <c r="AH376" s="5"/>
      <c r="AI376" s="5"/>
      <c r="AJ376" s="5"/>
      <c r="AK376" s="5"/>
      <c r="AL376" s="5"/>
      <c r="AM376" s="5"/>
      <c r="AN376" s="5"/>
      <c r="AO376" s="5"/>
      <c r="AP376" s="5"/>
      <c r="AQ376" s="5"/>
      <c r="AR376" s="5"/>
      <c r="AS376" s="5"/>
      <c r="AT376" s="5"/>
      <c r="AU376" s="5"/>
      <c r="AV376" s="5"/>
      <c r="AW376" s="5" t="s">
        <v>4504</v>
      </c>
    </row>
    <row r="377" customFormat="false" ht="124.6" hidden="false" customHeight="false" outlineLevel="0" collapsed="false">
      <c r="A377" s="5" t="s">
        <v>4505</v>
      </c>
      <c r="B377" s="5" t="s">
        <v>4506</v>
      </c>
      <c r="C377" s="5" t="s">
        <v>4043</v>
      </c>
      <c r="D377" s="5" t="s">
        <v>4044</v>
      </c>
      <c r="E377" s="5" t="s">
        <v>626</v>
      </c>
      <c r="F377" s="5" t="s">
        <v>4507</v>
      </c>
      <c r="G377" s="5" t="s">
        <v>4508</v>
      </c>
      <c r="H377" s="5" t="n">
        <v>8</v>
      </c>
      <c r="I377" s="5" t="s">
        <v>603</v>
      </c>
      <c r="J377" s="5" t="s">
        <v>153</v>
      </c>
      <c r="K377" s="5"/>
      <c r="L377" s="5" t="s">
        <v>30</v>
      </c>
      <c r="M377" s="5" t="s">
        <v>155</v>
      </c>
      <c r="N377" s="5" t="s">
        <v>42</v>
      </c>
      <c r="O377" s="5" t="s">
        <v>157</v>
      </c>
      <c r="P377" s="5" t="s">
        <v>215</v>
      </c>
      <c r="Q377" s="5" t="s">
        <v>519</v>
      </c>
      <c r="R377" s="5" t="s">
        <v>4048</v>
      </c>
      <c r="S377" s="5" t="s">
        <v>4049</v>
      </c>
      <c r="T377" s="5" t="s">
        <v>606</v>
      </c>
      <c r="U377" s="5" t="n">
        <v>365</v>
      </c>
      <c r="V377" s="5" t="s">
        <v>4050</v>
      </c>
      <c r="W377" s="5" t="s">
        <v>4051</v>
      </c>
      <c r="X377" s="5" t="s">
        <v>4509</v>
      </c>
      <c r="Y377" s="5" t="s">
        <v>4510</v>
      </c>
      <c r="Z377" s="5" t="s">
        <v>4511</v>
      </c>
      <c r="AA377" s="5"/>
      <c r="AB377" s="5"/>
      <c r="AC377" s="5"/>
      <c r="AD377" s="5"/>
      <c r="AE377" s="5"/>
      <c r="AF377" s="5" t="s">
        <v>4512</v>
      </c>
      <c r="AG377" s="5" t="s">
        <v>4512</v>
      </c>
      <c r="AH377" s="5"/>
      <c r="AI377" s="5"/>
      <c r="AJ377" s="5"/>
      <c r="AK377" s="5"/>
      <c r="AL377" s="5" t="s">
        <v>4512</v>
      </c>
      <c r="AM377" s="5"/>
      <c r="AN377" s="5"/>
      <c r="AO377" s="5"/>
      <c r="AP377" s="5"/>
      <c r="AQ377" s="5"/>
      <c r="AR377" s="5" t="s">
        <v>2665</v>
      </c>
      <c r="AS377" s="5"/>
      <c r="AT377" s="5"/>
      <c r="AU377" s="5"/>
      <c r="AV377" s="5" t="s">
        <v>178</v>
      </c>
      <c r="AW377" s="5" t="s">
        <v>4124</v>
      </c>
    </row>
    <row r="378" customFormat="false" ht="214.15" hidden="false" customHeight="false" outlineLevel="0" collapsed="false">
      <c r="A378" s="5" t="s">
        <v>4513</v>
      </c>
      <c r="B378" s="5" t="s">
        <v>4514</v>
      </c>
      <c r="C378" s="5" t="s">
        <v>4043</v>
      </c>
      <c r="D378" s="5" t="s">
        <v>4044</v>
      </c>
      <c r="E378" s="5" t="s">
        <v>626</v>
      </c>
      <c r="F378" s="5" t="s">
        <v>4515</v>
      </c>
      <c r="G378" s="5" t="s">
        <v>4516</v>
      </c>
      <c r="H378" s="5" t="n">
        <v>10</v>
      </c>
      <c r="I378" s="5" t="s">
        <v>603</v>
      </c>
      <c r="J378" s="5" t="s">
        <v>557</v>
      </c>
      <c r="K378" s="5" t="s">
        <v>4517</v>
      </c>
      <c r="L378" s="5" t="s">
        <v>30</v>
      </c>
      <c r="M378" s="5" t="s">
        <v>155</v>
      </c>
      <c r="N378" s="5" t="s">
        <v>4518</v>
      </c>
      <c r="O378" s="5" t="s">
        <v>157</v>
      </c>
      <c r="P378" s="5" t="s">
        <v>158</v>
      </c>
      <c r="Q378" s="5" t="s">
        <v>519</v>
      </c>
      <c r="R378" s="5" t="s">
        <v>4048</v>
      </c>
      <c r="S378" s="5" t="s">
        <v>4049</v>
      </c>
      <c r="T378" s="5" t="s">
        <v>606</v>
      </c>
      <c r="U378" s="5" t="n">
        <v>90</v>
      </c>
      <c r="V378" s="5" t="s">
        <v>4050</v>
      </c>
      <c r="W378" s="5" t="s">
        <v>4051</v>
      </c>
      <c r="X378" s="5" t="s">
        <v>4519</v>
      </c>
      <c r="Y378" s="5" t="s">
        <v>4520</v>
      </c>
      <c r="Z378" s="5" t="s">
        <v>4521</v>
      </c>
      <c r="AA378" s="5" t="s">
        <v>4522</v>
      </c>
      <c r="AB378" s="5" t="s">
        <v>4523</v>
      </c>
      <c r="AC378" s="5"/>
      <c r="AD378" s="5"/>
      <c r="AE378" s="5"/>
      <c r="AF378" s="5" t="s">
        <v>4292</v>
      </c>
      <c r="AG378" s="5" t="s">
        <v>4292</v>
      </c>
      <c r="AH378" s="5" t="s">
        <v>4524</v>
      </c>
      <c r="AI378" s="5"/>
      <c r="AJ378" s="5" t="s">
        <v>4525</v>
      </c>
      <c r="AK378" s="5"/>
      <c r="AL378" s="5" t="s">
        <v>4292</v>
      </c>
      <c r="AM378" s="5"/>
      <c r="AN378" s="5" t="s">
        <v>4293</v>
      </c>
      <c r="AO378" s="5"/>
      <c r="AP378" s="5"/>
      <c r="AQ378" s="5" t="s">
        <v>4292</v>
      </c>
      <c r="AR378" s="5" t="s">
        <v>2921</v>
      </c>
      <c r="AS378" s="5"/>
      <c r="AT378" s="5" t="s">
        <v>4526</v>
      </c>
      <c r="AU378" s="5"/>
      <c r="AV378" s="5" t="s">
        <v>178</v>
      </c>
      <c r="AW378" s="5" t="s">
        <v>4527</v>
      </c>
    </row>
    <row r="379" customFormat="false" ht="147" hidden="false" customHeight="false" outlineLevel="0" collapsed="false">
      <c r="A379" s="5" t="s">
        <v>4528</v>
      </c>
      <c r="B379" s="5" t="s">
        <v>4529</v>
      </c>
      <c r="C379" s="5" t="s">
        <v>4043</v>
      </c>
      <c r="D379" s="5" t="s">
        <v>4044</v>
      </c>
      <c r="E379" s="5" t="s">
        <v>626</v>
      </c>
      <c r="F379" s="5" t="s">
        <v>4530</v>
      </c>
      <c r="G379" s="5" t="s">
        <v>4531</v>
      </c>
      <c r="H379" s="5" t="n">
        <v>5</v>
      </c>
      <c r="I379" s="5" t="s">
        <v>603</v>
      </c>
      <c r="J379" s="5" t="s">
        <v>557</v>
      </c>
      <c r="K379" s="5"/>
      <c r="L379" s="5" t="s">
        <v>30</v>
      </c>
      <c r="M379" s="5" t="s">
        <v>155</v>
      </c>
      <c r="N379" s="5" t="s">
        <v>4532</v>
      </c>
      <c r="O379" s="5" t="s">
        <v>157</v>
      </c>
      <c r="P379" s="5" t="s">
        <v>215</v>
      </c>
      <c r="Q379" s="5" t="s">
        <v>519</v>
      </c>
      <c r="R379" s="5" t="s">
        <v>4048</v>
      </c>
      <c r="S379" s="5" t="s">
        <v>4049</v>
      </c>
      <c r="T379" s="5" t="s">
        <v>606</v>
      </c>
      <c r="U379" s="5" t="n">
        <v>90</v>
      </c>
      <c r="V379" s="5" t="s">
        <v>4050</v>
      </c>
      <c r="W379" s="5" t="s">
        <v>4051</v>
      </c>
      <c r="X379" s="5" t="s">
        <v>4533</v>
      </c>
      <c r="Y379" s="5" t="s">
        <v>4534</v>
      </c>
      <c r="Z379" s="5" t="s">
        <v>4535</v>
      </c>
      <c r="AA379" s="5" t="s">
        <v>4536</v>
      </c>
      <c r="AB379" s="5" t="s">
        <v>4537</v>
      </c>
      <c r="AC379" s="5"/>
      <c r="AD379" s="5"/>
      <c r="AE379" s="5"/>
      <c r="AF379" s="5" t="s">
        <v>4538</v>
      </c>
      <c r="AG379" s="5" t="s">
        <v>4538</v>
      </c>
      <c r="AH379" s="5"/>
      <c r="AI379" s="5"/>
      <c r="AJ379" s="5"/>
      <c r="AK379" s="5"/>
      <c r="AL379" s="5" t="s">
        <v>4538</v>
      </c>
      <c r="AM379" s="5" t="s">
        <v>4538</v>
      </c>
      <c r="AN379" s="5"/>
      <c r="AO379" s="5"/>
      <c r="AP379" s="5"/>
      <c r="AQ379" s="5"/>
      <c r="AR379" s="5" t="s">
        <v>2921</v>
      </c>
      <c r="AS379" s="5"/>
      <c r="AT379" s="5" t="s">
        <v>4282</v>
      </c>
      <c r="AU379" s="5" t="s">
        <v>2858</v>
      </c>
      <c r="AV379" s="5" t="s">
        <v>178</v>
      </c>
      <c r="AW379" s="5" t="s">
        <v>4087</v>
      </c>
    </row>
    <row r="380" customFormat="false" ht="135.8" hidden="false" customHeight="false" outlineLevel="0" collapsed="false">
      <c r="A380" s="5" t="s">
        <v>4539</v>
      </c>
      <c r="B380" s="5" t="s">
        <v>4540</v>
      </c>
      <c r="C380" s="5" t="s">
        <v>4043</v>
      </c>
      <c r="D380" s="5" t="s">
        <v>4044</v>
      </c>
      <c r="E380" s="5" t="s">
        <v>626</v>
      </c>
      <c r="F380" s="5" t="s">
        <v>4541</v>
      </c>
      <c r="G380" s="5" t="s">
        <v>4542</v>
      </c>
      <c r="H380" s="5" t="n">
        <v>9</v>
      </c>
      <c r="I380" s="5" t="s">
        <v>603</v>
      </c>
      <c r="J380" s="5" t="s">
        <v>557</v>
      </c>
      <c r="K380" s="5"/>
      <c r="L380" s="5" t="s">
        <v>30</v>
      </c>
      <c r="M380" s="5" t="s">
        <v>155</v>
      </c>
      <c r="N380" s="5" t="s">
        <v>1030</v>
      </c>
      <c r="O380" s="5" t="s">
        <v>157</v>
      </c>
      <c r="P380" s="5" t="s">
        <v>158</v>
      </c>
      <c r="Q380" s="5" t="s">
        <v>519</v>
      </c>
      <c r="R380" s="5" t="s">
        <v>4048</v>
      </c>
      <c r="S380" s="5" t="s">
        <v>4049</v>
      </c>
      <c r="T380" s="5" t="s">
        <v>606</v>
      </c>
      <c r="U380" s="5" t="n">
        <v>90</v>
      </c>
      <c r="V380" s="5" t="s">
        <v>4050</v>
      </c>
      <c r="W380" s="5" t="s">
        <v>4051</v>
      </c>
      <c r="X380" s="5" t="s">
        <v>4543</v>
      </c>
      <c r="Y380" s="5" t="s">
        <v>4544</v>
      </c>
      <c r="Z380" s="5" t="s">
        <v>4545</v>
      </c>
      <c r="AA380" s="5"/>
      <c r="AB380" s="5"/>
      <c r="AC380" s="5"/>
      <c r="AD380" s="5"/>
      <c r="AE380" s="5"/>
      <c r="AF380" s="5" t="s">
        <v>4546</v>
      </c>
      <c r="AG380" s="5" t="s">
        <v>4546</v>
      </c>
      <c r="AH380" s="5"/>
      <c r="AI380" s="5"/>
      <c r="AJ380" s="5"/>
      <c r="AK380" s="5"/>
      <c r="AL380" s="5" t="s">
        <v>4546</v>
      </c>
      <c r="AM380" s="5" t="s">
        <v>4546</v>
      </c>
      <c r="AN380" s="5"/>
      <c r="AO380" s="5"/>
      <c r="AP380" s="5"/>
      <c r="AQ380" s="5"/>
      <c r="AR380" s="5" t="s">
        <v>2921</v>
      </c>
      <c r="AS380" s="5"/>
      <c r="AT380" s="5" t="s">
        <v>4282</v>
      </c>
      <c r="AU380" s="5"/>
      <c r="AV380" s="5"/>
      <c r="AW380" s="5" t="s">
        <v>4547</v>
      </c>
    </row>
    <row r="381" customFormat="false" ht="180.55" hidden="false" customHeight="false" outlineLevel="0" collapsed="false">
      <c r="A381" s="5" t="s">
        <v>4548</v>
      </c>
      <c r="B381" s="5" t="s">
        <v>4549</v>
      </c>
      <c r="C381" s="5" t="s">
        <v>4043</v>
      </c>
      <c r="D381" s="5" t="s">
        <v>4044</v>
      </c>
      <c r="E381" s="5" t="s">
        <v>626</v>
      </c>
      <c r="F381" s="5" t="s">
        <v>4550</v>
      </c>
      <c r="G381" s="5" t="s">
        <v>4551</v>
      </c>
      <c r="H381" s="5" t="n">
        <v>10</v>
      </c>
      <c r="I381" s="5" t="s">
        <v>603</v>
      </c>
      <c r="J381" s="5" t="s">
        <v>557</v>
      </c>
      <c r="K381" s="5"/>
      <c r="L381" s="5" t="s">
        <v>30</v>
      </c>
      <c r="M381" s="5" t="s">
        <v>155</v>
      </c>
      <c r="N381" s="5" t="s">
        <v>590</v>
      </c>
      <c r="O381" s="5" t="s">
        <v>157</v>
      </c>
      <c r="P381" s="5" t="s">
        <v>158</v>
      </c>
      <c r="Q381" s="5" t="s">
        <v>519</v>
      </c>
      <c r="R381" s="5" t="s">
        <v>4048</v>
      </c>
      <c r="S381" s="5" t="s">
        <v>4049</v>
      </c>
      <c r="T381" s="5" t="s">
        <v>606</v>
      </c>
      <c r="U381" s="5" t="n">
        <v>90</v>
      </c>
      <c r="V381" s="5" t="s">
        <v>4050</v>
      </c>
      <c r="W381" s="5" t="s">
        <v>4051</v>
      </c>
      <c r="X381" s="5" t="s">
        <v>4552</v>
      </c>
      <c r="Y381" s="5" t="s">
        <v>4553</v>
      </c>
      <c r="Z381" s="5" t="s">
        <v>4554</v>
      </c>
      <c r="AA381" s="5"/>
      <c r="AB381" s="5"/>
      <c r="AC381" s="5"/>
      <c r="AD381" s="5"/>
      <c r="AE381" s="5"/>
      <c r="AF381" s="5" t="s">
        <v>4555</v>
      </c>
      <c r="AG381" s="5" t="s">
        <v>4555</v>
      </c>
      <c r="AH381" s="5"/>
      <c r="AI381" s="5"/>
      <c r="AJ381" s="5" t="s">
        <v>4556</v>
      </c>
      <c r="AK381" s="5"/>
      <c r="AL381" s="5" t="s">
        <v>4555</v>
      </c>
      <c r="AM381" s="5" t="s">
        <v>4555</v>
      </c>
      <c r="AN381" s="5"/>
      <c r="AO381" s="5"/>
      <c r="AP381" s="5"/>
      <c r="AQ381" s="5"/>
      <c r="AR381" s="5" t="s">
        <v>2921</v>
      </c>
      <c r="AS381" s="5"/>
      <c r="AT381" s="5" t="s">
        <v>4145</v>
      </c>
      <c r="AU381" s="5"/>
      <c r="AV381" s="5" t="s">
        <v>178</v>
      </c>
      <c r="AW381" s="5" t="s">
        <v>4557</v>
      </c>
    </row>
    <row r="382" customFormat="false" ht="147" hidden="false" customHeight="false" outlineLevel="0" collapsed="false">
      <c r="A382" s="5" t="s">
        <v>4558</v>
      </c>
      <c r="B382" s="5" t="s">
        <v>4559</v>
      </c>
      <c r="C382" s="5" t="s">
        <v>4043</v>
      </c>
      <c r="D382" s="5" t="s">
        <v>4044</v>
      </c>
      <c r="E382" s="5" t="s">
        <v>626</v>
      </c>
      <c r="F382" s="5" t="s">
        <v>4560</v>
      </c>
      <c r="G382" s="5" t="s">
        <v>4561</v>
      </c>
      <c r="H382" s="5" t="n">
        <v>5</v>
      </c>
      <c r="I382" s="5" t="s">
        <v>603</v>
      </c>
      <c r="J382" s="5" t="s">
        <v>557</v>
      </c>
      <c r="K382" s="5"/>
      <c r="L382" s="5" t="s">
        <v>30</v>
      </c>
      <c r="M382" s="5" t="s">
        <v>155</v>
      </c>
      <c r="N382" s="5" t="s">
        <v>1030</v>
      </c>
      <c r="O382" s="5" t="s">
        <v>157</v>
      </c>
      <c r="P382" s="5" t="s">
        <v>215</v>
      </c>
      <c r="Q382" s="5" t="s">
        <v>519</v>
      </c>
      <c r="R382" s="5" t="s">
        <v>4048</v>
      </c>
      <c r="S382" s="5" t="s">
        <v>4049</v>
      </c>
      <c r="T382" s="5" t="s">
        <v>606</v>
      </c>
      <c r="U382" s="5" t="n">
        <v>90</v>
      </c>
      <c r="V382" s="5" t="s">
        <v>4050</v>
      </c>
      <c r="W382" s="5" t="s">
        <v>4051</v>
      </c>
      <c r="X382" s="5" t="s">
        <v>4562</v>
      </c>
      <c r="Y382" s="5" t="s">
        <v>4563</v>
      </c>
      <c r="Z382" s="5" t="s">
        <v>4564</v>
      </c>
      <c r="AA382" s="5"/>
      <c r="AB382" s="5"/>
      <c r="AC382" s="5"/>
      <c r="AD382" s="5"/>
      <c r="AE382" s="5"/>
      <c r="AF382" s="5" t="s">
        <v>4565</v>
      </c>
      <c r="AG382" s="5" t="s">
        <v>4565</v>
      </c>
      <c r="AH382" s="5"/>
      <c r="AI382" s="5"/>
      <c r="AJ382" s="5"/>
      <c r="AK382" s="5"/>
      <c r="AL382" s="5" t="s">
        <v>4565</v>
      </c>
      <c r="AM382" s="5" t="s">
        <v>4565</v>
      </c>
      <c r="AN382" s="5"/>
      <c r="AO382" s="5"/>
      <c r="AP382" s="5"/>
      <c r="AQ382" s="5"/>
      <c r="AR382" s="5" t="s">
        <v>2921</v>
      </c>
      <c r="AS382" s="5"/>
      <c r="AT382" s="5"/>
      <c r="AU382" s="5"/>
      <c r="AV382" s="5"/>
      <c r="AW382" s="5" t="s">
        <v>4087</v>
      </c>
    </row>
    <row r="383" customFormat="false" ht="124.6" hidden="false" customHeight="false" outlineLevel="0" collapsed="false">
      <c r="A383" s="5" t="s">
        <v>4566</v>
      </c>
      <c r="B383" s="5" t="s">
        <v>4567</v>
      </c>
      <c r="C383" s="5" t="s">
        <v>4043</v>
      </c>
      <c r="D383" s="5" t="s">
        <v>4044</v>
      </c>
      <c r="E383" s="5" t="s">
        <v>626</v>
      </c>
      <c r="F383" s="5" t="s">
        <v>4568</v>
      </c>
      <c r="G383" s="5" t="s">
        <v>4569</v>
      </c>
      <c r="H383" s="5" t="n">
        <v>10</v>
      </c>
      <c r="I383" s="5" t="s">
        <v>603</v>
      </c>
      <c r="J383" s="5" t="s">
        <v>153</v>
      </c>
      <c r="K383" s="5" t="s">
        <v>4570</v>
      </c>
      <c r="L383" s="5" t="s">
        <v>30</v>
      </c>
      <c r="M383" s="5" t="s">
        <v>155</v>
      </c>
      <c r="N383" s="5" t="s">
        <v>2585</v>
      </c>
      <c r="O383" s="5" t="s">
        <v>157</v>
      </c>
      <c r="P383" s="5" t="s">
        <v>158</v>
      </c>
      <c r="Q383" s="5" t="s">
        <v>519</v>
      </c>
      <c r="R383" s="5" t="s">
        <v>4048</v>
      </c>
      <c r="S383" s="5" t="s">
        <v>4049</v>
      </c>
      <c r="T383" s="5" t="s">
        <v>606</v>
      </c>
      <c r="U383" s="5" t="n">
        <v>365</v>
      </c>
      <c r="V383" s="5" t="s">
        <v>4050</v>
      </c>
      <c r="W383" s="5" t="s">
        <v>4051</v>
      </c>
      <c r="X383" s="5" t="s">
        <v>4571</v>
      </c>
      <c r="Y383" s="5" t="s">
        <v>4572</v>
      </c>
      <c r="Z383" s="5" t="s">
        <v>4573</v>
      </c>
      <c r="AA383" s="5" t="s">
        <v>4471</v>
      </c>
      <c r="AB383" s="5"/>
      <c r="AC383" s="5"/>
      <c r="AD383" s="5"/>
      <c r="AE383" s="5"/>
      <c r="AF383" s="5" t="s">
        <v>4574</v>
      </c>
      <c r="AG383" s="5"/>
      <c r="AH383" s="5" t="s">
        <v>4524</v>
      </c>
      <c r="AI383" s="5"/>
      <c r="AJ383" s="5"/>
      <c r="AK383" s="5"/>
      <c r="AL383" s="5" t="s">
        <v>4574</v>
      </c>
      <c r="AM383" s="5"/>
      <c r="AN383" s="5"/>
      <c r="AO383" s="5"/>
      <c r="AP383" s="5"/>
      <c r="AQ383" s="5"/>
      <c r="AR383" s="5" t="s">
        <v>2921</v>
      </c>
      <c r="AS383" s="5"/>
      <c r="AT383" s="5" t="s">
        <v>4145</v>
      </c>
      <c r="AU383" s="5"/>
      <c r="AV383" s="5" t="s">
        <v>178</v>
      </c>
      <c r="AW383" s="5" t="s">
        <v>4575</v>
      </c>
    </row>
    <row r="384" customFormat="false" ht="147" hidden="false" customHeight="false" outlineLevel="0" collapsed="false">
      <c r="A384" s="5" t="s">
        <v>4576</v>
      </c>
      <c r="B384" s="5" t="s">
        <v>4577</v>
      </c>
      <c r="C384" s="5" t="s">
        <v>4043</v>
      </c>
      <c r="D384" s="5" t="s">
        <v>4044</v>
      </c>
      <c r="E384" s="5" t="s">
        <v>626</v>
      </c>
      <c r="F384" s="5" t="s">
        <v>4578</v>
      </c>
      <c r="G384" s="5" t="s">
        <v>4579</v>
      </c>
      <c r="H384" s="5" t="n">
        <v>10</v>
      </c>
      <c r="I384" s="5" t="s">
        <v>603</v>
      </c>
      <c r="J384" s="5" t="s">
        <v>153</v>
      </c>
      <c r="K384" s="5"/>
      <c r="L384" s="5" t="s">
        <v>30</v>
      </c>
      <c r="M384" s="5" t="s">
        <v>155</v>
      </c>
      <c r="N384" s="5" t="s">
        <v>994</v>
      </c>
      <c r="O384" s="5" t="s">
        <v>157</v>
      </c>
      <c r="P384" s="5" t="s">
        <v>215</v>
      </c>
      <c r="Q384" s="5" t="s">
        <v>519</v>
      </c>
      <c r="R384" s="5" t="s">
        <v>4048</v>
      </c>
      <c r="S384" s="5" t="s">
        <v>4049</v>
      </c>
      <c r="T384" s="5" t="s">
        <v>606</v>
      </c>
      <c r="U384" s="5" t="n">
        <v>365</v>
      </c>
      <c r="V384" s="5" t="s">
        <v>4050</v>
      </c>
      <c r="W384" s="5" t="s">
        <v>4051</v>
      </c>
      <c r="X384" s="5" t="s">
        <v>4580</v>
      </c>
      <c r="Y384" s="5" t="s">
        <v>4581</v>
      </c>
      <c r="Z384" s="5" t="s">
        <v>4582</v>
      </c>
      <c r="AA384" s="5"/>
      <c r="AB384" s="5"/>
      <c r="AC384" s="5"/>
      <c r="AD384" s="5"/>
      <c r="AE384" s="5"/>
      <c r="AF384" s="5" t="s">
        <v>3996</v>
      </c>
      <c r="AG384" s="5" t="s">
        <v>3996</v>
      </c>
      <c r="AH384" s="5"/>
      <c r="AI384" s="5"/>
      <c r="AJ384" s="5"/>
      <c r="AK384" s="5"/>
      <c r="AL384" s="5" t="s">
        <v>3996</v>
      </c>
      <c r="AM384" s="5" t="s">
        <v>3996</v>
      </c>
      <c r="AN384" s="5"/>
      <c r="AO384" s="5"/>
      <c r="AP384" s="5"/>
      <c r="AQ384" s="5" t="s">
        <v>3996</v>
      </c>
      <c r="AR384" s="5" t="s">
        <v>2921</v>
      </c>
      <c r="AS384" s="5"/>
      <c r="AT384" s="5"/>
      <c r="AU384" s="5"/>
      <c r="AV384" s="5" t="s">
        <v>178</v>
      </c>
      <c r="AW384" s="5" t="s">
        <v>4583</v>
      </c>
    </row>
    <row r="385" customFormat="false" ht="135.8" hidden="false" customHeight="false" outlineLevel="0" collapsed="false">
      <c r="A385" s="5" t="s">
        <v>4584</v>
      </c>
      <c r="B385" s="5" t="s">
        <v>4585</v>
      </c>
      <c r="C385" s="5" t="s">
        <v>4043</v>
      </c>
      <c r="D385" s="5" t="s">
        <v>4044</v>
      </c>
      <c r="E385" s="5" t="s">
        <v>626</v>
      </c>
      <c r="F385" s="5" t="s">
        <v>4586</v>
      </c>
      <c r="G385" s="5" t="s">
        <v>4587</v>
      </c>
      <c r="H385" s="5" t="n">
        <v>10</v>
      </c>
      <c r="I385" s="5" t="s">
        <v>603</v>
      </c>
      <c r="J385" s="5" t="s">
        <v>557</v>
      </c>
      <c r="K385" s="5" t="s">
        <v>4588</v>
      </c>
      <c r="L385" s="5" t="s">
        <v>30</v>
      </c>
      <c r="M385" s="5" t="s">
        <v>155</v>
      </c>
      <c r="N385" s="5" t="s">
        <v>4589</v>
      </c>
      <c r="O385" s="5" t="s">
        <v>570</v>
      </c>
      <c r="P385" s="5" t="s">
        <v>158</v>
      </c>
      <c r="Q385" s="5" t="s">
        <v>519</v>
      </c>
      <c r="R385" s="5" t="s">
        <v>4048</v>
      </c>
      <c r="S385" s="5" t="s">
        <v>4049</v>
      </c>
      <c r="T385" s="5" t="s">
        <v>606</v>
      </c>
      <c r="U385" s="5" t="n">
        <v>90</v>
      </c>
      <c r="V385" s="5" t="s">
        <v>4050</v>
      </c>
      <c r="W385" s="5" t="s">
        <v>4590</v>
      </c>
      <c r="X385" s="5" t="s">
        <v>4591</v>
      </c>
      <c r="Y385" s="5" t="s">
        <v>4592</v>
      </c>
      <c r="Z385" s="5" t="s">
        <v>4593</v>
      </c>
      <c r="AA385" s="5"/>
      <c r="AB385" s="5"/>
      <c r="AC385" s="5"/>
      <c r="AD385" s="5"/>
      <c r="AE385" s="5"/>
      <c r="AF385" s="5"/>
      <c r="AG385" s="5"/>
      <c r="AH385" s="5"/>
      <c r="AI385" s="5" t="s">
        <v>4594</v>
      </c>
      <c r="AJ385" s="5" t="s">
        <v>4595</v>
      </c>
      <c r="AK385" s="5"/>
      <c r="AL385" s="5"/>
      <c r="AM385" s="5"/>
      <c r="AN385" s="5"/>
      <c r="AO385" s="5" t="s">
        <v>4596</v>
      </c>
      <c r="AP385" s="5"/>
      <c r="AQ385" s="5"/>
      <c r="AR385" s="5"/>
      <c r="AS385" s="5"/>
      <c r="AT385" s="5" t="s">
        <v>4597</v>
      </c>
      <c r="AU385" s="5"/>
      <c r="AV385" s="5" t="s">
        <v>178</v>
      </c>
      <c r="AW385" s="5" t="s">
        <v>4598</v>
      </c>
    </row>
    <row r="386" customFormat="false" ht="191.75" hidden="false" customHeight="false" outlineLevel="0" collapsed="false">
      <c r="A386" s="5" t="s">
        <v>4599</v>
      </c>
      <c r="B386" s="5" t="s">
        <v>4600</v>
      </c>
      <c r="C386" s="5" t="s">
        <v>4043</v>
      </c>
      <c r="D386" s="5" t="s">
        <v>4044</v>
      </c>
      <c r="E386" s="5" t="s">
        <v>626</v>
      </c>
      <c r="F386" s="5" t="s">
        <v>4601</v>
      </c>
      <c r="G386" s="5" t="s">
        <v>4602</v>
      </c>
      <c r="H386" s="5" t="n">
        <v>3</v>
      </c>
      <c r="I386" s="5" t="s">
        <v>603</v>
      </c>
      <c r="J386" s="5" t="s">
        <v>153</v>
      </c>
      <c r="K386" s="5"/>
      <c r="L386" s="5" t="s">
        <v>30</v>
      </c>
      <c r="M386" s="5" t="s">
        <v>155</v>
      </c>
      <c r="N386" s="5" t="s">
        <v>2383</v>
      </c>
      <c r="O386" s="5" t="s">
        <v>570</v>
      </c>
      <c r="P386" s="5" t="s">
        <v>215</v>
      </c>
      <c r="Q386" s="5" t="s">
        <v>519</v>
      </c>
      <c r="R386" s="5" t="s">
        <v>4048</v>
      </c>
      <c r="S386" s="5" t="s">
        <v>4049</v>
      </c>
      <c r="T386" s="5" t="s">
        <v>606</v>
      </c>
      <c r="U386" s="5" t="n">
        <v>365</v>
      </c>
      <c r="V386" s="5" t="s">
        <v>4050</v>
      </c>
      <c r="W386" s="5" t="s">
        <v>4590</v>
      </c>
      <c r="X386" s="5" t="s">
        <v>4603</v>
      </c>
      <c r="Y386" s="5" t="s">
        <v>4604</v>
      </c>
      <c r="Z386" s="5" t="s">
        <v>4605</v>
      </c>
      <c r="AA386" s="5"/>
      <c r="AB386" s="5" t="s">
        <v>4606</v>
      </c>
      <c r="AC386" s="5"/>
      <c r="AD386" s="5" t="s">
        <v>4607</v>
      </c>
      <c r="AE386" s="5"/>
      <c r="AF386" s="5"/>
      <c r="AG386" s="5"/>
      <c r="AH386" s="5"/>
      <c r="AI386" s="5"/>
      <c r="AJ386" s="5"/>
      <c r="AK386" s="5"/>
      <c r="AL386" s="5"/>
      <c r="AM386" s="5"/>
      <c r="AN386" s="5"/>
      <c r="AO386" s="5"/>
      <c r="AP386" s="5"/>
      <c r="AQ386" s="5"/>
      <c r="AR386" s="5"/>
      <c r="AS386" s="5"/>
      <c r="AT386" s="5"/>
      <c r="AU386" s="5"/>
      <c r="AV386" s="5"/>
      <c r="AW386" s="5" t="s">
        <v>4608</v>
      </c>
    </row>
    <row r="387" customFormat="false" ht="158.2" hidden="false" customHeight="false" outlineLevel="0" collapsed="false">
      <c r="A387" s="5" t="s">
        <v>4609</v>
      </c>
      <c r="B387" s="5" t="s">
        <v>4610</v>
      </c>
      <c r="C387" s="5" t="s">
        <v>4043</v>
      </c>
      <c r="D387" s="5" t="s">
        <v>4044</v>
      </c>
      <c r="E387" s="5" t="s">
        <v>600</v>
      </c>
      <c r="F387" s="5" t="s">
        <v>4611</v>
      </c>
      <c r="G387" s="5" t="s">
        <v>4612</v>
      </c>
      <c r="H387" s="5" t="n">
        <v>10</v>
      </c>
      <c r="I387" s="5" t="s">
        <v>152</v>
      </c>
      <c r="J387" s="5" t="s">
        <v>153</v>
      </c>
      <c r="K387" s="5" t="s">
        <v>4613</v>
      </c>
      <c r="L387" s="5" t="s">
        <v>30</v>
      </c>
      <c r="M387" s="5" t="s">
        <v>155</v>
      </c>
      <c r="N387" s="5" t="s">
        <v>4614</v>
      </c>
      <c r="O387" s="5" t="s">
        <v>157</v>
      </c>
      <c r="P387" s="5" t="s">
        <v>158</v>
      </c>
      <c r="Q387" s="5" t="s">
        <v>440</v>
      </c>
      <c r="R387" s="5" t="s">
        <v>4048</v>
      </c>
      <c r="S387" s="5" t="s">
        <v>4049</v>
      </c>
      <c r="T387" s="5" t="s">
        <v>162</v>
      </c>
      <c r="U387" s="5" t="n">
        <v>365</v>
      </c>
      <c r="V387" s="5" t="s">
        <v>4050</v>
      </c>
      <c r="W387" s="5" t="s">
        <v>4051</v>
      </c>
      <c r="X387" s="5" t="s">
        <v>4615</v>
      </c>
      <c r="Y387" s="5" t="s">
        <v>4616</v>
      </c>
      <c r="Z387" s="5" t="s">
        <v>4617</v>
      </c>
      <c r="AA387" s="5"/>
      <c r="AB387" s="5"/>
      <c r="AC387" s="5"/>
      <c r="AD387" s="5"/>
      <c r="AE387" s="5"/>
      <c r="AF387" s="5" t="s">
        <v>4618</v>
      </c>
      <c r="AG387" s="5" t="s">
        <v>4618</v>
      </c>
      <c r="AH387" s="5" t="s">
        <v>4619</v>
      </c>
      <c r="AI387" s="5"/>
      <c r="AJ387" s="5" t="s">
        <v>4620</v>
      </c>
      <c r="AK387" s="5"/>
      <c r="AL387" s="5" t="s">
        <v>4618</v>
      </c>
      <c r="AM387" s="5" t="s">
        <v>4618</v>
      </c>
      <c r="AN387" s="5"/>
      <c r="AO387" s="5" t="s">
        <v>4621</v>
      </c>
      <c r="AP387" s="5"/>
      <c r="AQ387" s="5"/>
      <c r="AR387" s="5" t="s">
        <v>2921</v>
      </c>
      <c r="AS387" s="5"/>
      <c r="AT387" s="5" t="s">
        <v>4597</v>
      </c>
      <c r="AU387" s="5"/>
      <c r="AV387" s="5" t="s">
        <v>178</v>
      </c>
      <c r="AW387" s="5" t="s">
        <v>4622</v>
      </c>
    </row>
    <row r="388" customFormat="false" ht="135.8" hidden="false" customHeight="false" outlineLevel="0" collapsed="false">
      <c r="A388" s="5" t="s">
        <v>4623</v>
      </c>
      <c r="B388" s="5" t="s">
        <v>4624</v>
      </c>
      <c r="C388" s="5" t="s">
        <v>4043</v>
      </c>
      <c r="D388" s="5" t="s">
        <v>4044</v>
      </c>
      <c r="E388" s="5" t="s">
        <v>626</v>
      </c>
      <c r="F388" s="5" t="s">
        <v>4625</v>
      </c>
      <c r="G388" s="5" t="s">
        <v>4626</v>
      </c>
      <c r="H388" s="5" t="n">
        <v>10</v>
      </c>
      <c r="I388" s="5" t="s">
        <v>274</v>
      </c>
      <c r="J388" s="5" t="s">
        <v>153</v>
      </c>
      <c r="K388" s="5"/>
      <c r="L388" s="5" t="s">
        <v>30</v>
      </c>
      <c r="M388" s="5" t="s">
        <v>155</v>
      </c>
      <c r="N388" s="5" t="s">
        <v>994</v>
      </c>
      <c r="O388" s="5" t="s">
        <v>157</v>
      </c>
      <c r="P388" s="5" t="s">
        <v>641</v>
      </c>
      <c r="Q388" s="5" t="s">
        <v>519</v>
      </c>
      <c r="R388" s="5" t="s">
        <v>4048</v>
      </c>
      <c r="S388" s="5" t="s">
        <v>4049</v>
      </c>
      <c r="T388" s="5" t="s">
        <v>277</v>
      </c>
      <c r="U388" s="5" t="n">
        <v>365</v>
      </c>
      <c r="V388" s="5" t="s">
        <v>4050</v>
      </c>
      <c r="W388" s="5" t="s">
        <v>4051</v>
      </c>
      <c r="X388" s="5" t="s">
        <v>4627</v>
      </c>
      <c r="Y388" s="5" t="s">
        <v>4628</v>
      </c>
      <c r="Z388" s="5" t="s">
        <v>4629</v>
      </c>
      <c r="AA388" s="5"/>
      <c r="AB388" s="5"/>
      <c r="AC388" s="5"/>
      <c r="AD388" s="5"/>
      <c r="AE388" s="5"/>
      <c r="AF388" s="5" t="s">
        <v>4424</v>
      </c>
      <c r="AG388" s="5" t="s">
        <v>4424</v>
      </c>
      <c r="AH388" s="5"/>
      <c r="AI388" s="5"/>
      <c r="AJ388" s="5"/>
      <c r="AK388" s="5"/>
      <c r="AL388" s="5" t="s">
        <v>4424</v>
      </c>
      <c r="AM388" s="5" t="s">
        <v>4424</v>
      </c>
      <c r="AN388" s="5"/>
      <c r="AO388" s="5"/>
      <c r="AP388" s="5"/>
      <c r="AQ388" s="5" t="s">
        <v>4424</v>
      </c>
      <c r="AR388" s="5" t="s">
        <v>2665</v>
      </c>
      <c r="AS388" s="5"/>
      <c r="AT388" s="5" t="s">
        <v>4387</v>
      </c>
      <c r="AU388" s="5"/>
      <c r="AV388" s="5"/>
      <c r="AW388" s="5" t="s">
        <v>4630</v>
      </c>
    </row>
    <row r="389" customFormat="false" ht="202.95" hidden="false" customHeight="false" outlineLevel="0" collapsed="false">
      <c r="A389" s="5" t="s">
        <v>4631</v>
      </c>
      <c r="B389" s="5" t="s">
        <v>4632</v>
      </c>
      <c r="C389" s="5" t="s">
        <v>4043</v>
      </c>
      <c r="D389" s="5" t="s">
        <v>4044</v>
      </c>
      <c r="E389" s="5" t="s">
        <v>626</v>
      </c>
      <c r="F389" s="5" t="s">
        <v>4633</v>
      </c>
      <c r="G389" s="5" t="s">
        <v>4634</v>
      </c>
      <c r="H389" s="5" t="n">
        <v>10</v>
      </c>
      <c r="I389" s="5" t="s">
        <v>603</v>
      </c>
      <c r="J389" s="5" t="s">
        <v>153</v>
      </c>
      <c r="K389" s="5"/>
      <c r="L389" s="5" t="s">
        <v>30</v>
      </c>
      <c r="M389" s="5" t="s">
        <v>155</v>
      </c>
      <c r="N389" s="5" t="s">
        <v>4635</v>
      </c>
      <c r="O389" s="5" t="s">
        <v>157</v>
      </c>
      <c r="P389" s="5" t="s">
        <v>158</v>
      </c>
      <c r="Q389" s="5" t="s">
        <v>519</v>
      </c>
      <c r="R389" s="5" t="s">
        <v>4048</v>
      </c>
      <c r="S389" s="5" t="s">
        <v>4049</v>
      </c>
      <c r="T389" s="5" t="s">
        <v>606</v>
      </c>
      <c r="U389" s="5" t="n">
        <v>365</v>
      </c>
      <c r="V389" s="5" t="s">
        <v>4050</v>
      </c>
      <c r="W389" s="5" t="s">
        <v>4051</v>
      </c>
      <c r="X389" s="5" t="s">
        <v>4636</v>
      </c>
      <c r="Y389" s="5" t="s">
        <v>4637</v>
      </c>
      <c r="Z389" s="5" t="s">
        <v>4638</v>
      </c>
      <c r="AA389" s="5" t="s">
        <v>4639</v>
      </c>
      <c r="AB389" s="5" t="s">
        <v>4640</v>
      </c>
      <c r="AC389" s="5"/>
      <c r="AD389" s="5"/>
      <c r="AE389" s="5"/>
      <c r="AF389" s="5" t="s">
        <v>4641</v>
      </c>
      <c r="AG389" s="5" t="s">
        <v>4641</v>
      </c>
      <c r="AH389" s="5"/>
      <c r="AI389" s="5"/>
      <c r="AJ389" s="5" t="s">
        <v>4642</v>
      </c>
      <c r="AK389" s="5"/>
      <c r="AL389" s="5" t="s">
        <v>4641</v>
      </c>
      <c r="AM389" s="5" t="s">
        <v>4643</v>
      </c>
      <c r="AN389" s="5" t="s">
        <v>4644</v>
      </c>
      <c r="AO389" s="5"/>
      <c r="AP389" s="5"/>
      <c r="AQ389" s="5" t="s">
        <v>4641</v>
      </c>
      <c r="AR389" s="5" t="s">
        <v>2921</v>
      </c>
      <c r="AS389" s="5"/>
      <c r="AT389" s="5" t="s">
        <v>4282</v>
      </c>
      <c r="AU389" s="5"/>
      <c r="AV389" s="5" t="s">
        <v>178</v>
      </c>
      <c r="AW389" s="5" t="s">
        <v>4087</v>
      </c>
    </row>
    <row r="390" customFormat="false" ht="124.6" hidden="false" customHeight="false" outlineLevel="0" collapsed="false">
      <c r="A390" s="5" t="s">
        <v>4645</v>
      </c>
      <c r="B390" s="5" t="s">
        <v>4646</v>
      </c>
      <c r="C390" s="5" t="s">
        <v>4043</v>
      </c>
      <c r="D390" s="5" t="s">
        <v>4044</v>
      </c>
      <c r="E390" s="5" t="s">
        <v>626</v>
      </c>
      <c r="F390" s="5" t="s">
        <v>4647</v>
      </c>
      <c r="G390" s="5" t="s">
        <v>4648</v>
      </c>
      <c r="H390" s="5" t="n">
        <v>9</v>
      </c>
      <c r="I390" s="5" t="s">
        <v>603</v>
      </c>
      <c r="J390" s="5" t="s">
        <v>153</v>
      </c>
      <c r="K390" s="5"/>
      <c r="L390" s="5" t="s">
        <v>68</v>
      </c>
      <c r="M390" s="5" t="s">
        <v>185</v>
      </c>
      <c r="N390" s="5" t="s">
        <v>72</v>
      </c>
      <c r="O390" s="5" t="s">
        <v>666</v>
      </c>
      <c r="P390" s="5" t="s">
        <v>641</v>
      </c>
      <c r="Q390" s="5" t="s">
        <v>519</v>
      </c>
      <c r="R390" s="5" t="s">
        <v>4048</v>
      </c>
      <c r="S390" s="5" t="s">
        <v>4049</v>
      </c>
      <c r="T390" s="5" t="s">
        <v>606</v>
      </c>
      <c r="U390" s="5" t="n">
        <v>365</v>
      </c>
      <c r="V390" s="5" t="s">
        <v>4050</v>
      </c>
      <c r="W390" s="5" t="s">
        <v>4051</v>
      </c>
      <c r="X390" s="5" t="s">
        <v>4649</v>
      </c>
      <c r="Y390" s="5" t="s">
        <v>4650</v>
      </c>
      <c r="Z390" s="5" t="s">
        <v>4651</v>
      </c>
      <c r="AA390" s="5"/>
      <c r="AB390" s="5"/>
      <c r="AC390" s="5"/>
      <c r="AD390" s="5"/>
      <c r="AE390" s="5"/>
      <c r="AF390" s="5"/>
      <c r="AG390" s="5"/>
      <c r="AH390" s="5"/>
      <c r="AI390" s="5"/>
      <c r="AJ390" s="5"/>
      <c r="AK390" s="5"/>
      <c r="AL390" s="5"/>
      <c r="AM390" s="5"/>
      <c r="AN390" s="5"/>
      <c r="AO390" s="5" t="s">
        <v>4652</v>
      </c>
      <c r="AP390" s="5"/>
      <c r="AQ390" s="5"/>
      <c r="AR390" s="5"/>
      <c r="AS390" s="5"/>
      <c r="AT390" s="5" t="s">
        <v>4653</v>
      </c>
      <c r="AU390" s="5"/>
      <c r="AV390" s="5"/>
      <c r="AW390" s="5" t="s">
        <v>2033</v>
      </c>
    </row>
    <row r="391" customFormat="false" ht="158.2" hidden="false" customHeight="false" outlineLevel="0" collapsed="false">
      <c r="A391" s="5" t="s">
        <v>4654</v>
      </c>
      <c r="B391" s="5" t="s">
        <v>4655</v>
      </c>
      <c r="C391" s="5" t="s">
        <v>4043</v>
      </c>
      <c r="D391" s="5" t="s">
        <v>4044</v>
      </c>
      <c r="E391" s="5" t="s">
        <v>626</v>
      </c>
      <c r="F391" s="5" t="s">
        <v>4656</v>
      </c>
      <c r="G391" s="5" t="s">
        <v>4657</v>
      </c>
      <c r="H391" s="5" t="n">
        <v>5</v>
      </c>
      <c r="I391" s="5" t="s">
        <v>603</v>
      </c>
      <c r="J391" s="5" t="s">
        <v>557</v>
      </c>
      <c r="K391" s="5"/>
      <c r="L391" s="5" t="s">
        <v>30</v>
      </c>
      <c r="M391" s="5" t="s">
        <v>155</v>
      </c>
      <c r="N391" s="5" t="s">
        <v>4658</v>
      </c>
      <c r="O391" s="5" t="s">
        <v>157</v>
      </c>
      <c r="P391" s="5" t="s">
        <v>215</v>
      </c>
      <c r="Q391" s="5" t="s">
        <v>519</v>
      </c>
      <c r="R391" s="5" t="s">
        <v>4048</v>
      </c>
      <c r="S391" s="5" t="s">
        <v>4049</v>
      </c>
      <c r="T391" s="5" t="s">
        <v>606</v>
      </c>
      <c r="U391" s="5" t="n">
        <v>90</v>
      </c>
      <c r="V391" s="5" t="s">
        <v>4050</v>
      </c>
      <c r="W391" s="5" t="s">
        <v>4051</v>
      </c>
      <c r="X391" s="5" t="s">
        <v>4659</v>
      </c>
      <c r="Y391" s="5" t="s">
        <v>4660</v>
      </c>
      <c r="Z391" s="5" t="s">
        <v>4661</v>
      </c>
      <c r="AA391" s="5" t="s">
        <v>4662</v>
      </c>
      <c r="AB391" s="5" t="s">
        <v>4663</v>
      </c>
      <c r="AC391" s="5"/>
      <c r="AD391" s="5"/>
      <c r="AE391" s="5"/>
      <c r="AF391" s="5" t="s">
        <v>4030</v>
      </c>
      <c r="AG391" s="5"/>
      <c r="AH391" s="5"/>
      <c r="AI391" s="5"/>
      <c r="AJ391" s="5"/>
      <c r="AK391" s="5"/>
      <c r="AL391" s="5" t="s">
        <v>4030</v>
      </c>
      <c r="AM391" s="5"/>
      <c r="AN391" s="5"/>
      <c r="AO391" s="5"/>
      <c r="AP391" s="5"/>
      <c r="AQ391" s="5" t="s">
        <v>4030</v>
      </c>
      <c r="AR391" s="5" t="s">
        <v>2921</v>
      </c>
      <c r="AS391" s="5"/>
      <c r="AT391" s="5"/>
      <c r="AU391" s="5"/>
      <c r="AV391" s="5"/>
      <c r="AW391" s="5" t="s">
        <v>4664</v>
      </c>
    </row>
    <row r="392" customFormat="false" ht="147" hidden="false" customHeight="false" outlineLevel="0" collapsed="false">
      <c r="A392" s="5" t="s">
        <v>4665</v>
      </c>
      <c r="B392" s="5" t="s">
        <v>4666</v>
      </c>
      <c r="C392" s="5" t="s">
        <v>4043</v>
      </c>
      <c r="D392" s="5" t="s">
        <v>4044</v>
      </c>
      <c r="E392" s="5" t="s">
        <v>626</v>
      </c>
      <c r="F392" s="5" t="s">
        <v>4667</v>
      </c>
      <c r="G392" s="5" t="s">
        <v>4668</v>
      </c>
      <c r="H392" s="5" t="n">
        <v>9</v>
      </c>
      <c r="I392" s="5" t="s">
        <v>603</v>
      </c>
      <c r="J392" s="5" t="s">
        <v>153</v>
      </c>
      <c r="K392" s="5"/>
      <c r="L392" s="5" t="s">
        <v>30</v>
      </c>
      <c r="M392" s="5" t="s">
        <v>155</v>
      </c>
      <c r="N392" s="5" t="s">
        <v>846</v>
      </c>
      <c r="O392" s="5" t="s">
        <v>157</v>
      </c>
      <c r="P392" s="5" t="s">
        <v>158</v>
      </c>
      <c r="Q392" s="5" t="s">
        <v>519</v>
      </c>
      <c r="R392" s="5" t="s">
        <v>4048</v>
      </c>
      <c r="S392" s="5" t="s">
        <v>4049</v>
      </c>
      <c r="T392" s="5" t="s">
        <v>606</v>
      </c>
      <c r="U392" s="5" t="n">
        <v>365</v>
      </c>
      <c r="V392" s="5" t="s">
        <v>4050</v>
      </c>
      <c r="W392" s="5" t="s">
        <v>4051</v>
      </c>
      <c r="X392" s="5" t="s">
        <v>4669</v>
      </c>
      <c r="Y392" s="5" t="s">
        <v>4670</v>
      </c>
      <c r="Z392" s="5" t="s">
        <v>4671</v>
      </c>
      <c r="AA392" s="5"/>
      <c r="AB392" s="5"/>
      <c r="AC392" s="5"/>
      <c r="AD392" s="5"/>
      <c r="AE392" s="5"/>
      <c r="AF392" s="5" t="s">
        <v>4672</v>
      </c>
      <c r="AG392" s="5"/>
      <c r="AH392" s="5" t="s">
        <v>4673</v>
      </c>
      <c r="AI392" s="5"/>
      <c r="AJ392" s="5"/>
      <c r="AK392" s="5"/>
      <c r="AL392" s="5" t="s">
        <v>4672</v>
      </c>
      <c r="AM392" s="5"/>
      <c r="AN392" s="5"/>
      <c r="AO392" s="5"/>
      <c r="AP392" s="5"/>
      <c r="AQ392" s="5"/>
      <c r="AR392" s="5" t="s">
        <v>2921</v>
      </c>
      <c r="AS392" s="5"/>
      <c r="AT392" s="5"/>
      <c r="AU392" s="5"/>
      <c r="AV392" s="5"/>
      <c r="AW392" s="5" t="s">
        <v>4674</v>
      </c>
    </row>
    <row r="393" customFormat="false" ht="236.55" hidden="false" customHeight="false" outlineLevel="0" collapsed="false">
      <c r="A393" s="5" t="s">
        <v>4675</v>
      </c>
      <c r="B393" s="5" t="s">
        <v>4676</v>
      </c>
      <c r="C393" s="5" t="s">
        <v>4043</v>
      </c>
      <c r="D393" s="5" t="s">
        <v>4044</v>
      </c>
      <c r="E393" s="5" t="s">
        <v>626</v>
      </c>
      <c r="F393" s="5" t="s">
        <v>4677</v>
      </c>
      <c r="G393" s="5" t="s">
        <v>4678</v>
      </c>
      <c r="H393" s="5" t="n">
        <v>10</v>
      </c>
      <c r="I393" s="5" t="s">
        <v>603</v>
      </c>
      <c r="J393" s="5" t="s">
        <v>153</v>
      </c>
      <c r="K393" s="5" t="s">
        <v>4679</v>
      </c>
      <c r="L393" s="5" t="s">
        <v>30</v>
      </c>
      <c r="M393" s="5" t="s">
        <v>155</v>
      </c>
      <c r="N393" s="5" t="s">
        <v>1736</v>
      </c>
      <c r="O393" s="5" t="s">
        <v>570</v>
      </c>
      <c r="P393" s="5" t="s">
        <v>158</v>
      </c>
      <c r="Q393" s="5" t="s">
        <v>277</v>
      </c>
      <c r="R393" s="5" t="s">
        <v>4048</v>
      </c>
      <c r="S393" s="5" t="s">
        <v>4049</v>
      </c>
      <c r="T393" s="5" t="s">
        <v>606</v>
      </c>
      <c r="U393" s="5" t="n">
        <v>365</v>
      </c>
      <c r="V393" s="5" t="s">
        <v>4050</v>
      </c>
      <c r="W393" s="5" t="s">
        <v>4051</v>
      </c>
      <c r="X393" s="5" t="s">
        <v>4680</v>
      </c>
      <c r="Y393" s="5" t="s">
        <v>4681</v>
      </c>
      <c r="Z393" s="5" t="s">
        <v>4682</v>
      </c>
      <c r="AA393" s="5"/>
      <c r="AB393" s="5"/>
      <c r="AC393" s="5"/>
      <c r="AD393" s="5"/>
      <c r="AE393" s="5"/>
      <c r="AF393" s="5" t="s">
        <v>4683</v>
      </c>
      <c r="AG393" s="5" t="s">
        <v>4643</v>
      </c>
      <c r="AH393" s="5"/>
      <c r="AI393" s="5"/>
      <c r="AJ393" s="5" t="s">
        <v>4684</v>
      </c>
      <c r="AK393" s="5" t="s">
        <v>4685</v>
      </c>
      <c r="AL393" s="5" t="s">
        <v>4683</v>
      </c>
      <c r="AM393" s="5" t="s">
        <v>4643</v>
      </c>
      <c r="AN393" s="5"/>
      <c r="AO393" s="5" t="s">
        <v>4686</v>
      </c>
      <c r="AP393" s="5" t="s">
        <v>4020</v>
      </c>
      <c r="AQ393" s="5" t="s">
        <v>4643</v>
      </c>
      <c r="AR393" s="5" t="s">
        <v>4687</v>
      </c>
      <c r="AS393" s="5"/>
      <c r="AT393" s="5" t="s">
        <v>4688</v>
      </c>
      <c r="AU393" s="5" t="s">
        <v>4113</v>
      </c>
      <c r="AV393" s="5" t="s">
        <v>178</v>
      </c>
      <c r="AW393" s="5" t="s">
        <v>1518</v>
      </c>
    </row>
    <row r="394" customFormat="false" ht="225.35" hidden="false" customHeight="false" outlineLevel="0" collapsed="false">
      <c r="A394" s="5" t="s">
        <v>4689</v>
      </c>
      <c r="B394" s="5" t="s">
        <v>4690</v>
      </c>
      <c r="C394" s="5" t="s">
        <v>4043</v>
      </c>
      <c r="D394" s="5" t="s">
        <v>4044</v>
      </c>
      <c r="E394" s="5" t="s">
        <v>626</v>
      </c>
      <c r="F394" s="5" t="s">
        <v>4691</v>
      </c>
      <c r="G394" s="5" t="s">
        <v>4692</v>
      </c>
      <c r="H394" s="5" t="n">
        <v>9</v>
      </c>
      <c r="I394" s="5" t="s">
        <v>603</v>
      </c>
      <c r="J394" s="5" t="s">
        <v>153</v>
      </c>
      <c r="K394" s="5"/>
      <c r="L394" s="5" t="s">
        <v>30</v>
      </c>
      <c r="M394" s="5" t="s">
        <v>155</v>
      </c>
      <c r="N394" s="5" t="s">
        <v>1030</v>
      </c>
      <c r="O394" s="5" t="s">
        <v>157</v>
      </c>
      <c r="P394" s="5" t="s">
        <v>641</v>
      </c>
      <c r="Q394" s="5" t="s">
        <v>519</v>
      </c>
      <c r="R394" s="5" t="s">
        <v>4048</v>
      </c>
      <c r="S394" s="5" t="s">
        <v>4049</v>
      </c>
      <c r="T394" s="5" t="s">
        <v>606</v>
      </c>
      <c r="U394" s="5" t="n">
        <v>365</v>
      </c>
      <c r="V394" s="5" t="s">
        <v>4050</v>
      </c>
      <c r="W394" s="5" t="s">
        <v>4051</v>
      </c>
      <c r="X394" s="5" t="s">
        <v>4693</v>
      </c>
      <c r="Y394" s="5" t="s">
        <v>4694</v>
      </c>
      <c r="Z394" s="5" t="s">
        <v>4695</v>
      </c>
      <c r="AA394" s="5"/>
      <c r="AB394" s="5"/>
      <c r="AC394" s="5"/>
      <c r="AD394" s="5"/>
      <c r="AE394" s="5"/>
      <c r="AF394" s="5" t="s">
        <v>4696</v>
      </c>
      <c r="AG394" s="5" t="s">
        <v>4696</v>
      </c>
      <c r="AH394" s="5"/>
      <c r="AI394" s="5"/>
      <c r="AJ394" s="5"/>
      <c r="AK394" s="5"/>
      <c r="AL394" s="5" t="s">
        <v>4696</v>
      </c>
      <c r="AM394" s="5" t="s">
        <v>4696</v>
      </c>
      <c r="AN394" s="5"/>
      <c r="AO394" s="5"/>
      <c r="AP394" s="5"/>
      <c r="AQ394" s="5"/>
      <c r="AR394" s="5" t="s">
        <v>2921</v>
      </c>
      <c r="AS394" s="5"/>
      <c r="AT394" s="5"/>
      <c r="AU394" s="5"/>
      <c r="AV394" s="5"/>
      <c r="AW394" s="5" t="s">
        <v>2033</v>
      </c>
    </row>
    <row r="395" customFormat="false" ht="147" hidden="false" customHeight="false" outlineLevel="0" collapsed="false">
      <c r="A395" s="5" t="s">
        <v>4697</v>
      </c>
      <c r="B395" s="5" t="s">
        <v>4698</v>
      </c>
      <c r="C395" s="5" t="s">
        <v>4043</v>
      </c>
      <c r="D395" s="5" t="s">
        <v>4044</v>
      </c>
      <c r="E395" s="5" t="s">
        <v>626</v>
      </c>
      <c r="F395" s="5" t="s">
        <v>4699</v>
      </c>
      <c r="G395" s="5" t="s">
        <v>4700</v>
      </c>
      <c r="H395" s="5" t="n">
        <v>9</v>
      </c>
      <c r="I395" s="5" t="s">
        <v>603</v>
      </c>
      <c r="J395" s="5" t="s">
        <v>153</v>
      </c>
      <c r="K395" s="5"/>
      <c r="L395" s="5" t="s">
        <v>30</v>
      </c>
      <c r="M395" s="5" t="s">
        <v>155</v>
      </c>
      <c r="N395" s="5" t="s">
        <v>4701</v>
      </c>
      <c r="O395" s="5" t="s">
        <v>570</v>
      </c>
      <c r="P395" s="5" t="s">
        <v>641</v>
      </c>
      <c r="Q395" s="5" t="s">
        <v>519</v>
      </c>
      <c r="R395" s="5" t="s">
        <v>4048</v>
      </c>
      <c r="S395" s="5" t="s">
        <v>4049</v>
      </c>
      <c r="T395" s="5" t="s">
        <v>606</v>
      </c>
      <c r="U395" s="5" t="n">
        <v>365</v>
      </c>
      <c r="V395" s="5" t="s">
        <v>4050</v>
      </c>
      <c r="W395" s="5" t="s">
        <v>4051</v>
      </c>
      <c r="X395" s="5" t="s">
        <v>4702</v>
      </c>
      <c r="Y395" s="5" t="s">
        <v>4703</v>
      </c>
      <c r="Z395" s="5" t="s">
        <v>4704</v>
      </c>
      <c r="AA395" s="5"/>
      <c r="AB395" s="5"/>
      <c r="AC395" s="5"/>
      <c r="AD395" s="5"/>
      <c r="AE395" s="5"/>
      <c r="AF395" s="5" t="s">
        <v>4705</v>
      </c>
      <c r="AG395" s="5" t="s">
        <v>4705</v>
      </c>
      <c r="AH395" s="5"/>
      <c r="AI395" s="5"/>
      <c r="AJ395" s="5"/>
      <c r="AK395" s="5"/>
      <c r="AL395" s="5" t="s">
        <v>4705</v>
      </c>
      <c r="AM395" s="5" t="s">
        <v>4705</v>
      </c>
      <c r="AN395" s="5"/>
      <c r="AO395" s="5" t="s">
        <v>4652</v>
      </c>
      <c r="AP395" s="5"/>
      <c r="AQ395" s="5"/>
      <c r="AR395" s="5" t="s">
        <v>2921</v>
      </c>
      <c r="AS395" s="5"/>
      <c r="AT395" s="5"/>
      <c r="AU395" s="5" t="s">
        <v>4113</v>
      </c>
      <c r="AV395" s="5" t="s">
        <v>178</v>
      </c>
      <c r="AW395" s="5" t="s">
        <v>4706</v>
      </c>
    </row>
    <row r="396" customFormat="false" ht="135.8" hidden="false" customHeight="false" outlineLevel="0" collapsed="false">
      <c r="A396" s="5" t="s">
        <v>4707</v>
      </c>
      <c r="B396" s="5" t="s">
        <v>4708</v>
      </c>
      <c r="C396" s="5" t="s">
        <v>4043</v>
      </c>
      <c r="D396" s="5" t="s">
        <v>4044</v>
      </c>
      <c r="E396" s="5" t="s">
        <v>626</v>
      </c>
      <c r="F396" s="5" t="s">
        <v>4709</v>
      </c>
      <c r="G396" s="5" t="s">
        <v>4710</v>
      </c>
      <c r="H396" s="5" t="n">
        <v>10</v>
      </c>
      <c r="I396" s="5" t="s">
        <v>603</v>
      </c>
      <c r="J396" s="5" t="s">
        <v>153</v>
      </c>
      <c r="K396" s="5" t="s">
        <v>4711</v>
      </c>
      <c r="L396" s="5" t="s">
        <v>30</v>
      </c>
      <c r="M396" s="5" t="s">
        <v>155</v>
      </c>
      <c r="N396" s="5" t="s">
        <v>590</v>
      </c>
      <c r="O396" s="5" t="s">
        <v>157</v>
      </c>
      <c r="P396" s="5" t="s">
        <v>641</v>
      </c>
      <c r="Q396" s="5" t="s">
        <v>519</v>
      </c>
      <c r="R396" s="5" t="s">
        <v>4048</v>
      </c>
      <c r="S396" s="5" t="s">
        <v>4049</v>
      </c>
      <c r="T396" s="5" t="s">
        <v>606</v>
      </c>
      <c r="U396" s="5" t="n">
        <v>365</v>
      </c>
      <c r="V396" s="5" t="s">
        <v>4050</v>
      </c>
      <c r="W396" s="5" t="s">
        <v>4051</v>
      </c>
      <c r="X396" s="5" t="s">
        <v>4712</v>
      </c>
      <c r="Y396" s="5" t="s">
        <v>4713</v>
      </c>
      <c r="Z396" s="5" t="s">
        <v>4714</v>
      </c>
      <c r="AA396" s="5"/>
      <c r="AB396" s="5"/>
      <c r="AC396" s="5"/>
      <c r="AD396" s="5"/>
      <c r="AE396" s="5"/>
      <c r="AF396" s="5" t="s">
        <v>4715</v>
      </c>
      <c r="AG396" s="5" t="s">
        <v>4715</v>
      </c>
      <c r="AH396" s="5"/>
      <c r="AI396" s="5"/>
      <c r="AJ396" s="5" t="s">
        <v>4716</v>
      </c>
      <c r="AK396" s="5"/>
      <c r="AL396" s="5" t="s">
        <v>4715</v>
      </c>
      <c r="AM396" s="5" t="s">
        <v>4715</v>
      </c>
      <c r="AN396" s="5"/>
      <c r="AO396" s="5"/>
      <c r="AP396" s="5"/>
      <c r="AQ396" s="5"/>
      <c r="AR396" s="5" t="s">
        <v>2921</v>
      </c>
      <c r="AS396" s="5"/>
      <c r="AT396" s="5" t="s">
        <v>4717</v>
      </c>
      <c r="AU396" s="5"/>
      <c r="AV396" s="5" t="s">
        <v>178</v>
      </c>
      <c r="AW396" s="5" t="s">
        <v>2033</v>
      </c>
    </row>
    <row r="397" customFormat="false" ht="135.8" hidden="false" customHeight="false" outlineLevel="0" collapsed="false">
      <c r="A397" s="5" t="s">
        <v>4718</v>
      </c>
      <c r="B397" s="5" t="s">
        <v>4719</v>
      </c>
      <c r="C397" s="5" t="s">
        <v>4043</v>
      </c>
      <c r="D397" s="5" t="s">
        <v>4044</v>
      </c>
      <c r="E397" s="5" t="s">
        <v>600</v>
      </c>
      <c r="F397" s="5" t="s">
        <v>4720</v>
      </c>
      <c r="G397" s="5" t="s">
        <v>4721</v>
      </c>
      <c r="H397" s="5" t="n">
        <v>9</v>
      </c>
      <c r="I397" s="5" t="s">
        <v>152</v>
      </c>
      <c r="J397" s="5" t="s">
        <v>153</v>
      </c>
      <c r="K397" s="5"/>
      <c r="L397" s="5" t="s">
        <v>30</v>
      </c>
      <c r="M397" s="5" t="s">
        <v>155</v>
      </c>
      <c r="N397" s="5" t="s">
        <v>1030</v>
      </c>
      <c r="O397" s="5" t="s">
        <v>157</v>
      </c>
      <c r="P397" s="5" t="s">
        <v>641</v>
      </c>
      <c r="Q397" s="5" t="s">
        <v>440</v>
      </c>
      <c r="R397" s="5" t="s">
        <v>4048</v>
      </c>
      <c r="S397" s="5" t="s">
        <v>4049</v>
      </c>
      <c r="T397" s="5" t="s">
        <v>162</v>
      </c>
      <c r="U397" s="5" t="n">
        <v>365</v>
      </c>
      <c r="V397" s="5" t="s">
        <v>4050</v>
      </c>
      <c r="W397" s="5" t="s">
        <v>4051</v>
      </c>
      <c r="X397" s="5" t="s">
        <v>4722</v>
      </c>
      <c r="Y397" s="5" t="s">
        <v>4723</v>
      </c>
      <c r="Z397" s="5" t="s">
        <v>4724</v>
      </c>
      <c r="AA397" s="5"/>
      <c r="AB397" s="5"/>
      <c r="AC397" s="5"/>
      <c r="AD397" s="5"/>
      <c r="AE397" s="5"/>
      <c r="AF397" s="5" t="s">
        <v>4725</v>
      </c>
      <c r="AG397" s="5" t="s">
        <v>4725</v>
      </c>
      <c r="AH397" s="5"/>
      <c r="AI397" s="5"/>
      <c r="AJ397" s="5"/>
      <c r="AK397" s="5"/>
      <c r="AL397" s="5" t="s">
        <v>4725</v>
      </c>
      <c r="AM397" s="5" t="s">
        <v>4725</v>
      </c>
      <c r="AN397" s="5"/>
      <c r="AO397" s="5"/>
      <c r="AP397" s="5"/>
      <c r="AQ397" s="5"/>
      <c r="AR397" s="5" t="s">
        <v>2921</v>
      </c>
      <c r="AS397" s="5"/>
      <c r="AT397" s="5"/>
      <c r="AU397" s="5"/>
      <c r="AV397" s="5" t="s">
        <v>178</v>
      </c>
      <c r="AW397" s="5" t="s">
        <v>4726</v>
      </c>
    </row>
    <row r="398" customFormat="false" ht="135.8" hidden="false" customHeight="false" outlineLevel="0" collapsed="false">
      <c r="A398" s="5" t="s">
        <v>4727</v>
      </c>
      <c r="B398" s="5" t="s">
        <v>4728</v>
      </c>
      <c r="C398" s="5" t="s">
        <v>4043</v>
      </c>
      <c r="D398" s="5" t="s">
        <v>4044</v>
      </c>
      <c r="E398" s="5" t="s">
        <v>626</v>
      </c>
      <c r="F398" s="5" t="s">
        <v>4729</v>
      </c>
      <c r="G398" s="5" t="s">
        <v>4730</v>
      </c>
      <c r="H398" s="5" t="n">
        <v>9</v>
      </c>
      <c r="I398" s="5" t="s">
        <v>603</v>
      </c>
      <c r="J398" s="5" t="s">
        <v>153</v>
      </c>
      <c r="K398" s="5"/>
      <c r="L398" s="5" t="s">
        <v>30</v>
      </c>
      <c r="M398" s="5" t="s">
        <v>155</v>
      </c>
      <c r="N398" s="5" t="s">
        <v>1030</v>
      </c>
      <c r="O398" s="5" t="s">
        <v>157</v>
      </c>
      <c r="P398" s="5" t="s">
        <v>641</v>
      </c>
      <c r="Q398" s="5" t="s">
        <v>519</v>
      </c>
      <c r="R398" s="5" t="s">
        <v>4048</v>
      </c>
      <c r="S398" s="5" t="s">
        <v>4049</v>
      </c>
      <c r="T398" s="5" t="s">
        <v>606</v>
      </c>
      <c r="U398" s="5" t="n">
        <v>365</v>
      </c>
      <c r="V398" s="5" t="s">
        <v>4050</v>
      </c>
      <c r="W398" s="5" t="s">
        <v>4051</v>
      </c>
      <c r="X398" s="5" t="s">
        <v>4731</v>
      </c>
      <c r="Y398" s="5" t="s">
        <v>4732</v>
      </c>
      <c r="Z398" s="5" t="s">
        <v>4733</v>
      </c>
      <c r="AA398" s="5"/>
      <c r="AB398" s="5"/>
      <c r="AC398" s="5"/>
      <c r="AD398" s="5"/>
      <c r="AE398" s="5"/>
      <c r="AF398" s="5" t="s">
        <v>4734</v>
      </c>
      <c r="AG398" s="5" t="s">
        <v>4734</v>
      </c>
      <c r="AH398" s="5"/>
      <c r="AI398" s="5"/>
      <c r="AJ398" s="5"/>
      <c r="AK398" s="5"/>
      <c r="AL398" s="5" t="s">
        <v>4734</v>
      </c>
      <c r="AM398" s="5" t="s">
        <v>4734</v>
      </c>
      <c r="AN398" s="5"/>
      <c r="AO398" s="5"/>
      <c r="AP398" s="5"/>
      <c r="AQ398" s="5"/>
      <c r="AR398" s="5" t="s">
        <v>2921</v>
      </c>
      <c r="AS398" s="5"/>
      <c r="AT398" s="5"/>
      <c r="AU398" s="5"/>
      <c r="AV398" s="5" t="s">
        <v>178</v>
      </c>
      <c r="AW398" s="5" t="s">
        <v>2033</v>
      </c>
    </row>
    <row r="399" customFormat="false" ht="202.95" hidden="false" customHeight="false" outlineLevel="0" collapsed="false">
      <c r="A399" s="5" t="s">
        <v>4735</v>
      </c>
      <c r="B399" s="5" t="s">
        <v>4736</v>
      </c>
      <c r="C399" s="5" t="s">
        <v>4043</v>
      </c>
      <c r="D399" s="5" t="s">
        <v>4044</v>
      </c>
      <c r="E399" s="5" t="s">
        <v>626</v>
      </c>
      <c r="F399" s="5" t="s">
        <v>4737</v>
      </c>
      <c r="G399" s="5" t="s">
        <v>4738</v>
      </c>
      <c r="H399" s="5" t="n">
        <v>9</v>
      </c>
      <c r="I399" s="5" t="s">
        <v>603</v>
      </c>
      <c r="J399" s="5" t="s">
        <v>153</v>
      </c>
      <c r="K399" s="5"/>
      <c r="L399" s="5" t="s">
        <v>30</v>
      </c>
      <c r="M399" s="5" t="s">
        <v>155</v>
      </c>
      <c r="N399" s="5" t="s">
        <v>4739</v>
      </c>
      <c r="O399" s="5" t="s">
        <v>570</v>
      </c>
      <c r="P399" s="5" t="s">
        <v>641</v>
      </c>
      <c r="Q399" s="5" t="s">
        <v>519</v>
      </c>
      <c r="R399" s="5" t="s">
        <v>4048</v>
      </c>
      <c r="S399" s="5" t="s">
        <v>4049</v>
      </c>
      <c r="T399" s="5" t="s">
        <v>606</v>
      </c>
      <c r="U399" s="5" t="n">
        <v>365</v>
      </c>
      <c r="V399" s="5" t="s">
        <v>4050</v>
      </c>
      <c r="W399" s="5" t="s">
        <v>4051</v>
      </c>
      <c r="X399" s="5" t="s">
        <v>4740</v>
      </c>
      <c r="Y399" s="5" t="s">
        <v>4741</v>
      </c>
      <c r="Z399" s="5" t="s">
        <v>4742</v>
      </c>
      <c r="AA399" s="5" t="s">
        <v>4743</v>
      </c>
      <c r="AB399" s="5" t="s">
        <v>4744</v>
      </c>
      <c r="AC399" s="5"/>
      <c r="AD399" s="5" t="s">
        <v>4745</v>
      </c>
      <c r="AE399" s="5"/>
      <c r="AF399" s="5" t="s">
        <v>4746</v>
      </c>
      <c r="AG399" s="5" t="s">
        <v>4746</v>
      </c>
      <c r="AH399" s="5" t="s">
        <v>4747</v>
      </c>
      <c r="AI399" s="5"/>
      <c r="AJ399" s="5"/>
      <c r="AK399" s="5"/>
      <c r="AL399" s="5" t="s">
        <v>4746</v>
      </c>
      <c r="AM399" s="5"/>
      <c r="AN399" s="5"/>
      <c r="AO399" s="5"/>
      <c r="AP399" s="5"/>
      <c r="AQ399" s="5"/>
      <c r="AR399" s="5" t="s">
        <v>2921</v>
      </c>
      <c r="AS399" s="5"/>
      <c r="AT399" s="5" t="s">
        <v>763</v>
      </c>
      <c r="AU399" s="5"/>
      <c r="AV399" s="5" t="s">
        <v>178</v>
      </c>
      <c r="AW399" s="5" t="s">
        <v>4087</v>
      </c>
    </row>
    <row r="400" customFormat="false" ht="135.8" hidden="false" customHeight="false" outlineLevel="0" collapsed="false">
      <c r="A400" s="5" t="s">
        <v>4748</v>
      </c>
      <c r="B400" s="5" t="s">
        <v>4749</v>
      </c>
      <c r="C400" s="5" t="s">
        <v>4043</v>
      </c>
      <c r="D400" s="5" t="s">
        <v>4044</v>
      </c>
      <c r="E400" s="5" t="s">
        <v>626</v>
      </c>
      <c r="F400" s="5" t="s">
        <v>4750</v>
      </c>
      <c r="G400" s="5" t="s">
        <v>4751</v>
      </c>
      <c r="H400" s="5" t="n">
        <v>6</v>
      </c>
      <c r="I400" s="5" t="s">
        <v>603</v>
      </c>
      <c r="J400" s="5" t="s">
        <v>153</v>
      </c>
      <c r="K400" s="5"/>
      <c r="L400" s="5" t="s">
        <v>30</v>
      </c>
      <c r="M400" s="5" t="s">
        <v>155</v>
      </c>
      <c r="N400" s="5" t="s">
        <v>4752</v>
      </c>
      <c r="O400" s="5" t="s">
        <v>570</v>
      </c>
      <c r="P400" s="5" t="s">
        <v>215</v>
      </c>
      <c r="Q400" s="5" t="s">
        <v>519</v>
      </c>
      <c r="R400" s="5" t="s">
        <v>4048</v>
      </c>
      <c r="S400" s="5" t="s">
        <v>4049</v>
      </c>
      <c r="T400" s="5" t="s">
        <v>606</v>
      </c>
      <c r="U400" s="5" t="n">
        <v>365</v>
      </c>
      <c r="V400" s="5" t="s">
        <v>4050</v>
      </c>
      <c r="W400" s="5" t="s">
        <v>4051</v>
      </c>
      <c r="X400" s="5" t="s">
        <v>4753</v>
      </c>
      <c r="Y400" s="5" t="s">
        <v>4754</v>
      </c>
      <c r="Z400" s="5" t="s">
        <v>4755</v>
      </c>
      <c r="AA400" s="5" t="s">
        <v>4756</v>
      </c>
      <c r="AB400" s="5" t="s">
        <v>4757</v>
      </c>
      <c r="AC400" s="5"/>
      <c r="AD400" s="5" t="s">
        <v>4758</v>
      </c>
      <c r="AE400" s="5"/>
      <c r="AF400" s="5" t="s">
        <v>4759</v>
      </c>
      <c r="AG400" s="5"/>
      <c r="AH400" s="5"/>
      <c r="AI400" s="5"/>
      <c r="AJ400" s="5"/>
      <c r="AK400" s="5"/>
      <c r="AL400" s="5" t="s">
        <v>4759</v>
      </c>
      <c r="AM400" s="5"/>
      <c r="AN400" s="5"/>
      <c r="AO400" s="5"/>
      <c r="AP400" s="5"/>
      <c r="AQ400" s="5"/>
      <c r="AR400" s="5" t="s">
        <v>2921</v>
      </c>
      <c r="AS400" s="5"/>
      <c r="AT400" s="5"/>
      <c r="AU400" s="5"/>
      <c r="AV400" s="5"/>
      <c r="AW400" s="5" t="s">
        <v>1664</v>
      </c>
    </row>
    <row r="401" customFormat="false" ht="214.15" hidden="false" customHeight="false" outlineLevel="0" collapsed="false">
      <c r="A401" s="5" t="s">
        <v>4760</v>
      </c>
      <c r="B401" s="5" t="s">
        <v>4761</v>
      </c>
      <c r="C401" s="5" t="s">
        <v>4043</v>
      </c>
      <c r="D401" s="5" t="s">
        <v>4044</v>
      </c>
      <c r="E401" s="5" t="s">
        <v>626</v>
      </c>
      <c r="F401" s="5" t="s">
        <v>4762</v>
      </c>
      <c r="G401" s="5" t="s">
        <v>4763</v>
      </c>
      <c r="H401" s="5" t="n">
        <v>9</v>
      </c>
      <c r="I401" s="5" t="s">
        <v>603</v>
      </c>
      <c r="J401" s="5" t="s">
        <v>153</v>
      </c>
      <c r="K401" s="5"/>
      <c r="L401" s="5" t="s">
        <v>30</v>
      </c>
      <c r="M401" s="5" t="s">
        <v>155</v>
      </c>
      <c r="N401" s="5" t="s">
        <v>4764</v>
      </c>
      <c r="O401" s="5" t="s">
        <v>570</v>
      </c>
      <c r="P401" s="5" t="s">
        <v>641</v>
      </c>
      <c r="Q401" s="5" t="s">
        <v>519</v>
      </c>
      <c r="R401" s="5" t="s">
        <v>4048</v>
      </c>
      <c r="S401" s="5" t="s">
        <v>4049</v>
      </c>
      <c r="T401" s="5" t="s">
        <v>606</v>
      </c>
      <c r="U401" s="5" t="n">
        <v>365</v>
      </c>
      <c r="V401" s="5" t="s">
        <v>4050</v>
      </c>
      <c r="W401" s="5" t="s">
        <v>4051</v>
      </c>
      <c r="X401" s="5" t="s">
        <v>4765</v>
      </c>
      <c r="Y401" s="5" t="s">
        <v>4766</v>
      </c>
      <c r="Z401" s="5" t="s">
        <v>4767</v>
      </c>
      <c r="AA401" s="5" t="s">
        <v>4768</v>
      </c>
      <c r="AB401" s="5" t="s">
        <v>4769</v>
      </c>
      <c r="AC401" s="5"/>
      <c r="AD401" s="5" t="s">
        <v>4770</v>
      </c>
      <c r="AE401" s="5"/>
      <c r="AF401" s="5" t="s">
        <v>4771</v>
      </c>
      <c r="AG401" s="5" t="s">
        <v>4771</v>
      </c>
      <c r="AH401" s="5"/>
      <c r="AI401" s="5"/>
      <c r="AJ401" s="5"/>
      <c r="AK401" s="5"/>
      <c r="AL401" s="5" t="s">
        <v>4771</v>
      </c>
      <c r="AM401" s="5" t="s">
        <v>4771</v>
      </c>
      <c r="AN401" s="5"/>
      <c r="AO401" s="5"/>
      <c r="AP401" s="5"/>
      <c r="AQ401" s="5"/>
      <c r="AR401" s="5" t="s">
        <v>2921</v>
      </c>
      <c r="AS401" s="5"/>
      <c r="AT401" s="5"/>
      <c r="AU401" s="5"/>
      <c r="AV401" s="5" t="s">
        <v>178</v>
      </c>
      <c r="AW401" s="5" t="s">
        <v>1664</v>
      </c>
    </row>
    <row r="402" customFormat="false" ht="124.6" hidden="false" customHeight="false" outlineLevel="0" collapsed="false">
      <c r="A402" s="5" t="s">
        <v>4772</v>
      </c>
      <c r="B402" s="5" t="s">
        <v>4773</v>
      </c>
      <c r="C402" s="5" t="s">
        <v>4043</v>
      </c>
      <c r="D402" s="5" t="s">
        <v>4044</v>
      </c>
      <c r="E402" s="5" t="s">
        <v>626</v>
      </c>
      <c r="F402" s="5" t="s">
        <v>4774</v>
      </c>
      <c r="G402" s="5" t="s">
        <v>4775</v>
      </c>
      <c r="H402" s="5" t="n">
        <v>9</v>
      </c>
      <c r="I402" s="5" t="s">
        <v>603</v>
      </c>
      <c r="J402" s="5" t="s">
        <v>153</v>
      </c>
      <c r="K402" s="5"/>
      <c r="L402" s="5" t="s">
        <v>30</v>
      </c>
      <c r="M402" s="5" t="s">
        <v>155</v>
      </c>
      <c r="N402" s="5" t="s">
        <v>1030</v>
      </c>
      <c r="O402" s="5" t="s">
        <v>157</v>
      </c>
      <c r="P402" s="5" t="s">
        <v>641</v>
      </c>
      <c r="Q402" s="5" t="s">
        <v>440</v>
      </c>
      <c r="R402" s="5" t="s">
        <v>4048</v>
      </c>
      <c r="S402" s="5" t="s">
        <v>4049</v>
      </c>
      <c r="T402" s="5" t="s">
        <v>606</v>
      </c>
      <c r="U402" s="5" t="n">
        <v>365</v>
      </c>
      <c r="V402" s="5" t="s">
        <v>4050</v>
      </c>
      <c r="W402" s="5" t="s">
        <v>4051</v>
      </c>
      <c r="X402" s="5" t="s">
        <v>4776</v>
      </c>
      <c r="Y402" s="5" t="s">
        <v>4777</v>
      </c>
      <c r="Z402" s="5" t="s">
        <v>4778</v>
      </c>
      <c r="AA402" s="5"/>
      <c r="AB402" s="5"/>
      <c r="AC402" s="5"/>
      <c r="AD402" s="5"/>
      <c r="AE402" s="5"/>
      <c r="AF402" s="5" t="s">
        <v>4779</v>
      </c>
      <c r="AG402" s="5" t="s">
        <v>4779</v>
      </c>
      <c r="AH402" s="5"/>
      <c r="AI402" s="5"/>
      <c r="AJ402" s="5"/>
      <c r="AK402" s="5"/>
      <c r="AL402" s="5" t="s">
        <v>4779</v>
      </c>
      <c r="AM402" s="5" t="s">
        <v>4779</v>
      </c>
      <c r="AN402" s="5"/>
      <c r="AO402" s="5"/>
      <c r="AP402" s="5"/>
      <c r="AQ402" s="5"/>
      <c r="AR402" s="5" t="s">
        <v>2921</v>
      </c>
      <c r="AS402" s="5"/>
      <c r="AT402" s="5"/>
      <c r="AU402" s="5"/>
      <c r="AV402" s="5" t="s">
        <v>178</v>
      </c>
      <c r="AW402" s="5" t="s">
        <v>1664</v>
      </c>
    </row>
    <row r="403" customFormat="false" ht="158.2" hidden="false" customHeight="false" outlineLevel="0" collapsed="false">
      <c r="A403" s="5" t="s">
        <v>4780</v>
      </c>
      <c r="B403" s="5" t="s">
        <v>4781</v>
      </c>
      <c r="C403" s="5" t="s">
        <v>4043</v>
      </c>
      <c r="D403" s="5" t="s">
        <v>4044</v>
      </c>
      <c r="E403" s="5" t="s">
        <v>626</v>
      </c>
      <c r="F403" s="5" t="s">
        <v>4782</v>
      </c>
      <c r="G403" s="5" t="s">
        <v>4783</v>
      </c>
      <c r="H403" s="5" t="n">
        <v>9</v>
      </c>
      <c r="I403" s="5" t="s">
        <v>603</v>
      </c>
      <c r="J403" s="5" t="s">
        <v>557</v>
      </c>
      <c r="K403" s="5"/>
      <c r="L403" s="5" t="s">
        <v>30</v>
      </c>
      <c r="M403" s="5" t="s">
        <v>155</v>
      </c>
      <c r="N403" s="5" t="s">
        <v>4784</v>
      </c>
      <c r="O403" s="5" t="s">
        <v>157</v>
      </c>
      <c r="P403" s="5" t="s">
        <v>158</v>
      </c>
      <c r="Q403" s="5" t="s">
        <v>440</v>
      </c>
      <c r="R403" s="5" t="s">
        <v>4048</v>
      </c>
      <c r="S403" s="5" t="s">
        <v>4049</v>
      </c>
      <c r="T403" s="5" t="s">
        <v>606</v>
      </c>
      <c r="U403" s="5" t="n">
        <v>90</v>
      </c>
      <c r="V403" s="5" t="s">
        <v>4050</v>
      </c>
      <c r="W403" s="5" t="s">
        <v>4051</v>
      </c>
      <c r="X403" s="5" t="s">
        <v>4785</v>
      </c>
      <c r="Y403" s="5" t="s">
        <v>4786</v>
      </c>
      <c r="Z403" s="5" t="s">
        <v>4787</v>
      </c>
      <c r="AA403" s="5"/>
      <c r="AB403" s="5" t="s">
        <v>4788</v>
      </c>
      <c r="AC403" s="5"/>
      <c r="AD403" s="5"/>
      <c r="AE403" s="5"/>
      <c r="AF403" s="5" t="s">
        <v>4789</v>
      </c>
      <c r="AG403" s="5" t="s">
        <v>4789</v>
      </c>
      <c r="AH403" s="5" t="s">
        <v>4790</v>
      </c>
      <c r="AI403" s="5"/>
      <c r="AJ403" s="5"/>
      <c r="AK403" s="5"/>
      <c r="AL403" s="5" t="s">
        <v>4789</v>
      </c>
      <c r="AM403" s="5" t="s">
        <v>4789</v>
      </c>
      <c r="AN403" s="5"/>
      <c r="AO403" s="5"/>
      <c r="AP403" s="5"/>
      <c r="AQ403" s="5"/>
      <c r="AR403" s="5" t="s">
        <v>2921</v>
      </c>
      <c r="AS403" s="5"/>
      <c r="AT403" s="5"/>
      <c r="AU403" s="5"/>
      <c r="AV403" s="5" t="s">
        <v>178</v>
      </c>
      <c r="AW403" s="5" t="s">
        <v>1664</v>
      </c>
    </row>
    <row r="404" customFormat="false" ht="180.55" hidden="false" customHeight="false" outlineLevel="0" collapsed="false">
      <c r="A404" s="5" t="s">
        <v>4791</v>
      </c>
      <c r="B404" s="5" t="s">
        <v>4792</v>
      </c>
      <c r="C404" s="5" t="s">
        <v>4043</v>
      </c>
      <c r="D404" s="5" t="s">
        <v>4044</v>
      </c>
      <c r="E404" s="5" t="s">
        <v>626</v>
      </c>
      <c r="F404" s="5" t="s">
        <v>4793</v>
      </c>
      <c r="G404" s="5" t="s">
        <v>4794</v>
      </c>
      <c r="H404" s="5" t="n">
        <v>8</v>
      </c>
      <c r="I404" s="5" t="s">
        <v>603</v>
      </c>
      <c r="J404" s="5" t="s">
        <v>153</v>
      </c>
      <c r="K404" s="5"/>
      <c r="L404" s="5" t="s">
        <v>30</v>
      </c>
      <c r="M404" s="5" t="s">
        <v>155</v>
      </c>
      <c r="N404" s="5" t="s">
        <v>42</v>
      </c>
      <c r="O404" s="5" t="s">
        <v>157</v>
      </c>
      <c r="P404" s="5" t="s">
        <v>215</v>
      </c>
      <c r="Q404" s="5" t="s">
        <v>519</v>
      </c>
      <c r="R404" s="5" t="s">
        <v>4048</v>
      </c>
      <c r="S404" s="5" t="s">
        <v>4049</v>
      </c>
      <c r="T404" s="5" t="s">
        <v>606</v>
      </c>
      <c r="U404" s="5" t="n">
        <v>365</v>
      </c>
      <c r="V404" s="5" t="s">
        <v>4050</v>
      </c>
      <c r="W404" s="5" t="s">
        <v>4051</v>
      </c>
      <c r="X404" s="5" t="s">
        <v>4795</v>
      </c>
      <c r="Y404" s="5" t="s">
        <v>4796</v>
      </c>
      <c r="Z404" s="5" t="s">
        <v>4797</v>
      </c>
      <c r="AA404" s="5"/>
      <c r="AB404" s="5"/>
      <c r="AC404" s="5"/>
      <c r="AD404" s="5"/>
      <c r="AE404" s="5"/>
      <c r="AF404" s="5" t="s">
        <v>4798</v>
      </c>
      <c r="AG404" s="5" t="s">
        <v>4798</v>
      </c>
      <c r="AH404" s="5"/>
      <c r="AI404" s="5"/>
      <c r="AJ404" s="5"/>
      <c r="AK404" s="5"/>
      <c r="AL404" s="5" t="s">
        <v>4798</v>
      </c>
      <c r="AM404" s="5"/>
      <c r="AN404" s="5"/>
      <c r="AO404" s="5"/>
      <c r="AP404" s="5"/>
      <c r="AQ404" s="5"/>
      <c r="AR404" s="5" t="s">
        <v>2921</v>
      </c>
      <c r="AS404" s="5"/>
      <c r="AT404" s="5"/>
      <c r="AU404" s="5"/>
      <c r="AV404" s="5"/>
      <c r="AW404" s="5" t="s">
        <v>1664</v>
      </c>
    </row>
    <row r="405" customFormat="false" ht="158.2" hidden="false" customHeight="false" outlineLevel="0" collapsed="false">
      <c r="A405" s="5" t="s">
        <v>4799</v>
      </c>
      <c r="B405" s="5" t="s">
        <v>4800</v>
      </c>
      <c r="C405" s="5" t="s">
        <v>4043</v>
      </c>
      <c r="D405" s="5" t="s">
        <v>4044</v>
      </c>
      <c r="E405" s="5" t="s">
        <v>626</v>
      </c>
      <c r="F405" s="5" t="s">
        <v>4801</v>
      </c>
      <c r="G405" s="5" t="s">
        <v>4802</v>
      </c>
      <c r="H405" s="5" t="n">
        <v>10</v>
      </c>
      <c r="I405" s="5" t="s">
        <v>152</v>
      </c>
      <c r="J405" s="5" t="s">
        <v>153</v>
      </c>
      <c r="K405" s="5" t="s">
        <v>4803</v>
      </c>
      <c r="L405" s="5" t="s">
        <v>30</v>
      </c>
      <c r="M405" s="5" t="s">
        <v>155</v>
      </c>
      <c r="N405" s="5" t="s">
        <v>4804</v>
      </c>
      <c r="O405" s="5" t="s">
        <v>157</v>
      </c>
      <c r="P405" s="5" t="s">
        <v>158</v>
      </c>
      <c r="Q405" s="5" t="s">
        <v>519</v>
      </c>
      <c r="R405" s="5" t="s">
        <v>4048</v>
      </c>
      <c r="S405" s="5" t="s">
        <v>4049</v>
      </c>
      <c r="T405" s="5" t="s">
        <v>162</v>
      </c>
      <c r="U405" s="5" t="n">
        <v>365</v>
      </c>
      <c r="V405" s="5" t="s">
        <v>4050</v>
      </c>
      <c r="W405" s="5" t="s">
        <v>4051</v>
      </c>
      <c r="X405" s="5" t="s">
        <v>4805</v>
      </c>
      <c r="Y405" s="5" t="s">
        <v>4806</v>
      </c>
      <c r="Z405" s="5" t="s">
        <v>4807</v>
      </c>
      <c r="AA405" s="5"/>
      <c r="AB405" s="5"/>
      <c r="AC405" s="5"/>
      <c r="AD405" s="5"/>
      <c r="AE405" s="5"/>
      <c r="AF405" s="5" t="s">
        <v>4808</v>
      </c>
      <c r="AG405" s="5" t="s">
        <v>4808</v>
      </c>
      <c r="AH405" s="5"/>
      <c r="AI405" s="5"/>
      <c r="AJ405" s="5" t="s">
        <v>4809</v>
      </c>
      <c r="AK405" s="5" t="s">
        <v>4810</v>
      </c>
      <c r="AL405" s="5" t="s">
        <v>4808</v>
      </c>
      <c r="AM405" s="5" t="s">
        <v>4808</v>
      </c>
      <c r="AN405" s="5"/>
      <c r="AO405" s="5"/>
      <c r="AP405" s="5"/>
      <c r="AQ405" s="5"/>
      <c r="AR405" s="5" t="s">
        <v>2665</v>
      </c>
      <c r="AS405" s="5"/>
      <c r="AT405" s="5"/>
      <c r="AU405" s="5"/>
      <c r="AV405" s="5" t="s">
        <v>178</v>
      </c>
      <c r="AW405" s="5" t="s">
        <v>4811</v>
      </c>
    </row>
    <row r="406" customFormat="false" ht="147" hidden="false" customHeight="false" outlineLevel="0" collapsed="false">
      <c r="A406" s="5" t="s">
        <v>4812</v>
      </c>
      <c r="B406" s="5" t="s">
        <v>4813</v>
      </c>
      <c r="C406" s="5" t="s">
        <v>4043</v>
      </c>
      <c r="D406" s="5" t="s">
        <v>4044</v>
      </c>
      <c r="E406" s="5" t="s">
        <v>600</v>
      </c>
      <c r="F406" s="5" t="s">
        <v>4814</v>
      </c>
      <c r="G406" s="5" t="s">
        <v>4815</v>
      </c>
      <c r="H406" s="5" t="n">
        <v>10</v>
      </c>
      <c r="I406" s="5" t="s">
        <v>152</v>
      </c>
      <c r="J406" s="5" t="s">
        <v>153</v>
      </c>
      <c r="K406" s="5" t="s">
        <v>4711</v>
      </c>
      <c r="L406" s="5" t="s">
        <v>30</v>
      </c>
      <c r="M406" s="5" t="s">
        <v>155</v>
      </c>
      <c r="N406" s="5" t="s">
        <v>4816</v>
      </c>
      <c r="O406" s="5" t="s">
        <v>157</v>
      </c>
      <c r="P406" s="5" t="s">
        <v>158</v>
      </c>
      <c r="Q406" s="5" t="s">
        <v>519</v>
      </c>
      <c r="R406" s="5" t="s">
        <v>4048</v>
      </c>
      <c r="S406" s="5" t="s">
        <v>4049</v>
      </c>
      <c r="T406" s="5" t="s">
        <v>162</v>
      </c>
      <c r="U406" s="5" t="n">
        <v>365</v>
      </c>
      <c r="V406" s="5" t="s">
        <v>4050</v>
      </c>
      <c r="W406" s="5" t="s">
        <v>4051</v>
      </c>
      <c r="X406" s="5" t="s">
        <v>4817</v>
      </c>
      <c r="Y406" s="5" t="s">
        <v>4818</v>
      </c>
      <c r="Z406" s="5" t="s">
        <v>4819</v>
      </c>
      <c r="AA406" s="5"/>
      <c r="AB406" s="5"/>
      <c r="AC406" s="5"/>
      <c r="AD406" s="5"/>
      <c r="AE406" s="5"/>
      <c r="AF406" s="5" t="s">
        <v>4820</v>
      </c>
      <c r="AG406" s="5"/>
      <c r="AH406" s="5" t="s">
        <v>4821</v>
      </c>
      <c r="AI406" s="5"/>
      <c r="AJ406" s="5" t="s">
        <v>4716</v>
      </c>
      <c r="AK406" s="5"/>
      <c r="AL406" s="5" t="s">
        <v>4820</v>
      </c>
      <c r="AM406" s="5"/>
      <c r="AN406" s="5"/>
      <c r="AO406" s="5"/>
      <c r="AP406" s="5"/>
      <c r="AQ406" s="5"/>
      <c r="AR406" s="5" t="s">
        <v>4065</v>
      </c>
      <c r="AS406" s="5"/>
      <c r="AT406" s="5"/>
      <c r="AU406" s="5"/>
      <c r="AV406" s="5" t="s">
        <v>178</v>
      </c>
      <c r="AW406" s="5" t="s">
        <v>4822</v>
      </c>
    </row>
    <row r="407" customFormat="false" ht="124.6" hidden="false" customHeight="false" outlineLevel="0" collapsed="false">
      <c r="A407" s="5" t="s">
        <v>4823</v>
      </c>
      <c r="B407" s="5" t="s">
        <v>4824</v>
      </c>
      <c r="C407" s="5" t="s">
        <v>4043</v>
      </c>
      <c r="D407" s="5" t="s">
        <v>4044</v>
      </c>
      <c r="E407" s="5" t="s">
        <v>626</v>
      </c>
      <c r="F407" s="5" t="s">
        <v>4825</v>
      </c>
      <c r="G407" s="5" t="s">
        <v>4826</v>
      </c>
      <c r="H407" s="5" t="n">
        <v>5</v>
      </c>
      <c r="I407" s="5" t="s">
        <v>152</v>
      </c>
      <c r="J407" s="5" t="s">
        <v>153</v>
      </c>
      <c r="K407" s="5"/>
      <c r="L407" s="5" t="s">
        <v>30</v>
      </c>
      <c r="M407" s="5" t="s">
        <v>155</v>
      </c>
      <c r="N407" s="5" t="s">
        <v>1030</v>
      </c>
      <c r="O407" s="5" t="s">
        <v>157</v>
      </c>
      <c r="P407" s="5" t="s">
        <v>158</v>
      </c>
      <c r="Q407" s="5" t="s">
        <v>519</v>
      </c>
      <c r="R407" s="5" t="s">
        <v>4048</v>
      </c>
      <c r="S407" s="5" t="s">
        <v>4049</v>
      </c>
      <c r="T407" s="5" t="s">
        <v>162</v>
      </c>
      <c r="U407" s="5" t="n">
        <v>365</v>
      </c>
      <c r="V407" s="5" t="s">
        <v>4050</v>
      </c>
      <c r="W407" s="5" t="s">
        <v>4051</v>
      </c>
      <c r="X407" s="5" t="s">
        <v>4827</v>
      </c>
      <c r="Y407" s="5" t="s">
        <v>4828</v>
      </c>
      <c r="Z407" s="5" t="s">
        <v>4829</v>
      </c>
      <c r="AA407" s="5"/>
      <c r="AB407" s="5"/>
      <c r="AC407" s="5"/>
      <c r="AD407" s="5"/>
      <c r="AE407" s="5"/>
      <c r="AF407" s="5" t="s">
        <v>4830</v>
      </c>
      <c r="AG407" s="5" t="s">
        <v>4830</v>
      </c>
      <c r="AH407" s="5"/>
      <c r="AI407" s="5"/>
      <c r="AJ407" s="5"/>
      <c r="AK407" s="5"/>
      <c r="AL407" s="5" t="s">
        <v>4830</v>
      </c>
      <c r="AM407" s="5" t="s">
        <v>4830</v>
      </c>
      <c r="AN407" s="5"/>
      <c r="AO407" s="5"/>
      <c r="AP407" s="5"/>
      <c r="AQ407" s="5"/>
      <c r="AR407" s="5" t="s">
        <v>2665</v>
      </c>
      <c r="AS407" s="5"/>
      <c r="AT407" s="5"/>
      <c r="AU407" s="5"/>
      <c r="AV407" s="5"/>
      <c r="AW407" s="5" t="s">
        <v>4811</v>
      </c>
    </row>
    <row r="408" customFormat="false" ht="135.8" hidden="false" customHeight="false" outlineLevel="0" collapsed="false">
      <c r="A408" s="5" t="s">
        <v>4831</v>
      </c>
      <c r="B408" s="5" t="s">
        <v>4832</v>
      </c>
      <c r="C408" s="5" t="s">
        <v>4043</v>
      </c>
      <c r="D408" s="5" t="s">
        <v>4044</v>
      </c>
      <c r="E408" s="5" t="s">
        <v>626</v>
      </c>
      <c r="F408" s="5" t="s">
        <v>4833</v>
      </c>
      <c r="G408" s="5" t="s">
        <v>4834</v>
      </c>
      <c r="H408" s="5" t="n">
        <v>5</v>
      </c>
      <c r="I408" s="5" t="s">
        <v>152</v>
      </c>
      <c r="J408" s="5" t="s">
        <v>153</v>
      </c>
      <c r="K408" s="5"/>
      <c r="L408" s="5" t="s">
        <v>30</v>
      </c>
      <c r="M408" s="5" t="s">
        <v>155</v>
      </c>
      <c r="N408" s="5" t="s">
        <v>1030</v>
      </c>
      <c r="O408" s="5" t="s">
        <v>157</v>
      </c>
      <c r="P408" s="5" t="s">
        <v>158</v>
      </c>
      <c r="Q408" s="5" t="s">
        <v>519</v>
      </c>
      <c r="R408" s="5" t="s">
        <v>4048</v>
      </c>
      <c r="S408" s="5" t="s">
        <v>4049</v>
      </c>
      <c r="T408" s="5" t="s">
        <v>162</v>
      </c>
      <c r="U408" s="5" t="n">
        <v>365</v>
      </c>
      <c r="V408" s="5" t="s">
        <v>4050</v>
      </c>
      <c r="W408" s="5" t="s">
        <v>4051</v>
      </c>
      <c r="X408" s="5" t="s">
        <v>4835</v>
      </c>
      <c r="Y408" s="5" t="s">
        <v>4836</v>
      </c>
      <c r="Z408" s="5" t="s">
        <v>4837</v>
      </c>
      <c r="AA408" s="5"/>
      <c r="AB408" s="5"/>
      <c r="AC408" s="5"/>
      <c r="AD408" s="5"/>
      <c r="AE408" s="5"/>
      <c r="AF408" s="5" t="s">
        <v>4838</v>
      </c>
      <c r="AG408" s="5" t="s">
        <v>4838</v>
      </c>
      <c r="AH408" s="5"/>
      <c r="AI408" s="5"/>
      <c r="AJ408" s="5"/>
      <c r="AK408" s="5"/>
      <c r="AL408" s="5" t="s">
        <v>4838</v>
      </c>
      <c r="AM408" s="5" t="s">
        <v>4838</v>
      </c>
      <c r="AN408" s="5"/>
      <c r="AO408" s="5"/>
      <c r="AP408" s="5"/>
      <c r="AQ408" s="5"/>
      <c r="AR408" s="5" t="s">
        <v>2665</v>
      </c>
      <c r="AS408" s="5"/>
      <c r="AT408" s="5"/>
      <c r="AU408" s="5"/>
      <c r="AV408" s="5"/>
      <c r="AW408" s="5" t="s">
        <v>4839</v>
      </c>
    </row>
    <row r="409" customFormat="false" ht="124.6" hidden="false" customHeight="false" outlineLevel="0" collapsed="false">
      <c r="A409" s="5" t="s">
        <v>4840</v>
      </c>
      <c r="B409" s="5" t="s">
        <v>4841</v>
      </c>
      <c r="C409" s="5" t="s">
        <v>4043</v>
      </c>
      <c r="D409" s="5" t="s">
        <v>4044</v>
      </c>
      <c r="E409" s="5" t="s">
        <v>626</v>
      </c>
      <c r="F409" s="5" t="s">
        <v>4842</v>
      </c>
      <c r="G409" s="5" t="s">
        <v>4843</v>
      </c>
      <c r="H409" s="5" t="n">
        <v>5</v>
      </c>
      <c r="I409" s="5" t="s">
        <v>152</v>
      </c>
      <c r="J409" s="5" t="s">
        <v>153</v>
      </c>
      <c r="K409" s="5"/>
      <c r="L409" s="5" t="s">
        <v>85</v>
      </c>
      <c r="M409" s="5" t="s">
        <v>185</v>
      </c>
      <c r="N409" s="5" t="s">
        <v>88</v>
      </c>
      <c r="O409" s="5" t="s">
        <v>214</v>
      </c>
      <c r="P409" s="5" t="s">
        <v>215</v>
      </c>
      <c r="Q409" s="5" t="s">
        <v>519</v>
      </c>
      <c r="R409" s="5" t="s">
        <v>4048</v>
      </c>
      <c r="S409" s="5" t="s">
        <v>4049</v>
      </c>
      <c r="T409" s="5" t="s">
        <v>162</v>
      </c>
      <c r="U409" s="5" t="n">
        <v>365</v>
      </c>
      <c r="V409" s="5" t="s">
        <v>4050</v>
      </c>
      <c r="W409" s="5" t="s">
        <v>4051</v>
      </c>
      <c r="X409" s="5" t="s">
        <v>4844</v>
      </c>
      <c r="Y409" s="5" t="s">
        <v>4405</v>
      </c>
      <c r="Z409" s="5" t="s">
        <v>4845</v>
      </c>
      <c r="AA409" s="5"/>
      <c r="AB409" s="5"/>
      <c r="AC409" s="5"/>
      <c r="AD409" s="5"/>
      <c r="AE409" s="5"/>
      <c r="AF409" s="5" t="s">
        <v>4267</v>
      </c>
      <c r="AG409" s="5"/>
      <c r="AH409" s="5"/>
      <c r="AI409" s="5"/>
      <c r="AJ409" s="5"/>
      <c r="AK409" s="5"/>
      <c r="AL409" s="5" t="s">
        <v>4267</v>
      </c>
      <c r="AM409" s="5"/>
      <c r="AN409" s="5"/>
      <c r="AO409" s="5"/>
      <c r="AP409" s="5"/>
      <c r="AQ409" s="5" t="s">
        <v>4267</v>
      </c>
      <c r="AR409" s="5" t="s">
        <v>2665</v>
      </c>
      <c r="AS409" s="5"/>
      <c r="AT409" s="5"/>
      <c r="AU409" s="5"/>
      <c r="AV409" s="5"/>
      <c r="AW409" s="5" t="s">
        <v>4846</v>
      </c>
    </row>
    <row r="410" customFormat="false" ht="135.8" hidden="false" customHeight="false" outlineLevel="0" collapsed="false">
      <c r="A410" s="5" t="s">
        <v>4847</v>
      </c>
      <c r="B410" s="5" t="s">
        <v>4848</v>
      </c>
      <c r="C410" s="5" t="s">
        <v>4043</v>
      </c>
      <c r="D410" s="5" t="s">
        <v>4044</v>
      </c>
      <c r="E410" s="5" t="s">
        <v>626</v>
      </c>
      <c r="F410" s="5" t="s">
        <v>4849</v>
      </c>
      <c r="G410" s="5" t="s">
        <v>4850</v>
      </c>
      <c r="H410" s="5" t="n">
        <v>1</v>
      </c>
      <c r="I410" s="5" t="s">
        <v>152</v>
      </c>
      <c r="J410" s="5" t="s">
        <v>153</v>
      </c>
      <c r="K410" s="5"/>
      <c r="L410" s="5" t="s">
        <v>30</v>
      </c>
      <c r="M410" s="5" t="s">
        <v>155</v>
      </c>
      <c r="N410" s="5" t="s">
        <v>1030</v>
      </c>
      <c r="O410" s="5" t="s">
        <v>157</v>
      </c>
      <c r="P410" s="5" t="s">
        <v>215</v>
      </c>
      <c r="Q410" s="5" t="s">
        <v>519</v>
      </c>
      <c r="R410" s="5" t="s">
        <v>4048</v>
      </c>
      <c r="S410" s="5" t="s">
        <v>4049</v>
      </c>
      <c r="T410" s="5" t="s">
        <v>162</v>
      </c>
      <c r="U410" s="5" t="n">
        <v>365</v>
      </c>
      <c r="V410" s="5" t="s">
        <v>4050</v>
      </c>
      <c r="W410" s="5" t="s">
        <v>4051</v>
      </c>
      <c r="X410" s="5" t="s">
        <v>4851</v>
      </c>
      <c r="Y410" s="5" t="s">
        <v>4852</v>
      </c>
      <c r="Z410" s="5" t="s">
        <v>4853</v>
      </c>
      <c r="AA410" s="5"/>
      <c r="AB410" s="5"/>
      <c r="AC410" s="5"/>
      <c r="AD410" s="5"/>
      <c r="AE410" s="5"/>
      <c r="AF410" s="5" t="s">
        <v>4854</v>
      </c>
      <c r="AG410" s="5" t="s">
        <v>4854</v>
      </c>
      <c r="AH410" s="5"/>
      <c r="AI410" s="5"/>
      <c r="AJ410" s="5"/>
      <c r="AK410" s="5"/>
      <c r="AL410" s="5" t="s">
        <v>4854</v>
      </c>
      <c r="AM410" s="5" t="s">
        <v>4854</v>
      </c>
      <c r="AN410" s="5"/>
      <c r="AO410" s="5"/>
      <c r="AP410" s="5"/>
      <c r="AQ410" s="5"/>
      <c r="AR410" s="5" t="s">
        <v>2665</v>
      </c>
      <c r="AS410" s="5"/>
      <c r="AT410" s="5"/>
      <c r="AU410" s="5"/>
      <c r="AV410" s="5"/>
      <c r="AW410" s="5" t="s">
        <v>4855</v>
      </c>
    </row>
    <row r="411" customFormat="false" ht="124.6" hidden="false" customHeight="false" outlineLevel="0" collapsed="false">
      <c r="A411" s="5" t="s">
        <v>4856</v>
      </c>
      <c r="B411" s="5" t="s">
        <v>4857</v>
      </c>
      <c r="C411" s="5" t="s">
        <v>4043</v>
      </c>
      <c r="D411" s="5" t="s">
        <v>4044</v>
      </c>
      <c r="E411" s="5" t="s">
        <v>514</v>
      </c>
      <c r="F411" s="5" t="s">
        <v>4858</v>
      </c>
      <c r="G411" s="5" t="s">
        <v>4859</v>
      </c>
      <c r="H411" s="5" t="n">
        <v>5</v>
      </c>
      <c r="I411" s="5" t="s">
        <v>603</v>
      </c>
      <c r="J411" s="5" t="s">
        <v>153</v>
      </c>
      <c r="K411" s="5"/>
      <c r="L411" s="5" t="s">
        <v>68</v>
      </c>
      <c r="M411" s="5" t="s">
        <v>185</v>
      </c>
      <c r="N411" s="5" t="s">
        <v>72</v>
      </c>
      <c r="O411" s="5" t="s">
        <v>666</v>
      </c>
      <c r="P411" s="5" t="s">
        <v>215</v>
      </c>
      <c r="Q411" s="5" t="s">
        <v>519</v>
      </c>
      <c r="R411" s="5" t="s">
        <v>4048</v>
      </c>
      <c r="S411" s="5" t="s">
        <v>4049</v>
      </c>
      <c r="T411" s="5" t="s">
        <v>606</v>
      </c>
      <c r="U411" s="5" t="n">
        <v>365</v>
      </c>
      <c r="V411" s="5" t="s">
        <v>4050</v>
      </c>
      <c r="W411" s="5" t="s">
        <v>4051</v>
      </c>
      <c r="X411" s="5" t="s">
        <v>4860</v>
      </c>
      <c r="Y411" s="5" t="s">
        <v>4861</v>
      </c>
      <c r="Z411" s="5" t="s">
        <v>4862</v>
      </c>
      <c r="AA411" s="5"/>
      <c r="AB411" s="5"/>
      <c r="AC411" s="5"/>
      <c r="AD411" s="5"/>
      <c r="AE411" s="5"/>
      <c r="AF411" s="5"/>
      <c r="AG411" s="5"/>
      <c r="AH411" s="5"/>
      <c r="AI411" s="5"/>
      <c r="AJ411" s="5"/>
      <c r="AK411" s="5"/>
      <c r="AL411" s="5"/>
      <c r="AM411" s="5"/>
      <c r="AN411" s="5"/>
      <c r="AO411" s="5" t="s">
        <v>4863</v>
      </c>
      <c r="AP411" s="5"/>
      <c r="AQ411" s="5"/>
      <c r="AR411" s="5"/>
      <c r="AS411" s="5"/>
      <c r="AT411" s="5"/>
      <c r="AU411" s="5"/>
      <c r="AV411" s="5"/>
      <c r="AW411" s="5" t="s">
        <v>4087</v>
      </c>
    </row>
    <row r="412" customFormat="false" ht="135.8" hidden="false" customHeight="false" outlineLevel="0" collapsed="false">
      <c r="A412" s="5" t="s">
        <v>4864</v>
      </c>
      <c r="B412" s="5" t="s">
        <v>4865</v>
      </c>
      <c r="C412" s="5" t="s">
        <v>4043</v>
      </c>
      <c r="D412" s="5" t="s">
        <v>4044</v>
      </c>
      <c r="E412" s="5" t="s">
        <v>626</v>
      </c>
      <c r="F412" s="5" t="s">
        <v>4866</v>
      </c>
      <c r="G412" s="5" t="s">
        <v>4867</v>
      </c>
      <c r="H412" s="5" t="n">
        <v>2</v>
      </c>
      <c r="I412" s="5" t="s">
        <v>603</v>
      </c>
      <c r="J412" s="5" t="s">
        <v>153</v>
      </c>
      <c r="K412" s="5"/>
      <c r="L412" s="5" t="s">
        <v>30</v>
      </c>
      <c r="M412" s="5" t="s">
        <v>155</v>
      </c>
      <c r="N412" s="5" t="s">
        <v>124</v>
      </c>
      <c r="O412" s="5" t="s">
        <v>157</v>
      </c>
      <c r="P412" s="5" t="s">
        <v>215</v>
      </c>
      <c r="Q412" s="5" t="s">
        <v>519</v>
      </c>
      <c r="R412" s="5" t="s">
        <v>4048</v>
      </c>
      <c r="S412" s="5" t="s">
        <v>4049</v>
      </c>
      <c r="T412" s="5" t="s">
        <v>606</v>
      </c>
      <c r="U412" s="5" t="n">
        <v>365</v>
      </c>
      <c r="V412" s="5" t="s">
        <v>4050</v>
      </c>
      <c r="W412" s="5" t="s">
        <v>4051</v>
      </c>
      <c r="X412" s="5" t="s">
        <v>4868</v>
      </c>
      <c r="Y412" s="5" t="s">
        <v>4869</v>
      </c>
      <c r="Z412" s="5" t="s">
        <v>4870</v>
      </c>
      <c r="AA412" s="5" t="s">
        <v>4871</v>
      </c>
      <c r="AB412" s="5"/>
      <c r="AC412" s="5"/>
      <c r="AD412" s="5"/>
      <c r="AE412" s="5"/>
      <c r="AF412" s="5"/>
      <c r="AG412" s="5"/>
      <c r="AH412" s="5"/>
      <c r="AI412" s="5"/>
      <c r="AJ412" s="5"/>
      <c r="AK412" s="5"/>
      <c r="AL412" s="5"/>
      <c r="AM412" s="5"/>
      <c r="AN412" s="5"/>
      <c r="AO412" s="5"/>
      <c r="AP412" s="5"/>
      <c r="AQ412" s="5"/>
      <c r="AR412" s="5"/>
      <c r="AS412" s="5"/>
      <c r="AT412" s="5"/>
      <c r="AU412" s="5"/>
      <c r="AV412" s="5"/>
      <c r="AW412" s="5" t="s">
        <v>4872</v>
      </c>
    </row>
    <row r="413" customFormat="false" ht="158.2" hidden="false" customHeight="false" outlineLevel="0" collapsed="false">
      <c r="A413" s="5" t="s">
        <v>4873</v>
      </c>
      <c r="B413" s="5" t="s">
        <v>4874</v>
      </c>
      <c r="C413" s="5" t="s">
        <v>4875</v>
      </c>
      <c r="D413" s="5" t="s">
        <v>4876</v>
      </c>
      <c r="E413" s="5" t="s">
        <v>149</v>
      </c>
      <c r="F413" s="5" t="s">
        <v>4877</v>
      </c>
      <c r="G413" s="5" t="s">
        <v>4878</v>
      </c>
      <c r="H413" s="5" t="n">
        <v>9</v>
      </c>
      <c r="I413" s="5" t="s">
        <v>152</v>
      </c>
      <c r="J413" s="5" t="s">
        <v>153</v>
      </c>
      <c r="K413" s="5" t="s">
        <v>4879</v>
      </c>
      <c r="L413" s="5" t="s">
        <v>30</v>
      </c>
      <c r="M413" s="5" t="s">
        <v>155</v>
      </c>
      <c r="N413" s="5" t="s">
        <v>4880</v>
      </c>
      <c r="O413" s="5" t="s">
        <v>157</v>
      </c>
      <c r="P413" s="5" t="s">
        <v>158</v>
      </c>
      <c r="Q413" s="5" t="s">
        <v>159</v>
      </c>
      <c r="R413" s="5" t="s">
        <v>4881</v>
      </c>
      <c r="S413" s="5" t="s">
        <v>4882</v>
      </c>
      <c r="T413" s="5" t="s">
        <v>162</v>
      </c>
      <c r="U413" s="5" t="n">
        <v>365</v>
      </c>
      <c r="V413" s="5" t="s">
        <v>4883</v>
      </c>
      <c r="W413" s="5" t="s">
        <v>4884</v>
      </c>
      <c r="X413" s="5" t="s">
        <v>4885</v>
      </c>
      <c r="Y413" s="5" t="s">
        <v>4886</v>
      </c>
      <c r="Z413" s="5" t="s">
        <v>4887</v>
      </c>
      <c r="AA413" s="5" t="s">
        <v>4888</v>
      </c>
      <c r="AB413" s="5"/>
      <c r="AC413" s="5"/>
      <c r="AD413" s="5"/>
      <c r="AE413" s="5"/>
      <c r="AF413" s="5" t="s">
        <v>4889</v>
      </c>
      <c r="AG413" s="5" t="s">
        <v>4889</v>
      </c>
      <c r="AH413" s="5" t="s">
        <v>4890</v>
      </c>
      <c r="AI413" s="5" t="s">
        <v>4891</v>
      </c>
      <c r="AJ413" s="5" t="s">
        <v>4892</v>
      </c>
      <c r="AK413" s="5" t="s">
        <v>4893</v>
      </c>
      <c r="AL413" s="5" t="s">
        <v>4889</v>
      </c>
      <c r="AM413" s="5"/>
      <c r="AN413" s="5" t="s">
        <v>4894</v>
      </c>
      <c r="AO413" s="5" t="s">
        <v>4895</v>
      </c>
      <c r="AP413" s="5"/>
      <c r="AQ413" s="5" t="s">
        <v>4889</v>
      </c>
      <c r="AR413" s="5" t="s">
        <v>351</v>
      </c>
      <c r="AS413" s="5"/>
      <c r="AT413" s="5" t="s">
        <v>4896</v>
      </c>
      <c r="AU413" s="5"/>
      <c r="AV413" s="5" t="s">
        <v>178</v>
      </c>
      <c r="AW413" s="5" t="s">
        <v>4897</v>
      </c>
    </row>
    <row r="414" customFormat="false" ht="191.75" hidden="false" customHeight="false" outlineLevel="0" collapsed="false">
      <c r="A414" s="5" t="s">
        <v>4898</v>
      </c>
      <c r="B414" s="5" t="s">
        <v>4899</v>
      </c>
      <c r="C414" s="5" t="s">
        <v>4875</v>
      </c>
      <c r="D414" s="5" t="s">
        <v>4876</v>
      </c>
      <c r="E414" s="5" t="s">
        <v>1298</v>
      </c>
      <c r="F414" s="5" t="s">
        <v>4900</v>
      </c>
      <c r="G414" s="5" t="s">
        <v>4901</v>
      </c>
      <c r="H414" s="5" t="n">
        <v>10</v>
      </c>
      <c r="I414" s="5" t="s">
        <v>152</v>
      </c>
      <c r="J414" s="5" t="s">
        <v>153</v>
      </c>
      <c r="K414" s="5" t="s">
        <v>4902</v>
      </c>
      <c r="L414" s="5" t="s">
        <v>30</v>
      </c>
      <c r="M414" s="5" t="s">
        <v>155</v>
      </c>
      <c r="N414" s="5" t="s">
        <v>4903</v>
      </c>
      <c r="O414" s="5" t="s">
        <v>157</v>
      </c>
      <c r="P414" s="5" t="s">
        <v>158</v>
      </c>
      <c r="Q414" s="5" t="s">
        <v>440</v>
      </c>
      <c r="R414" s="5" t="s">
        <v>4881</v>
      </c>
      <c r="S414" s="5" t="s">
        <v>4882</v>
      </c>
      <c r="T414" s="5" t="s">
        <v>162</v>
      </c>
      <c r="U414" s="5" t="n">
        <v>365</v>
      </c>
      <c r="V414" s="5" t="s">
        <v>4883</v>
      </c>
      <c r="W414" s="5" t="s">
        <v>4884</v>
      </c>
      <c r="X414" s="5" t="s">
        <v>4904</v>
      </c>
      <c r="Y414" s="5" t="s">
        <v>4905</v>
      </c>
      <c r="Z414" s="5" t="s">
        <v>4906</v>
      </c>
      <c r="AA414" s="5" t="s">
        <v>4888</v>
      </c>
      <c r="AB414" s="5"/>
      <c r="AC414" s="5"/>
      <c r="AD414" s="5"/>
      <c r="AE414" s="5"/>
      <c r="AF414" s="5" t="s">
        <v>4907</v>
      </c>
      <c r="AG414" s="5" t="s">
        <v>4907</v>
      </c>
      <c r="AH414" s="5" t="s">
        <v>4908</v>
      </c>
      <c r="AI414" s="5" t="s">
        <v>4891</v>
      </c>
      <c r="AJ414" s="5" t="s">
        <v>4909</v>
      </c>
      <c r="AK414" s="5" t="s">
        <v>4910</v>
      </c>
      <c r="AL414" s="5" t="s">
        <v>4907</v>
      </c>
      <c r="AM414" s="5"/>
      <c r="AN414" s="5"/>
      <c r="AO414" s="5" t="s">
        <v>4911</v>
      </c>
      <c r="AP414" s="5" t="s">
        <v>4912</v>
      </c>
      <c r="AQ414" s="5" t="s">
        <v>4907</v>
      </c>
      <c r="AR414" s="5" t="s">
        <v>351</v>
      </c>
      <c r="AS414" s="5"/>
      <c r="AT414" s="5" t="s">
        <v>4913</v>
      </c>
      <c r="AU414" s="5"/>
      <c r="AV414" s="5" t="s">
        <v>178</v>
      </c>
      <c r="AW414" s="5" t="s">
        <v>4914</v>
      </c>
    </row>
    <row r="415" customFormat="false" ht="214.15" hidden="false" customHeight="false" outlineLevel="0" collapsed="false">
      <c r="A415" s="5" t="s">
        <v>4915</v>
      </c>
      <c r="B415" s="5" t="s">
        <v>4916</v>
      </c>
      <c r="C415" s="5" t="s">
        <v>4875</v>
      </c>
      <c r="D415" s="5" t="s">
        <v>4876</v>
      </c>
      <c r="E415" s="5" t="s">
        <v>1298</v>
      </c>
      <c r="F415" s="5" t="s">
        <v>4917</v>
      </c>
      <c r="G415" s="5" t="s">
        <v>4918</v>
      </c>
      <c r="H415" s="5" t="n">
        <v>1</v>
      </c>
      <c r="I415" s="5" t="s">
        <v>603</v>
      </c>
      <c r="J415" s="5" t="s">
        <v>557</v>
      </c>
      <c r="K415" s="5"/>
      <c r="L415" s="5" t="s">
        <v>30</v>
      </c>
      <c r="M415" s="5" t="s">
        <v>155</v>
      </c>
      <c r="N415" s="5" t="s">
        <v>4919</v>
      </c>
      <c r="O415" s="5" t="s">
        <v>570</v>
      </c>
      <c r="P415" s="5" t="s">
        <v>215</v>
      </c>
      <c r="Q415" s="5" t="s">
        <v>4920</v>
      </c>
      <c r="R415" s="5" t="s">
        <v>4881</v>
      </c>
      <c r="S415" s="5" t="s">
        <v>4882</v>
      </c>
      <c r="T415" s="5" t="s">
        <v>606</v>
      </c>
      <c r="U415" s="5" t="n">
        <v>90</v>
      </c>
      <c r="V415" s="5" t="s">
        <v>4883</v>
      </c>
      <c r="W415" s="5" t="s">
        <v>4884</v>
      </c>
      <c r="X415" s="5" t="s">
        <v>4921</v>
      </c>
      <c r="Y415" s="5" t="s">
        <v>4922</v>
      </c>
      <c r="Z415" s="5" t="s">
        <v>4923</v>
      </c>
      <c r="AA415" s="5"/>
      <c r="AB415" s="5"/>
      <c r="AC415" s="5"/>
      <c r="AD415" s="5"/>
      <c r="AE415" s="5"/>
      <c r="AF415" s="5" t="s">
        <v>4924</v>
      </c>
      <c r="AG415" s="5" t="s">
        <v>4925</v>
      </c>
      <c r="AH415" s="5"/>
      <c r="AI415" s="5"/>
      <c r="AJ415" s="5"/>
      <c r="AK415" s="5"/>
      <c r="AL415" s="5" t="s">
        <v>4924</v>
      </c>
      <c r="AM415" s="5" t="s">
        <v>4925</v>
      </c>
      <c r="AN415" s="5"/>
      <c r="AO415" s="5" t="s">
        <v>4270</v>
      </c>
      <c r="AP415" s="5"/>
      <c r="AQ415" s="5" t="s">
        <v>4926</v>
      </c>
      <c r="AR415" s="5" t="s">
        <v>2207</v>
      </c>
      <c r="AS415" s="5"/>
      <c r="AT415" s="5"/>
      <c r="AU415" s="5"/>
      <c r="AV415" s="5"/>
      <c r="AW415" s="5" t="s">
        <v>1495</v>
      </c>
    </row>
    <row r="416" customFormat="false" ht="158.2" hidden="false" customHeight="false" outlineLevel="0" collapsed="false">
      <c r="A416" s="5" t="s">
        <v>4927</v>
      </c>
      <c r="B416" s="5" t="s">
        <v>4928</v>
      </c>
      <c r="C416" s="5" t="s">
        <v>4875</v>
      </c>
      <c r="D416" s="5" t="s">
        <v>4876</v>
      </c>
      <c r="E416" s="5" t="s">
        <v>1298</v>
      </c>
      <c r="F416" s="5" t="s">
        <v>4929</v>
      </c>
      <c r="G416" s="5" t="s">
        <v>4930</v>
      </c>
      <c r="H416" s="5" t="n">
        <v>5</v>
      </c>
      <c r="I416" s="5" t="s">
        <v>152</v>
      </c>
      <c r="J416" s="5" t="s">
        <v>153</v>
      </c>
      <c r="K416" s="5" t="s">
        <v>4879</v>
      </c>
      <c r="L416" s="5" t="s">
        <v>30</v>
      </c>
      <c r="M416" s="5" t="s">
        <v>155</v>
      </c>
      <c r="N416" s="5" t="s">
        <v>4931</v>
      </c>
      <c r="O416" s="5" t="s">
        <v>157</v>
      </c>
      <c r="P416" s="5" t="s">
        <v>158</v>
      </c>
      <c r="Q416" s="5" t="s">
        <v>519</v>
      </c>
      <c r="R416" s="5" t="s">
        <v>4881</v>
      </c>
      <c r="S416" s="5" t="s">
        <v>4882</v>
      </c>
      <c r="T416" s="5" t="s">
        <v>162</v>
      </c>
      <c r="U416" s="5" t="n">
        <v>365</v>
      </c>
      <c r="V416" s="5" t="s">
        <v>4883</v>
      </c>
      <c r="W416" s="5" t="s">
        <v>4884</v>
      </c>
      <c r="X416" s="5" t="s">
        <v>4932</v>
      </c>
      <c r="Y416" s="5" t="s">
        <v>4933</v>
      </c>
      <c r="Z416" s="5" t="s">
        <v>4934</v>
      </c>
      <c r="AA416" s="5"/>
      <c r="AB416" s="5"/>
      <c r="AC416" s="5"/>
      <c r="AD416" s="5"/>
      <c r="AE416" s="5"/>
      <c r="AF416" s="5" t="s">
        <v>4935</v>
      </c>
      <c r="AG416" s="5"/>
      <c r="AH416" s="5" t="s">
        <v>4936</v>
      </c>
      <c r="AI416" s="5"/>
      <c r="AJ416" s="5" t="s">
        <v>4937</v>
      </c>
      <c r="AK416" s="5" t="s">
        <v>4938</v>
      </c>
      <c r="AL416" s="5" t="s">
        <v>4935</v>
      </c>
      <c r="AM416" s="5"/>
      <c r="AN416" s="5"/>
      <c r="AO416" s="5"/>
      <c r="AP416" s="5"/>
      <c r="AQ416" s="5" t="s">
        <v>4935</v>
      </c>
      <c r="AR416" s="5" t="s">
        <v>351</v>
      </c>
      <c r="AS416" s="5"/>
      <c r="AT416" s="5"/>
      <c r="AU416" s="5"/>
      <c r="AV416" s="5" t="s">
        <v>178</v>
      </c>
      <c r="AW416" s="5" t="s">
        <v>4939</v>
      </c>
    </row>
    <row r="417" customFormat="false" ht="169.4" hidden="false" customHeight="false" outlineLevel="0" collapsed="false">
      <c r="A417" s="5" t="s">
        <v>4940</v>
      </c>
      <c r="B417" s="5" t="s">
        <v>4941</v>
      </c>
      <c r="C417" s="5" t="s">
        <v>4875</v>
      </c>
      <c r="D417" s="5" t="s">
        <v>4876</v>
      </c>
      <c r="E417" s="5" t="s">
        <v>1298</v>
      </c>
      <c r="F417" s="5" t="s">
        <v>4942</v>
      </c>
      <c r="G417" s="5" t="s">
        <v>4943</v>
      </c>
      <c r="H417" s="5" t="n">
        <v>5</v>
      </c>
      <c r="I417" s="5" t="s">
        <v>152</v>
      </c>
      <c r="J417" s="5" t="s">
        <v>153</v>
      </c>
      <c r="K417" s="5" t="s">
        <v>4879</v>
      </c>
      <c r="L417" s="5" t="s">
        <v>55</v>
      </c>
      <c r="M417" s="5" t="s">
        <v>185</v>
      </c>
      <c r="N417" s="5" t="s">
        <v>54</v>
      </c>
      <c r="O417" s="5" t="s">
        <v>187</v>
      </c>
      <c r="P417" s="5" t="s">
        <v>215</v>
      </c>
      <c r="Q417" s="5" t="s">
        <v>4920</v>
      </c>
      <c r="R417" s="5" t="s">
        <v>4881</v>
      </c>
      <c r="S417" s="5" t="s">
        <v>4882</v>
      </c>
      <c r="T417" s="5" t="s">
        <v>162</v>
      </c>
      <c r="U417" s="5" t="n">
        <v>365</v>
      </c>
      <c r="V417" s="5" t="s">
        <v>4883</v>
      </c>
      <c r="W417" s="5" t="s">
        <v>4884</v>
      </c>
      <c r="X417" s="5" t="s">
        <v>4944</v>
      </c>
      <c r="Y417" s="5" t="s">
        <v>4945</v>
      </c>
      <c r="Z417" s="5" t="s">
        <v>4946</v>
      </c>
      <c r="AA417" s="5"/>
      <c r="AB417" s="5"/>
      <c r="AC417" s="5"/>
      <c r="AD417" s="5"/>
      <c r="AE417" s="5"/>
      <c r="AF417" s="5" t="s">
        <v>4947</v>
      </c>
      <c r="AG417" s="5"/>
      <c r="AH417" s="5"/>
      <c r="AI417" s="5"/>
      <c r="AJ417" s="5"/>
      <c r="AK417" s="5" t="s">
        <v>4948</v>
      </c>
      <c r="AL417" s="5" t="s">
        <v>4947</v>
      </c>
      <c r="AM417" s="5"/>
      <c r="AN417" s="5"/>
      <c r="AO417" s="5"/>
      <c r="AP417" s="5"/>
      <c r="AQ417" s="5"/>
      <c r="AR417" s="5" t="s">
        <v>351</v>
      </c>
      <c r="AS417" s="5"/>
      <c r="AT417" s="5"/>
      <c r="AU417" s="5"/>
      <c r="AV417" s="5" t="s">
        <v>178</v>
      </c>
      <c r="AW417" s="5" t="s">
        <v>4949</v>
      </c>
    </row>
    <row r="418" customFormat="false" ht="124.6" hidden="false" customHeight="false" outlineLevel="0" collapsed="false">
      <c r="A418" s="5" t="s">
        <v>4950</v>
      </c>
      <c r="B418" s="5" t="s">
        <v>4951</v>
      </c>
      <c r="C418" s="5" t="s">
        <v>4875</v>
      </c>
      <c r="D418" s="5" t="s">
        <v>4876</v>
      </c>
      <c r="E418" s="5" t="s">
        <v>1298</v>
      </c>
      <c r="F418" s="5" t="s">
        <v>4952</v>
      </c>
      <c r="G418" s="5" t="s">
        <v>4953</v>
      </c>
      <c r="H418" s="5" t="n">
        <v>6</v>
      </c>
      <c r="I418" s="5" t="s">
        <v>603</v>
      </c>
      <c r="J418" s="5" t="s">
        <v>153</v>
      </c>
      <c r="K418" s="5"/>
      <c r="L418" s="5" t="s">
        <v>68</v>
      </c>
      <c r="M418" s="5" t="s">
        <v>185</v>
      </c>
      <c r="N418" s="5" t="s">
        <v>2038</v>
      </c>
      <c r="O418" s="5" t="s">
        <v>666</v>
      </c>
      <c r="P418" s="5" t="s">
        <v>215</v>
      </c>
      <c r="Q418" s="5" t="s">
        <v>4920</v>
      </c>
      <c r="R418" s="5" t="s">
        <v>4881</v>
      </c>
      <c r="S418" s="5" t="s">
        <v>4882</v>
      </c>
      <c r="T418" s="5" t="s">
        <v>606</v>
      </c>
      <c r="U418" s="5" t="n">
        <v>365</v>
      </c>
      <c r="V418" s="5" t="s">
        <v>4883</v>
      </c>
      <c r="W418" s="5" t="s">
        <v>4884</v>
      </c>
      <c r="X418" s="5" t="s">
        <v>4954</v>
      </c>
      <c r="Y418" s="5" t="s">
        <v>4955</v>
      </c>
      <c r="Z418" s="5" t="s">
        <v>4956</v>
      </c>
      <c r="AA418" s="5"/>
      <c r="AB418" s="5"/>
      <c r="AC418" s="5"/>
      <c r="AD418" s="5"/>
      <c r="AE418" s="5"/>
      <c r="AF418" s="5" t="s">
        <v>4957</v>
      </c>
      <c r="AG418" s="5"/>
      <c r="AH418" s="5"/>
      <c r="AI418" s="5"/>
      <c r="AJ418" s="5"/>
      <c r="AK418" s="5"/>
      <c r="AL418" s="5" t="s">
        <v>4957</v>
      </c>
      <c r="AM418" s="5"/>
      <c r="AN418" s="5"/>
      <c r="AO418" s="5" t="s">
        <v>4270</v>
      </c>
      <c r="AP418" s="5"/>
      <c r="AQ418" s="5" t="s">
        <v>4957</v>
      </c>
      <c r="AR418" s="5" t="s">
        <v>351</v>
      </c>
      <c r="AS418" s="5"/>
      <c r="AT418" s="5"/>
      <c r="AU418" s="5"/>
      <c r="AV418" s="5"/>
      <c r="AW418" s="5" t="s">
        <v>4949</v>
      </c>
    </row>
    <row r="419" customFormat="false" ht="180.55" hidden="false" customHeight="false" outlineLevel="0" collapsed="false">
      <c r="A419" s="5" t="s">
        <v>4958</v>
      </c>
      <c r="B419" s="5" t="s">
        <v>4959</v>
      </c>
      <c r="C419" s="5" t="s">
        <v>4875</v>
      </c>
      <c r="D419" s="5" t="s">
        <v>4876</v>
      </c>
      <c r="E419" s="5" t="s">
        <v>1298</v>
      </c>
      <c r="F419" s="5" t="s">
        <v>4960</v>
      </c>
      <c r="G419" s="5" t="s">
        <v>4961</v>
      </c>
      <c r="H419" s="5" t="n">
        <v>8</v>
      </c>
      <c r="I419" s="5" t="s">
        <v>152</v>
      </c>
      <c r="J419" s="5" t="s">
        <v>652</v>
      </c>
      <c r="K419" s="5" t="s">
        <v>4962</v>
      </c>
      <c r="L419" s="5" t="s">
        <v>30</v>
      </c>
      <c r="M419" s="5" t="s">
        <v>155</v>
      </c>
      <c r="N419" s="5" t="s">
        <v>4963</v>
      </c>
      <c r="O419" s="5" t="s">
        <v>157</v>
      </c>
      <c r="P419" s="5" t="s">
        <v>215</v>
      </c>
      <c r="Q419" s="5" t="s">
        <v>4920</v>
      </c>
      <c r="R419" s="5" t="s">
        <v>4881</v>
      </c>
      <c r="S419" s="5" t="s">
        <v>4882</v>
      </c>
      <c r="T419" s="5" t="s">
        <v>162</v>
      </c>
      <c r="U419" s="5" t="n">
        <v>180</v>
      </c>
      <c r="V419" s="5" t="s">
        <v>4883</v>
      </c>
      <c r="W419" s="5" t="s">
        <v>4884</v>
      </c>
      <c r="X419" s="5" t="s">
        <v>4964</v>
      </c>
      <c r="Y419" s="5" t="s">
        <v>4965</v>
      </c>
      <c r="Z419" s="5" t="s">
        <v>4966</v>
      </c>
      <c r="AA419" s="5"/>
      <c r="AB419" s="5"/>
      <c r="AC419" s="5"/>
      <c r="AD419" s="5"/>
      <c r="AE419" s="5"/>
      <c r="AF419" s="5"/>
      <c r="AG419" s="5"/>
      <c r="AH419" s="5" t="s">
        <v>4967</v>
      </c>
      <c r="AI419" s="5" t="s">
        <v>4968</v>
      </c>
      <c r="AJ419" s="5" t="s">
        <v>2525</v>
      </c>
      <c r="AK419" s="5" t="s">
        <v>2526</v>
      </c>
      <c r="AL419" s="5"/>
      <c r="AM419" s="5"/>
      <c r="AN419" s="5"/>
      <c r="AO419" s="5" t="s">
        <v>4969</v>
      </c>
      <c r="AP419" s="5"/>
      <c r="AQ419" s="5"/>
      <c r="AR419" s="5"/>
      <c r="AS419" s="5"/>
      <c r="AT419" s="5"/>
      <c r="AU419" s="5"/>
      <c r="AV419" s="5" t="s">
        <v>178</v>
      </c>
      <c r="AW419" s="5" t="s">
        <v>4970</v>
      </c>
    </row>
    <row r="420" customFormat="false" ht="225.35" hidden="false" customHeight="false" outlineLevel="0" collapsed="false">
      <c r="A420" s="5" t="s">
        <v>4971</v>
      </c>
      <c r="B420" s="5" t="s">
        <v>4972</v>
      </c>
      <c r="C420" s="5" t="s">
        <v>4875</v>
      </c>
      <c r="D420" s="5" t="s">
        <v>4876</v>
      </c>
      <c r="E420" s="5" t="s">
        <v>1298</v>
      </c>
      <c r="F420" s="5" t="s">
        <v>4973</v>
      </c>
      <c r="G420" s="5" t="s">
        <v>4974</v>
      </c>
      <c r="H420" s="5" t="n">
        <v>9</v>
      </c>
      <c r="I420" s="5" t="s">
        <v>152</v>
      </c>
      <c r="J420" s="5" t="s">
        <v>153</v>
      </c>
      <c r="K420" s="5" t="s">
        <v>4879</v>
      </c>
      <c r="L420" s="5" t="s">
        <v>30</v>
      </c>
      <c r="M420" s="5" t="s">
        <v>155</v>
      </c>
      <c r="N420" s="5" t="s">
        <v>4975</v>
      </c>
      <c r="O420" s="5" t="s">
        <v>157</v>
      </c>
      <c r="P420" s="5" t="s">
        <v>158</v>
      </c>
      <c r="Q420" s="5" t="s">
        <v>4920</v>
      </c>
      <c r="R420" s="5" t="s">
        <v>4881</v>
      </c>
      <c r="S420" s="5" t="s">
        <v>4882</v>
      </c>
      <c r="T420" s="5" t="s">
        <v>162</v>
      </c>
      <c r="U420" s="5" t="n">
        <v>365</v>
      </c>
      <c r="V420" s="5" t="s">
        <v>4883</v>
      </c>
      <c r="W420" s="5" t="s">
        <v>4884</v>
      </c>
      <c r="X420" s="5" t="s">
        <v>4976</v>
      </c>
      <c r="Y420" s="5" t="s">
        <v>4977</v>
      </c>
      <c r="Z420" s="5" t="s">
        <v>4978</v>
      </c>
      <c r="AA420" s="5"/>
      <c r="AB420" s="5"/>
      <c r="AC420" s="5"/>
      <c r="AD420" s="5"/>
      <c r="AE420" s="5"/>
      <c r="AF420" s="5" t="s">
        <v>4979</v>
      </c>
      <c r="AG420" s="5" t="s">
        <v>4979</v>
      </c>
      <c r="AH420" s="5" t="s">
        <v>4980</v>
      </c>
      <c r="AI420" s="5" t="s">
        <v>4981</v>
      </c>
      <c r="AJ420" s="5" t="s">
        <v>4982</v>
      </c>
      <c r="AK420" s="5" t="s">
        <v>4983</v>
      </c>
      <c r="AL420" s="5" t="s">
        <v>4979</v>
      </c>
      <c r="AM420" s="5"/>
      <c r="AN420" s="5" t="s">
        <v>4984</v>
      </c>
      <c r="AO420" s="5" t="s">
        <v>4985</v>
      </c>
      <c r="AP420" s="5" t="s">
        <v>886</v>
      </c>
      <c r="AQ420" s="5" t="s">
        <v>4979</v>
      </c>
      <c r="AR420" s="5" t="s">
        <v>351</v>
      </c>
      <c r="AS420" s="5"/>
      <c r="AT420" s="5" t="s">
        <v>4986</v>
      </c>
      <c r="AU420" s="5"/>
      <c r="AV420" s="5" t="s">
        <v>178</v>
      </c>
      <c r="AW420" s="5" t="s">
        <v>4897</v>
      </c>
    </row>
    <row r="421" customFormat="false" ht="169.4" hidden="false" customHeight="false" outlineLevel="0" collapsed="false">
      <c r="A421" s="5" t="s">
        <v>4987</v>
      </c>
      <c r="B421" s="5" t="s">
        <v>4988</v>
      </c>
      <c r="C421" s="5" t="s">
        <v>4875</v>
      </c>
      <c r="D421" s="5" t="s">
        <v>4876</v>
      </c>
      <c r="E421" s="5" t="s">
        <v>1298</v>
      </c>
      <c r="F421" s="5" t="s">
        <v>4989</v>
      </c>
      <c r="G421" s="5" t="s">
        <v>4990</v>
      </c>
      <c r="H421" s="5" t="n">
        <v>8</v>
      </c>
      <c r="I421" s="5" t="s">
        <v>152</v>
      </c>
      <c r="J421" s="5" t="s">
        <v>153</v>
      </c>
      <c r="K421" s="5"/>
      <c r="L421" s="5" t="s">
        <v>68</v>
      </c>
      <c r="M421" s="5" t="s">
        <v>185</v>
      </c>
      <c r="N421" s="5" t="s">
        <v>3214</v>
      </c>
      <c r="O421" s="5" t="s">
        <v>187</v>
      </c>
      <c r="P421" s="5" t="s">
        <v>158</v>
      </c>
      <c r="Q421" s="5" t="s">
        <v>461</v>
      </c>
      <c r="R421" s="5" t="s">
        <v>4881</v>
      </c>
      <c r="S421" s="5" t="s">
        <v>4882</v>
      </c>
      <c r="T421" s="5" t="s">
        <v>162</v>
      </c>
      <c r="U421" s="5" t="n">
        <v>365</v>
      </c>
      <c r="V421" s="5" t="s">
        <v>4883</v>
      </c>
      <c r="W421" s="5" t="s">
        <v>4884</v>
      </c>
      <c r="X421" s="5" t="s">
        <v>4991</v>
      </c>
      <c r="Y421" s="5" t="s">
        <v>4992</v>
      </c>
      <c r="Z421" s="5" t="s">
        <v>4993</v>
      </c>
      <c r="AA421" s="5"/>
      <c r="AB421" s="5"/>
      <c r="AC421" s="5"/>
      <c r="AD421" s="5"/>
      <c r="AE421" s="5"/>
      <c r="AF421" s="5" t="s">
        <v>4994</v>
      </c>
      <c r="AG421" s="5"/>
      <c r="AH421" s="5"/>
      <c r="AI421" s="5"/>
      <c r="AJ421" s="5"/>
      <c r="AK421" s="5"/>
      <c r="AL421" s="5" t="s">
        <v>4994</v>
      </c>
      <c r="AM421" s="5"/>
      <c r="AN421" s="5"/>
      <c r="AO421" s="5" t="s">
        <v>2881</v>
      </c>
      <c r="AP421" s="5" t="s">
        <v>4995</v>
      </c>
      <c r="AQ421" s="5" t="s">
        <v>4994</v>
      </c>
      <c r="AR421" s="5" t="s">
        <v>351</v>
      </c>
      <c r="AS421" s="5"/>
      <c r="AT421" s="5" t="s">
        <v>4996</v>
      </c>
      <c r="AU421" s="5"/>
      <c r="AV421" s="5"/>
      <c r="AW421" s="5" t="s">
        <v>4897</v>
      </c>
    </row>
    <row r="422" customFormat="false" ht="258.95" hidden="false" customHeight="false" outlineLevel="0" collapsed="false">
      <c r="A422" s="5" t="s">
        <v>4997</v>
      </c>
      <c r="B422" s="5" t="s">
        <v>4998</v>
      </c>
      <c r="C422" s="5" t="s">
        <v>4875</v>
      </c>
      <c r="D422" s="5" t="s">
        <v>4876</v>
      </c>
      <c r="E422" s="5" t="s">
        <v>1298</v>
      </c>
      <c r="F422" s="5" t="s">
        <v>4999</v>
      </c>
      <c r="G422" s="5" t="s">
        <v>5000</v>
      </c>
      <c r="H422" s="5" t="n">
        <v>8</v>
      </c>
      <c r="I422" s="5" t="s">
        <v>152</v>
      </c>
      <c r="J422" s="5" t="s">
        <v>557</v>
      </c>
      <c r="K422" s="5" t="s">
        <v>5001</v>
      </c>
      <c r="L422" s="5" t="s">
        <v>30</v>
      </c>
      <c r="M422" s="5" t="s">
        <v>155</v>
      </c>
      <c r="N422" s="5" t="s">
        <v>5002</v>
      </c>
      <c r="O422" s="5" t="s">
        <v>157</v>
      </c>
      <c r="P422" s="5" t="s">
        <v>158</v>
      </c>
      <c r="Q422" s="5" t="s">
        <v>4920</v>
      </c>
      <c r="R422" s="5" t="s">
        <v>4881</v>
      </c>
      <c r="S422" s="5" t="s">
        <v>4882</v>
      </c>
      <c r="T422" s="5" t="s">
        <v>162</v>
      </c>
      <c r="U422" s="5" t="n">
        <v>90</v>
      </c>
      <c r="V422" s="5" t="s">
        <v>4883</v>
      </c>
      <c r="W422" s="5" t="s">
        <v>4884</v>
      </c>
      <c r="X422" s="5" t="s">
        <v>5003</v>
      </c>
      <c r="Y422" s="5" t="s">
        <v>5004</v>
      </c>
      <c r="Z422" s="5" t="s">
        <v>5005</v>
      </c>
      <c r="AA422" s="5"/>
      <c r="AB422" s="5"/>
      <c r="AC422" s="5"/>
      <c r="AD422" s="5"/>
      <c r="AE422" s="5"/>
      <c r="AF422" s="5" t="s">
        <v>4889</v>
      </c>
      <c r="AG422" s="5" t="s">
        <v>4889</v>
      </c>
      <c r="AH422" s="5" t="s">
        <v>5006</v>
      </c>
      <c r="AI422" s="5" t="s">
        <v>4981</v>
      </c>
      <c r="AJ422" s="5"/>
      <c r="AK422" s="5" t="s">
        <v>1060</v>
      </c>
      <c r="AL422" s="5" t="s">
        <v>4889</v>
      </c>
      <c r="AM422" s="5"/>
      <c r="AN422" s="5" t="s">
        <v>4894</v>
      </c>
      <c r="AO422" s="5"/>
      <c r="AP422" s="5"/>
      <c r="AQ422" s="5" t="s">
        <v>4889</v>
      </c>
      <c r="AR422" s="5" t="s">
        <v>351</v>
      </c>
      <c r="AS422" s="5"/>
      <c r="AT422" s="5"/>
      <c r="AU422" s="5"/>
      <c r="AV422" s="5" t="s">
        <v>178</v>
      </c>
      <c r="AW422" s="5" t="s">
        <v>4949</v>
      </c>
    </row>
    <row r="423" customFormat="false" ht="214.15" hidden="false" customHeight="false" outlineLevel="0" collapsed="false">
      <c r="A423" s="5" t="s">
        <v>5007</v>
      </c>
      <c r="B423" s="5" t="s">
        <v>5008</v>
      </c>
      <c r="C423" s="5" t="s">
        <v>4875</v>
      </c>
      <c r="D423" s="5" t="s">
        <v>4876</v>
      </c>
      <c r="E423" s="5" t="s">
        <v>514</v>
      </c>
      <c r="F423" s="5" t="s">
        <v>5009</v>
      </c>
      <c r="G423" s="5" t="s">
        <v>5010</v>
      </c>
      <c r="H423" s="5" t="n">
        <v>3</v>
      </c>
      <c r="I423" s="5" t="s">
        <v>152</v>
      </c>
      <c r="J423" s="5" t="s">
        <v>153</v>
      </c>
      <c r="K423" s="5"/>
      <c r="L423" s="5" t="s">
        <v>30</v>
      </c>
      <c r="M423" s="5" t="s">
        <v>155</v>
      </c>
      <c r="N423" s="5" t="s">
        <v>836</v>
      </c>
      <c r="O423" s="5" t="s">
        <v>157</v>
      </c>
      <c r="P423" s="5" t="s">
        <v>215</v>
      </c>
      <c r="Q423" s="5" t="s">
        <v>4920</v>
      </c>
      <c r="R423" s="5" t="s">
        <v>4881</v>
      </c>
      <c r="S423" s="5" t="s">
        <v>4882</v>
      </c>
      <c r="T423" s="5" t="s">
        <v>162</v>
      </c>
      <c r="U423" s="5" t="n">
        <v>365</v>
      </c>
      <c r="V423" s="5" t="s">
        <v>4883</v>
      </c>
      <c r="W423" s="5" t="s">
        <v>4884</v>
      </c>
      <c r="X423" s="5" t="s">
        <v>5011</v>
      </c>
      <c r="Y423" s="5" t="s">
        <v>5012</v>
      </c>
      <c r="Z423" s="5" t="s">
        <v>5013</v>
      </c>
      <c r="AA423" s="5"/>
      <c r="AB423" s="5"/>
      <c r="AC423" s="5"/>
      <c r="AD423" s="5"/>
      <c r="AE423" s="5"/>
      <c r="AF423" s="5" t="s">
        <v>5014</v>
      </c>
      <c r="AG423" s="5"/>
      <c r="AH423" s="5"/>
      <c r="AI423" s="5" t="s">
        <v>4981</v>
      </c>
      <c r="AJ423" s="5"/>
      <c r="AK423" s="5"/>
      <c r="AL423" s="5" t="s">
        <v>5014</v>
      </c>
      <c r="AM423" s="5"/>
      <c r="AN423" s="5"/>
      <c r="AO423" s="5"/>
      <c r="AP423" s="5"/>
      <c r="AQ423" s="5"/>
      <c r="AR423" s="5" t="s">
        <v>351</v>
      </c>
      <c r="AS423" s="5"/>
      <c r="AT423" s="5"/>
      <c r="AU423" s="5"/>
      <c r="AV423" s="5" t="s">
        <v>178</v>
      </c>
      <c r="AW423" s="5" t="s">
        <v>5015</v>
      </c>
    </row>
    <row r="424" customFormat="false" ht="236.55" hidden="false" customHeight="false" outlineLevel="0" collapsed="false">
      <c r="A424" s="5" t="s">
        <v>5016</v>
      </c>
      <c r="B424" s="5" t="s">
        <v>5017</v>
      </c>
      <c r="C424" s="5" t="s">
        <v>4875</v>
      </c>
      <c r="D424" s="5" t="s">
        <v>4876</v>
      </c>
      <c r="E424" s="5" t="s">
        <v>1298</v>
      </c>
      <c r="F424" s="5" t="s">
        <v>5018</v>
      </c>
      <c r="G424" s="5" t="s">
        <v>5019</v>
      </c>
      <c r="H424" s="5" t="n">
        <v>9</v>
      </c>
      <c r="I424" s="5" t="s">
        <v>152</v>
      </c>
      <c r="J424" s="5" t="s">
        <v>153</v>
      </c>
      <c r="K424" s="5" t="s">
        <v>5020</v>
      </c>
      <c r="L424" s="5" t="s">
        <v>30</v>
      </c>
      <c r="M424" s="5" t="s">
        <v>155</v>
      </c>
      <c r="N424" s="5" t="s">
        <v>3538</v>
      </c>
      <c r="O424" s="5" t="s">
        <v>157</v>
      </c>
      <c r="P424" s="5" t="s">
        <v>158</v>
      </c>
      <c r="Q424" s="5" t="s">
        <v>4920</v>
      </c>
      <c r="R424" s="5" t="s">
        <v>4881</v>
      </c>
      <c r="S424" s="5" t="s">
        <v>4882</v>
      </c>
      <c r="T424" s="5" t="s">
        <v>162</v>
      </c>
      <c r="U424" s="5" t="n">
        <v>365</v>
      </c>
      <c r="V424" s="5" t="s">
        <v>4883</v>
      </c>
      <c r="W424" s="5" t="s">
        <v>4884</v>
      </c>
      <c r="X424" s="5" t="s">
        <v>5021</v>
      </c>
      <c r="Y424" s="5" t="s">
        <v>5022</v>
      </c>
      <c r="Z424" s="5" t="s">
        <v>5023</v>
      </c>
      <c r="AA424" s="5"/>
      <c r="AB424" s="5"/>
      <c r="AC424" s="5"/>
      <c r="AD424" s="5"/>
      <c r="AE424" s="5"/>
      <c r="AF424" s="5" t="s">
        <v>5024</v>
      </c>
      <c r="AG424" s="5" t="s">
        <v>5025</v>
      </c>
      <c r="AH424" s="5" t="s">
        <v>5026</v>
      </c>
      <c r="AI424" s="5"/>
      <c r="AJ424" s="5"/>
      <c r="AK424" s="5"/>
      <c r="AL424" s="5" t="s">
        <v>5024</v>
      </c>
      <c r="AM424" s="5"/>
      <c r="AN424" s="5" t="s">
        <v>5027</v>
      </c>
      <c r="AO424" s="5"/>
      <c r="AP424" s="5"/>
      <c r="AQ424" s="5" t="s">
        <v>5024</v>
      </c>
      <c r="AR424" s="5" t="s">
        <v>351</v>
      </c>
      <c r="AS424" s="5"/>
      <c r="AT424" s="5" t="s">
        <v>5028</v>
      </c>
      <c r="AU424" s="5"/>
      <c r="AV424" s="5" t="s">
        <v>178</v>
      </c>
      <c r="AW424" s="5" t="s">
        <v>5015</v>
      </c>
    </row>
    <row r="425" customFormat="false" ht="191.75" hidden="false" customHeight="false" outlineLevel="0" collapsed="false">
      <c r="A425" s="5" t="s">
        <v>5029</v>
      </c>
      <c r="B425" s="5" t="s">
        <v>5030</v>
      </c>
      <c r="C425" s="5" t="s">
        <v>4875</v>
      </c>
      <c r="D425" s="5" t="s">
        <v>4876</v>
      </c>
      <c r="E425" s="5" t="s">
        <v>1298</v>
      </c>
      <c r="F425" s="5" t="s">
        <v>5031</v>
      </c>
      <c r="G425" s="5" t="s">
        <v>5032</v>
      </c>
      <c r="H425" s="5" t="n">
        <v>9</v>
      </c>
      <c r="I425" s="5" t="s">
        <v>152</v>
      </c>
      <c r="J425" s="5" t="s">
        <v>153</v>
      </c>
      <c r="K425" s="5" t="s">
        <v>5033</v>
      </c>
      <c r="L425" s="5" t="s">
        <v>30</v>
      </c>
      <c r="M425" s="5" t="s">
        <v>155</v>
      </c>
      <c r="N425" s="5" t="s">
        <v>5034</v>
      </c>
      <c r="O425" s="5" t="s">
        <v>157</v>
      </c>
      <c r="P425" s="5" t="s">
        <v>158</v>
      </c>
      <c r="Q425" s="5" t="s">
        <v>4920</v>
      </c>
      <c r="R425" s="5" t="s">
        <v>4881</v>
      </c>
      <c r="S425" s="5" t="s">
        <v>4882</v>
      </c>
      <c r="T425" s="5" t="s">
        <v>162</v>
      </c>
      <c r="U425" s="5" t="n">
        <v>365</v>
      </c>
      <c r="V425" s="5" t="s">
        <v>4883</v>
      </c>
      <c r="W425" s="5" t="s">
        <v>4884</v>
      </c>
      <c r="X425" s="5" t="s">
        <v>5035</v>
      </c>
      <c r="Y425" s="5" t="s">
        <v>5036</v>
      </c>
      <c r="Z425" s="5" t="s">
        <v>5037</v>
      </c>
      <c r="AA425" s="5"/>
      <c r="AB425" s="5"/>
      <c r="AC425" s="5"/>
      <c r="AD425" s="5"/>
      <c r="AE425" s="5"/>
      <c r="AF425" s="5" t="s">
        <v>5038</v>
      </c>
      <c r="AG425" s="5" t="s">
        <v>5039</v>
      </c>
      <c r="AH425" s="5" t="s">
        <v>5040</v>
      </c>
      <c r="AI425" s="5" t="s">
        <v>4981</v>
      </c>
      <c r="AJ425" s="5" t="s">
        <v>5041</v>
      </c>
      <c r="AK425" s="5"/>
      <c r="AL425" s="5" t="s">
        <v>5038</v>
      </c>
      <c r="AM425" s="5" t="s">
        <v>5039</v>
      </c>
      <c r="AN425" s="5"/>
      <c r="AO425" s="5"/>
      <c r="AP425" s="5" t="s">
        <v>1024</v>
      </c>
      <c r="AQ425" s="5" t="s">
        <v>5039</v>
      </c>
      <c r="AR425" s="5" t="s">
        <v>2207</v>
      </c>
      <c r="AS425" s="5"/>
      <c r="AT425" s="5" t="s">
        <v>5042</v>
      </c>
      <c r="AU425" s="5"/>
      <c r="AV425" s="5" t="s">
        <v>178</v>
      </c>
      <c r="AW425" s="5" t="s">
        <v>5043</v>
      </c>
    </row>
    <row r="426" customFormat="false" ht="135.8" hidden="false" customHeight="false" outlineLevel="0" collapsed="false">
      <c r="A426" s="5" t="s">
        <v>5044</v>
      </c>
      <c r="B426" s="5" t="s">
        <v>5045</v>
      </c>
      <c r="C426" s="5" t="s">
        <v>4875</v>
      </c>
      <c r="D426" s="5" t="s">
        <v>4876</v>
      </c>
      <c r="E426" s="5" t="s">
        <v>626</v>
      </c>
      <c r="F426" s="5" t="s">
        <v>5046</v>
      </c>
      <c r="G426" s="5" t="s">
        <v>5047</v>
      </c>
      <c r="H426" s="5" t="n">
        <v>7</v>
      </c>
      <c r="I426" s="5" t="s">
        <v>152</v>
      </c>
      <c r="J426" s="5" t="s">
        <v>153</v>
      </c>
      <c r="K426" s="5" t="s">
        <v>4879</v>
      </c>
      <c r="L426" s="5" t="s">
        <v>30</v>
      </c>
      <c r="M426" s="5" t="s">
        <v>155</v>
      </c>
      <c r="N426" s="5" t="s">
        <v>4804</v>
      </c>
      <c r="O426" s="5" t="s">
        <v>157</v>
      </c>
      <c r="P426" s="5" t="s">
        <v>215</v>
      </c>
      <c r="Q426" s="5" t="s">
        <v>4920</v>
      </c>
      <c r="R426" s="5" t="s">
        <v>4881</v>
      </c>
      <c r="S426" s="5" t="s">
        <v>4882</v>
      </c>
      <c r="T426" s="5" t="s">
        <v>162</v>
      </c>
      <c r="U426" s="5" t="n">
        <v>365</v>
      </c>
      <c r="V426" s="5" t="s">
        <v>4883</v>
      </c>
      <c r="W426" s="5" t="s">
        <v>4884</v>
      </c>
      <c r="X426" s="5" t="s">
        <v>5048</v>
      </c>
      <c r="Y426" s="5" t="s">
        <v>5049</v>
      </c>
      <c r="Z426" s="5" t="s">
        <v>5050</v>
      </c>
      <c r="AA426" s="5"/>
      <c r="AB426" s="5"/>
      <c r="AC426" s="5"/>
      <c r="AD426" s="5"/>
      <c r="AE426" s="5"/>
      <c r="AF426" s="5" t="s">
        <v>5051</v>
      </c>
      <c r="AG426" s="5" t="s">
        <v>5051</v>
      </c>
      <c r="AH426" s="5"/>
      <c r="AI426" s="5"/>
      <c r="AJ426" s="5" t="s">
        <v>5052</v>
      </c>
      <c r="AK426" s="5" t="s">
        <v>5053</v>
      </c>
      <c r="AL426" s="5" t="s">
        <v>5051</v>
      </c>
      <c r="AM426" s="5" t="s">
        <v>5051</v>
      </c>
      <c r="AN426" s="5"/>
      <c r="AO426" s="5"/>
      <c r="AP426" s="5"/>
      <c r="AQ426" s="5"/>
      <c r="AR426" s="5" t="s">
        <v>351</v>
      </c>
      <c r="AS426" s="5"/>
      <c r="AT426" s="5" t="s">
        <v>5028</v>
      </c>
      <c r="AU426" s="5"/>
      <c r="AV426" s="5" t="s">
        <v>178</v>
      </c>
      <c r="AW426" s="5" t="s">
        <v>4949</v>
      </c>
    </row>
    <row r="427" customFormat="false" ht="214.15" hidden="false" customHeight="false" outlineLevel="0" collapsed="false">
      <c r="A427" s="5" t="s">
        <v>5054</v>
      </c>
      <c r="B427" s="5" t="s">
        <v>5055</v>
      </c>
      <c r="C427" s="5" t="s">
        <v>4875</v>
      </c>
      <c r="D427" s="5" t="s">
        <v>4876</v>
      </c>
      <c r="E427" s="5" t="s">
        <v>1298</v>
      </c>
      <c r="F427" s="5" t="s">
        <v>5056</v>
      </c>
      <c r="G427" s="5" t="s">
        <v>5057</v>
      </c>
      <c r="H427" s="5" t="n">
        <v>9</v>
      </c>
      <c r="I427" s="5" t="s">
        <v>152</v>
      </c>
      <c r="J427" s="5" t="s">
        <v>153</v>
      </c>
      <c r="K427" s="5" t="s">
        <v>5058</v>
      </c>
      <c r="L427" s="5" t="s">
        <v>30</v>
      </c>
      <c r="M427" s="5" t="s">
        <v>155</v>
      </c>
      <c r="N427" s="5" t="s">
        <v>5059</v>
      </c>
      <c r="O427" s="5" t="s">
        <v>157</v>
      </c>
      <c r="P427" s="5" t="s">
        <v>158</v>
      </c>
      <c r="Q427" s="5" t="s">
        <v>4920</v>
      </c>
      <c r="R427" s="5" t="s">
        <v>4881</v>
      </c>
      <c r="S427" s="5" t="s">
        <v>4882</v>
      </c>
      <c r="T427" s="5" t="s">
        <v>162</v>
      </c>
      <c r="U427" s="5" t="n">
        <v>365</v>
      </c>
      <c r="V427" s="5" t="s">
        <v>4883</v>
      </c>
      <c r="W427" s="5" t="s">
        <v>4884</v>
      </c>
      <c r="X427" s="5" t="s">
        <v>5060</v>
      </c>
      <c r="Y427" s="5" t="s">
        <v>5061</v>
      </c>
      <c r="Z427" s="5" t="s">
        <v>5062</v>
      </c>
      <c r="AA427" s="5"/>
      <c r="AB427" s="5"/>
      <c r="AC427" s="5"/>
      <c r="AD427" s="5"/>
      <c r="AE427" s="5"/>
      <c r="AF427" s="5" t="s">
        <v>5063</v>
      </c>
      <c r="AG427" s="5"/>
      <c r="AH427" s="5" t="s">
        <v>5064</v>
      </c>
      <c r="AI427" s="5"/>
      <c r="AJ427" s="5" t="s">
        <v>5065</v>
      </c>
      <c r="AK427" s="5" t="s">
        <v>5066</v>
      </c>
      <c r="AL427" s="5" t="s">
        <v>5063</v>
      </c>
      <c r="AM427" s="5"/>
      <c r="AN427" s="5"/>
      <c r="AO427" s="5" t="s">
        <v>4895</v>
      </c>
      <c r="AP427" s="5"/>
      <c r="AQ427" s="5"/>
      <c r="AR427" s="5" t="s">
        <v>351</v>
      </c>
      <c r="AS427" s="5"/>
      <c r="AT427" s="5" t="s">
        <v>5067</v>
      </c>
      <c r="AU427" s="5"/>
      <c r="AV427" s="5" t="s">
        <v>178</v>
      </c>
      <c r="AW427" s="5" t="s">
        <v>5068</v>
      </c>
    </row>
    <row r="428" customFormat="false" ht="135.8" hidden="false" customHeight="false" outlineLevel="0" collapsed="false">
      <c r="A428" s="5" t="s">
        <v>5069</v>
      </c>
      <c r="B428" s="5" t="s">
        <v>5070</v>
      </c>
      <c r="C428" s="5" t="s">
        <v>4875</v>
      </c>
      <c r="D428" s="5" t="s">
        <v>4876</v>
      </c>
      <c r="E428" s="5" t="s">
        <v>1298</v>
      </c>
      <c r="F428" s="5" t="s">
        <v>5071</v>
      </c>
      <c r="G428" s="5" t="s">
        <v>5072</v>
      </c>
      <c r="H428" s="5" t="n">
        <v>9</v>
      </c>
      <c r="I428" s="5" t="s">
        <v>1221</v>
      </c>
      <c r="J428" s="5" t="s">
        <v>153</v>
      </c>
      <c r="K428" s="5" t="s">
        <v>5073</v>
      </c>
      <c r="L428" s="5" t="s">
        <v>30</v>
      </c>
      <c r="M428" s="5" t="s">
        <v>155</v>
      </c>
      <c r="N428" s="5" t="s">
        <v>5074</v>
      </c>
      <c r="O428" s="5" t="s">
        <v>570</v>
      </c>
      <c r="P428" s="5" t="s">
        <v>641</v>
      </c>
      <c r="Q428" s="5" t="s">
        <v>4920</v>
      </c>
      <c r="R428" s="5" t="s">
        <v>4881</v>
      </c>
      <c r="S428" s="5" t="s">
        <v>4882</v>
      </c>
      <c r="T428" s="5" t="s">
        <v>277</v>
      </c>
      <c r="U428" s="5" t="n">
        <v>365</v>
      </c>
      <c r="V428" s="5" t="s">
        <v>4883</v>
      </c>
      <c r="W428" s="5" t="s">
        <v>4884</v>
      </c>
      <c r="X428" s="5" t="s">
        <v>5075</v>
      </c>
      <c r="Y428" s="5" t="s">
        <v>5076</v>
      </c>
      <c r="Z428" s="5" t="s">
        <v>5077</v>
      </c>
      <c r="AA428" s="5"/>
      <c r="AB428" s="5"/>
      <c r="AC428" s="5"/>
      <c r="AD428" s="5"/>
      <c r="AE428" s="5"/>
      <c r="AF428" s="5" t="s">
        <v>5078</v>
      </c>
      <c r="AG428" s="5"/>
      <c r="AH428" s="5" t="s">
        <v>5079</v>
      </c>
      <c r="AI428" s="5"/>
      <c r="AJ428" s="5"/>
      <c r="AK428" s="5" t="s">
        <v>5080</v>
      </c>
      <c r="AL428" s="5" t="s">
        <v>5078</v>
      </c>
      <c r="AM428" s="5"/>
      <c r="AN428" s="5"/>
      <c r="AO428" s="5" t="s">
        <v>4895</v>
      </c>
      <c r="AP428" s="5"/>
      <c r="AQ428" s="5" t="s">
        <v>5081</v>
      </c>
      <c r="AR428" s="5" t="s">
        <v>5082</v>
      </c>
      <c r="AS428" s="5"/>
      <c r="AT428" s="5" t="s">
        <v>5083</v>
      </c>
      <c r="AU428" s="5"/>
      <c r="AV428" s="5" t="s">
        <v>178</v>
      </c>
      <c r="AW428" s="5" t="s">
        <v>5084</v>
      </c>
    </row>
    <row r="429" customFormat="false" ht="158.2" hidden="false" customHeight="false" outlineLevel="0" collapsed="false">
      <c r="A429" s="5" t="s">
        <v>5085</v>
      </c>
      <c r="B429" s="5" t="s">
        <v>5086</v>
      </c>
      <c r="C429" s="5" t="s">
        <v>4875</v>
      </c>
      <c r="D429" s="5" t="s">
        <v>4876</v>
      </c>
      <c r="E429" s="5" t="s">
        <v>600</v>
      </c>
      <c r="F429" s="5" t="s">
        <v>5087</v>
      </c>
      <c r="G429" s="5" t="s">
        <v>5088</v>
      </c>
      <c r="H429" s="5" t="n">
        <v>8</v>
      </c>
      <c r="I429" s="5" t="s">
        <v>152</v>
      </c>
      <c r="J429" s="5" t="s">
        <v>153</v>
      </c>
      <c r="K429" s="5" t="s">
        <v>4902</v>
      </c>
      <c r="L429" s="5" t="s">
        <v>30</v>
      </c>
      <c r="M429" s="5" t="s">
        <v>155</v>
      </c>
      <c r="N429" s="5" t="s">
        <v>1858</v>
      </c>
      <c r="O429" s="5" t="s">
        <v>157</v>
      </c>
      <c r="P429" s="5" t="s">
        <v>158</v>
      </c>
      <c r="Q429" s="5" t="s">
        <v>4920</v>
      </c>
      <c r="R429" s="5" t="s">
        <v>4881</v>
      </c>
      <c r="S429" s="5" t="s">
        <v>4882</v>
      </c>
      <c r="T429" s="5" t="s">
        <v>162</v>
      </c>
      <c r="U429" s="5" t="n">
        <v>365</v>
      </c>
      <c r="V429" s="5" t="s">
        <v>4883</v>
      </c>
      <c r="W429" s="5" t="s">
        <v>4884</v>
      </c>
      <c r="X429" s="5" t="s">
        <v>5089</v>
      </c>
      <c r="Y429" s="5" t="s">
        <v>5090</v>
      </c>
      <c r="Z429" s="5" t="s">
        <v>5091</v>
      </c>
      <c r="AA429" s="5"/>
      <c r="AB429" s="5"/>
      <c r="AC429" s="5"/>
      <c r="AD429" s="5"/>
      <c r="AE429" s="5"/>
      <c r="AF429" s="5" t="s">
        <v>5092</v>
      </c>
      <c r="AG429" s="5" t="s">
        <v>5092</v>
      </c>
      <c r="AH429" s="5" t="s">
        <v>5093</v>
      </c>
      <c r="AI429" s="5" t="s">
        <v>3278</v>
      </c>
      <c r="AJ429" s="5" t="s">
        <v>5094</v>
      </c>
      <c r="AK429" s="5" t="s">
        <v>5095</v>
      </c>
      <c r="AL429" s="5" t="s">
        <v>5092</v>
      </c>
      <c r="AM429" s="5"/>
      <c r="AN429" s="5" t="s">
        <v>5096</v>
      </c>
      <c r="AO429" s="5"/>
      <c r="AP429" s="5"/>
      <c r="AQ429" s="5" t="s">
        <v>5092</v>
      </c>
      <c r="AR429" s="5" t="s">
        <v>351</v>
      </c>
      <c r="AS429" s="5"/>
      <c r="AT429" s="5" t="s">
        <v>4996</v>
      </c>
      <c r="AU429" s="5"/>
      <c r="AV429" s="5" t="s">
        <v>178</v>
      </c>
      <c r="AW429" s="5" t="s">
        <v>4949</v>
      </c>
    </row>
    <row r="430" customFormat="false" ht="158.2" hidden="false" customHeight="false" outlineLevel="0" collapsed="false">
      <c r="A430" s="5" t="s">
        <v>5097</v>
      </c>
      <c r="B430" s="5" t="s">
        <v>5098</v>
      </c>
      <c r="C430" s="5" t="s">
        <v>4875</v>
      </c>
      <c r="D430" s="5" t="s">
        <v>4876</v>
      </c>
      <c r="E430" s="5" t="s">
        <v>514</v>
      </c>
      <c r="F430" s="5" t="s">
        <v>5099</v>
      </c>
      <c r="G430" s="5" t="s">
        <v>5100</v>
      </c>
      <c r="H430" s="5" t="n">
        <v>7</v>
      </c>
      <c r="I430" s="5" t="s">
        <v>152</v>
      </c>
      <c r="J430" s="5" t="s">
        <v>557</v>
      </c>
      <c r="K430" s="5"/>
      <c r="L430" s="5" t="s">
        <v>55</v>
      </c>
      <c r="M430" s="5" t="s">
        <v>185</v>
      </c>
      <c r="N430" s="5" t="s">
        <v>439</v>
      </c>
      <c r="O430" s="5" t="s">
        <v>187</v>
      </c>
      <c r="P430" s="5" t="s">
        <v>215</v>
      </c>
      <c r="Q430" s="5" t="s">
        <v>4920</v>
      </c>
      <c r="R430" s="5" t="s">
        <v>4881</v>
      </c>
      <c r="S430" s="5" t="s">
        <v>4882</v>
      </c>
      <c r="T430" s="5" t="s">
        <v>162</v>
      </c>
      <c r="U430" s="5" t="n">
        <v>90</v>
      </c>
      <c r="V430" s="5" t="s">
        <v>4883</v>
      </c>
      <c r="W430" s="5" t="s">
        <v>4884</v>
      </c>
      <c r="X430" s="5" t="s">
        <v>5101</v>
      </c>
      <c r="Y430" s="5" t="s">
        <v>5102</v>
      </c>
      <c r="Z430" s="5" t="s">
        <v>5103</v>
      </c>
      <c r="AA430" s="5"/>
      <c r="AB430" s="5"/>
      <c r="AC430" s="5"/>
      <c r="AD430" s="5"/>
      <c r="AE430" s="5"/>
      <c r="AF430" s="5"/>
      <c r="AG430" s="5"/>
      <c r="AH430" s="5"/>
      <c r="AI430" s="5"/>
      <c r="AJ430" s="5" t="s">
        <v>5104</v>
      </c>
      <c r="AK430" s="5"/>
      <c r="AL430" s="5"/>
      <c r="AM430" s="5"/>
      <c r="AN430" s="5"/>
      <c r="AO430" s="5"/>
      <c r="AP430" s="5"/>
      <c r="AQ430" s="5"/>
      <c r="AR430" s="5"/>
      <c r="AS430" s="5"/>
      <c r="AT430" s="5"/>
      <c r="AU430" s="5"/>
      <c r="AV430" s="5"/>
      <c r="AW430" s="5" t="s">
        <v>4949</v>
      </c>
    </row>
    <row r="431" customFormat="false" ht="158.2" hidden="false" customHeight="false" outlineLevel="0" collapsed="false">
      <c r="A431" s="5" t="s">
        <v>5105</v>
      </c>
      <c r="B431" s="5" t="s">
        <v>5106</v>
      </c>
      <c r="C431" s="5" t="s">
        <v>4875</v>
      </c>
      <c r="D431" s="5" t="s">
        <v>4876</v>
      </c>
      <c r="E431" s="5" t="s">
        <v>514</v>
      </c>
      <c r="F431" s="5" t="s">
        <v>5107</v>
      </c>
      <c r="G431" s="5" t="s">
        <v>5108</v>
      </c>
      <c r="H431" s="5" t="n">
        <v>5</v>
      </c>
      <c r="I431" s="5" t="s">
        <v>152</v>
      </c>
      <c r="J431" s="5" t="s">
        <v>153</v>
      </c>
      <c r="K431" s="5"/>
      <c r="L431" s="5" t="s">
        <v>55</v>
      </c>
      <c r="M431" s="5" t="s">
        <v>185</v>
      </c>
      <c r="N431" s="5" t="s">
        <v>439</v>
      </c>
      <c r="O431" s="5" t="s">
        <v>187</v>
      </c>
      <c r="P431" s="5" t="s">
        <v>215</v>
      </c>
      <c r="Q431" s="5" t="s">
        <v>4920</v>
      </c>
      <c r="R431" s="5" t="s">
        <v>4881</v>
      </c>
      <c r="S431" s="5" t="s">
        <v>4882</v>
      </c>
      <c r="T431" s="5" t="s">
        <v>162</v>
      </c>
      <c r="U431" s="5" t="n">
        <v>365</v>
      </c>
      <c r="V431" s="5" t="s">
        <v>4883</v>
      </c>
      <c r="W431" s="5" t="s">
        <v>4884</v>
      </c>
      <c r="X431" s="5" t="s">
        <v>5109</v>
      </c>
      <c r="Y431" s="5" t="s">
        <v>5110</v>
      </c>
      <c r="Z431" s="5" t="s">
        <v>5111</v>
      </c>
      <c r="AA431" s="5"/>
      <c r="AB431" s="5"/>
      <c r="AC431" s="5"/>
      <c r="AD431" s="5"/>
      <c r="AE431" s="5"/>
      <c r="AF431" s="5"/>
      <c r="AG431" s="5"/>
      <c r="AH431" s="5"/>
      <c r="AI431" s="5"/>
      <c r="AJ431" s="5" t="s">
        <v>5112</v>
      </c>
      <c r="AK431" s="5"/>
      <c r="AL431" s="5"/>
      <c r="AM431" s="5"/>
      <c r="AN431" s="5"/>
      <c r="AO431" s="5"/>
      <c r="AP431" s="5"/>
      <c r="AQ431" s="5"/>
      <c r="AR431" s="5"/>
      <c r="AS431" s="5"/>
      <c r="AT431" s="5"/>
      <c r="AU431" s="5"/>
      <c r="AV431" s="5"/>
      <c r="AW431" s="5" t="s">
        <v>4949</v>
      </c>
    </row>
    <row r="432" customFormat="false" ht="169.4" hidden="false" customHeight="false" outlineLevel="0" collapsed="false">
      <c r="A432" s="5" t="s">
        <v>5113</v>
      </c>
      <c r="B432" s="5" t="s">
        <v>5114</v>
      </c>
      <c r="C432" s="5" t="s">
        <v>4875</v>
      </c>
      <c r="D432" s="5" t="s">
        <v>4876</v>
      </c>
      <c r="E432" s="5" t="s">
        <v>1298</v>
      </c>
      <c r="F432" s="5" t="s">
        <v>5115</v>
      </c>
      <c r="G432" s="5" t="s">
        <v>5116</v>
      </c>
      <c r="H432" s="5" t="n">
        <v>9</v>
      </c>
      <c r="I432" s="5" t="s">
        <v>152</v>
      </c>
      <c r="J432" s="5" t="s">
        <v>153</v>
      </c>
      <c r="K432" s="5" t="s">
        <v>5117</v>
      </c>
      <c r="L432" s="5" t="s">
        <v>30</v>
      </c>
      <c r="M432" s="5" t="s">
        <v>155</v>
      </c>
      <c r="N432" s="5" t="s">
        <v>5118</v>
      </c>
      <c r="O432" s="5" t="s">
        <v>157</v>
      </c>
      <c r="P432" s="5" t="s">
        <v>158</v>
      </c>
      <c r="Q432" s="5" t="s">
        <v>4920</v>
      </c>
      <c r="R432" s="5" t="s">
        <v>4881</v>
      </c>
      <c r="S432" s="5" t="s">
        <v>4882</v>
      </c>
      <c r="T432" s="5" t="s">
        <v>162</v>
      </c>
      <c r="U432" s="5" t="n">
        <v>365</v>
      </c>
      <c r="V432" s="5" t="s">
        <v>4883</v>
      </c>
      <c r="W432" s="5" t="s">
        <v>4884</v>
      </c>
      <c r="X432" s="5" t="s">
        <v>5119</v>
      </c>
      <c r="Y432" s="5" t="s">
        <v>5120</v>
      </c>
      <c r="Z432" s="5" t="s">
        <v>5121</v>
      </c>
      <c r="AA432" s="5"/>
      <c r="AB432" s="5"/>
      <c r="AC432" s="5"/>
      <c r="AD432" s="5"/>
      <c r="AE432" s="5"/>
      <c r="AF432" s="5" t="s">
        <v>349</v>
      </c>
      <c r="AG432" s="5" t="s">
        <v>349</v>
      </c>
      <c r="AH432" s="5" t="s">
        <v>5122</v>
      </c>
      <c r="AI432" s="5" t="s">
        <v>350</v>
      </c>
      <c r="AJ432" s="5" t="s">
        <v>5123</v>
      </c>
      <c r="AK432" s="5" t="s">
        <v>5124</v>
      </c>
      <c r="AL432" s="5" t="s">
        <v>349</v>
      </c>
      <c r="AM432" s="5"/>
      <c r="AN432" s="5"/>
      <c r="AO432" s="5"/>
      <c r="AP432" s="5" t="s">
        <v>5125</v>
      </c>
      <c r="AQ432" s="5" t="s">
        <v>349</v>
      </c>
      <c r="AR432" s="5" t="s">
        <v>351</v>
      </c>
      <c r="AS432" s="5"/>
      <c r="AT432" s="5" t="s">
        <v>5126</v>
      </c>
      <c r="AU432" s="5"/>
      <c r="AV432" s="5" t="s">
        <v>178</v>
      </c>
      <c r="AW432" s="5" t="s">
        <v>4949</v>
      </c>
    </row>
    <row r="433" customFormat="false" ht="135.8" hidden="false" customHeight="false" outlineLevel="0" collapsed="false">
      <c r="A433" s="5" t="s">
        <v>5127</v>
      </c>
      <c r="B433" s="5" t="s">
        <v>5128</v>
      </c>
      <c r="C433" s="5" t="s">
        <v>4875</v>
      </c>
      <c r="D433" s="5" t="s">
        <v>4876</v>
      </c>
      <c r="E433" s="5" t="s">
        <v>600</v>
      </c>
      <c r="F433" s="5" t="s">
        <v>5129</v>
      </c>
      <c r="G433" s="5" t="s">
        <v>5130</v>
      </c>
      <c r="H433" s="5" t="n">
        <v>9</v>
      </c>
      <c r="I433" s="5" t="s">
        <v>603</v>
      </c>
      <c r="J433" s="5" t="s">
        <v>557</v>
      </c>
      <c r="K433" s="5"/>
      <c r="L433" s="5" t="s">
        <v>30</v>
      </c>
      <c r="M433" s="5" t="s">
        <v>155</v>
      </c>
      <c r="N433" s="5" t="s">
        <v>1030</v>
      </c>
      <c r="O433" s="5" t="s">
        <v>157</v>
      </c>
      <c r="P433" s="5" t="s">
        <v>215</v>
      </c>
      <c r="Q433" s="5" t="s">
        <v>4920</v>
      </c>
      <c r="R433" s="5" t="s">
        <v>4881</v>
      </c>
      <c r="S433" s="5" t="s">
        <v>4882</v>
      </c>
      <c r="T433" s="5" t="s">
        <v>606</v>
      </c>
      <c r="U433" s="5" t="n">
        <v>90</v>
      </c>
      <c r="V433" s="5" t="s">
        <v>4883</v>
      </c>
      <c r="W433" s="5" t="s">
        <v>4884</v>
      </c>
      <c r="X433" s="5" t="s">
        <v>5131</v>
      </c>
      <c r="Y433" s="5" t="s">
        <v>5132</v>
      </c>
      <c r="Z433" s="5" t="s">
        <v>5133</v>
      </c>
      <c r="AA433" s="5"/>
      <c r="AB433" s="5"/>
      <c r="AC433" s="5"/>
      <c r="AD433" s="5"/>
      <c r="AE433" s="5"/>
      <c r="AF433" s="5" t="s">
        <v>5134</v>
      </c>
      <c r="AG433" s="5" t="s">
        <v>5134</v>
      </c>
      <c r="AH433" s="5"/>
      <c r="AI433" s="5"/>
      <c r="AJ433" s="5"/>
      <c r="AK433" s="5"/>
      <c r="AL433" s="5" t="s">
        <v>5134</v>
      </c>
      <c r="AM433" s="5" t="s">
        <v>5134</v>
      </c>
      <c r="AN433" s="5"/>
      <c r="AO433" s="5"/>
      <c r="AP433" s="5"/>
      <c r="AQ433" s="5"/>
      <c r="AR433" s="5" t="s">
        <v>351</v>
      </c>
      <c r="AS433" s="5"/>
      <c r="AT433" s="5"/>
      <c r="AU433" s="5"/>
      <c r="AV433" s="5"/>
      <c r="AW433" s="5" t="s">
        <v>4949</v>
      </c>
    </row>
    <row r="434" customFormat="false" ht="147" hidden="false" customHeight="false" outlineLevel="0" collapsed="false">
      <c r="A434" s="5" t="s">
        <v>5135</v>
      </c>
      <c r="B434" s="5" t="s">
        <v>5136</v>
      </c>
      <c r="C434" s="5" t="s">
        <v>4875</v>
      </c>
      <c r="D434" s="5" t="s">
        <v>4876</v>
      </c>
      <c r="E434" s="5" t="s">
        <v>600</v>
      </c>
      <c r="F434" s="5" t="s">
        <v>5137</v>
      </c>
      <c r="G434" s="5" t="s">
        <v>5138</v>
      </c>
      <c r="H434" s="5" t="n">
        <v>9</v>
      </c>
      <c r="I434" s="5" t="s">
        <v>152</v>
      </c>
      <c r="J434" s="5" t="s">
        <v>153</v>
      </c>
      <c r="K434" s="5" t="s">
        <v>5139</v>
      </c>
      <c r="L434" s="5" t="s">
        <v>30</v>
      </c>
      <c r="M434" s="5" t="s">
        <v>155</v>
      </c>
      <c r="N434" s="5" t="s">
        <v>518</v>
      </c>
      <c r="O434" s="5" t="s">
        <v>157</v>
      </c>
      <c r="P434" s="5" t="s">
        <v>158</v>
      </c>
      <c r="Q434" s="5" t="s">
        <v>159</v>
      </c>
      <c r="R434" s="5" t="s">
        <v>4881</v>
      </c>
      <c r="S434" s="5" t="s">
        <v>4882</v>
      </c>
      <c r="T434" s="5" t="s">
        <v>162</v>
      </c>
      <c r="U434" s="5" t="n">
        <v>365</v>
      </c>
      <c r="V434" s="5" t="s">
        <v>4883</v>
      </c>
      <c r="W434" s="5" t="s">
        <v>4884</v>
      </c>
      <c r="X434" s="5" t="s">
        <v>5140</v>
      </c>
      <c r="Y434" s="5" t="s">
        <v>5141</v>
      </c>
      <c r="Z434" s="5" t="s">
        <v>5142</v>
      </c>
      <c r="AA434" s="5"/>
      <c r="AB434" s="5"/>
      <c r="AC434" s="5"/>
      <c r="AD434" s="5"/>
      <c r="AE434" s="5"/>
      <c r="AF434" s="5"/>
      <c r="AG434" s="5"/>
      <c r="AH434" s="5" t="s">
        <v>5143</v>
      </c>
      <c r="AI434" s="5"/>
      <c r="AJ434" s="5" t="s">
        <v>5123</v>
      </c>
      <c r="AK434" s="5" t="s">
        <v>5144</v>
      </c>
      <c r="AL434" s="5"/>
      <c r="AM434" s="5"/>
      <c r="AN434" s="5"/>
      <c r="AO434" s="5"/>
      <c r="AP434" s="5" t="s">
        <v>5125</v>
      </c>
      <c r="AQ434" s="5"/>
      <c r="AR434" s="5"/>
      <c r="AS434" s="5"/>
      <c r="AT434" s="5"/>
      <c r="AU434" s="5"/>
      <c r="AV434" s="5" t="s">
        <v>178</v>
      </c>
      <c r="AW434" s="5" t="s">
        <v>5145</v>
      </c>
    </row>
    <row r="435" customFormat="false" ht="135.8" hidden="false" customHeight="false" outlineLevel="0" collapsed="false">
      <c r="A435" s="5" t="s">
        <v>5146</v>
      </c>
      <c r="B435" s="5" t="s">
        <v>5147</v>
      </c>
      <c r="C435" s="5" t="s">
        <v>4875</v>
      </c>
      <c r="D435" s="5" t="s">
        <v>4876</v>
      </c>
      <c r="E435" s="5" t="s">
        <v>1298</v>
      </c>
      <c r="F435" s="5" t="s">
        <v>5148</v>
      </c>
      <c r="G435" s="5" t="s">
        <v>5149</v>
      </c>
      <c r="H435" s="5" t="n">
        <v>8</v>
      </c>
      <c r="I435" s="5" t="s">
        <v>152</v>
      </c>
      <c r="J435" s="5" t="s">
        <v>153</v>
      </c>
      <c r="K435" s="5"/>
      <c r="L435" s="5" t="s">
        <v>85</v>
      </c>
      <c r="M435" s="5" t="s">
        <v>185</v>
      </c>
      <c r="N435" s="5" t="s">
        <v>88</v>
      </c>
      <c r="O435" s="5" t="s">
        <v>214</v>
      </c>
      <c r="P435" s="5" t="s">
        <v>215</v>
      </c>
      <c r="Q435" s="5" t="s">
        <v>4920</v>
      </c>
      <c r="R435" s="5" t="s">
        <v>4881</v>
      </c>
      <c r="S435" s="5" t="s">
        <v>4882</v>
      </c>
      <c r="T435" s="5" t="s">
        <v>162</v>
      </c>
      <c r="U435" s="5" t="n">
        <v>365</v>
      </c>
      <c r="V435" s="5" t="s">
        <v>4883</v>
      </c>
      <c r="W435" s="5" t="s">
        <v>4884</v>
      </c>
      <c r="X435" s="5" t="s">
        <v>5150</v>
      </c>
      <c r="Y435" s="5" t="s">
        <v>5151</v>
      </c>
      <c r="Z435" s="5" t="s">
        <v>5152</v>
      </c>
      <c r="AA435" s="5"/>
      <c r="AB435" s="5"/>
      <c r="AC435" s="5"/>
      <c r="AD435" s="5"/>
      <c r="AE435" s="5"/>
      <c r="AF435" s="5" t="s">
        <v>5153</v>
      </c>
      <c r="AG435" s="5"/>
      <c r="AH435" s="5"/>
      <c r="AI435" s="5"/>
      <c r="AJ435" s="5"/>
      <c r="AK435" s="5"/>
      <c r="AL435" s="5" t="s">
        <v>5153</v>
      </c>
      <c r="AM435" s="5"/>
      <c r="AN435" s="5"/>
      <c r="AO435" s="5"/>
      <c r="AP435" s="5"/>
      <c r="AQ435" s="5" t="s">
        <v>5153</v>
      </c>
      <c r="AR435" s="5" t="s">
        <v>351</v>
      </c>
      <c r="AS435" s="5"/>
      <c r="AT435" s="5" t="s">
        <v>5154</v>
      </c>
      <c r="AU435" s="5"/>
      <c r="AV435" s="5"/>
      <c r="AW435" s="5" t="s">
        <v>4949</v>
      </c>
    </row>
    <row r="436" customFormat="false" ht="147" hidden="false" customHeight="false" outlineLevel="0" collapsed="false">
      <c r="A436" s="5" t="s">
        <v>5155</v>
      </c>
      <c r="B436" s="5" t="s">
        <v>5156</v>
      </c>
      <c r="C436" s="5" t="s">
        <v>4875</v>
      </c>
      <c r="D436" s="5" t="s">
        <v>4876</v>
      </c>
      <c r="E436" s="5" t="s">
        <v>1298</v>
      </c>
      <c r="F436" s="5" t="s">
        <v>5157</v>
      </c>
      <c r="G436" s="5" t="s">
        <v>5158</v>
      </c>
      <c r="H436" s="5" t="n">
        <v>7</v>
      </c>
      <c r="I436" s="5" t="s">
        <v>152</v>
      </c>
      <c r="J436" s="5" t="s">
        <v>153</v>
      </c>
      <c r="K436" s="5" t="s">
        <v>5159</v>
      </c>
      <c r="L436" s="5" t="s">
        <v>30</v>
      </c>
      <c r="M436" s="5" t="s">
        <v>155</v>
      </c>
      <c r="N436" s="5" t="s">
        <v>5160</v>
      </c>
      <c r="O436" s="5" t="s">
        <v>157</v>
      </c>
      <c r="P436" s="5" t="s">
        <v>158</v>
      </c>
      <c r="Q436" s="5" t="s">
        <v>335</v>
      </c>
      <c r="R436" s="5" t="s">
        <v>4881</v>
      </c>
      <c r="S436" s="5" t="s">
        <v>4882</v>
      </c>
      <c r="T436" s="5" t="s">
        <v>162</v>
      </c>
      <c r="U436" s="5" t="n">
        <v>365</v>
      </c>
      <c r="V436" s="5" t="s">
        <v>4883</v>
      </c>
      <c r="W436" s="5" t="s">
        <v>4884</v>
      </c>
      <c r="X436" s="5" t="s">
        <v>5161</v>
      </c>
      <c r="Y436" s="5" t="s">
        <v>5162</v>
      </c>
      <c r="Z436" s="5" t="s">
        <v>5163</v>
      </c>
      <c r="AA436" s="5"/>
      <c r="AB436" s="5"/>
      <c r="AC436" s="5"/>
      <c r="AD436" s="5"/>
      <c r="AE436" s="5"/>
      <c r="AF436" s="5" t="s">
        <v>5164</v>
      </c>
      <c r="AG436" s="5" t="s">
        <v>5165</v>
      </c>
      <c r="AH436" s="5" t="s">
        <v>5166</v>
      </c>
      <c r="AI436" s="5"/>
      <c r="AJ436" s="5"/>
      <c r="AK436" s="5" t="s">
        <v>5144</v>
      </c>
      <c r="AL436" s="5" t="s">
        <v>5164</v>
      </c>
      <c r="AM436" s="5" t="s">
        <v>5165</v>
      </c>
      <c r="AN436" s="5"/>
      <c r="AO436" s="5"/>
      <c r="AP436" s="5"/>
      <c r="AQ436" s="5" t="s">
        <v>5167</v>
      </c>
      <c r="AR436" s="5" t="s">
        <v>351</v>
      </c>
      <c r="AS436" s="5"/>
      <c r="AT436" s="5" t="s">
        <v>5168</v>
      </c>
      <c r="AU436" s="5"/>
      <c r="AV436" s="5" t="s">
        <v>178</v>
      </c>
      <c r="AW436" s="5" t="s">
        <v>4949</v>
      </c>
    </row>
    <row r="437" customFormat="false" ht="135.8" hidden="false" customHeight="false" outlineLevel="0" collapsed="false">
      <c r="A437" s="5" t="s">
        <v>5169</v>
      </c>
      <c r="B437" s="5" t="s">
        <v>5170</v>
      </c>
      <c r="C437" s="5" t="s">
        <v>4875</v>
      </c>
      <c r="D437" s="5" t="s">
        <v>4876</v>
      </c>
      <c r="E437" s="5" t="s">
        <v>514</v>
      </c>
      <c r="F437" s="5" t="s">
        <v>5171</v>
      </c>
      <c r="G437" s="5" t="s">
        <v>5172</v>
      </c>
      <c r="H437" s="5" t="n">
        <v>5</v>
      </c>
      <c r="I437" s="5" t="s">
        <v>152</v>
      </c>
      <c r="J437" s="5" t="s">
        <v>153</v>
      </c>
      <c r="K437" s="5"/>
      <c r="L437" s="5" t="s">
        <v>30</v>
      </c>
      <c r="M437" s="5" t="s">
        <v>155</v>
      </c>
      <c r="N437" s="5" t="s">
        <v>846</v>
      </c>
      <c r="O437" s="5" t="s">
        <v>157</v>
      </c>
      <c r="P437" s="5" t="s">
        <v>215</v>
      </c>
      <c r="Q437" s="5" t="s">
        <v>4920</v>
      </c>
      <c r="R437" s="5" t="s">
        <v>4881</v>
      </c>
      <c r="S437" s="5" t="s">
        <v>4882</v>
      </c>
      <c r="T437" s="5" t="s">
        <v>162</v>
      </c>
      <c r="U437" s="5" t="n">
        <v>365</v>
      </c>
      <c r="V437" s="5" t="s">
        <v>4883</v>
      </c>
      <c r="W437" s="5" t="s">
        <v>4884</v>
      </c>
      <c r="X437" s="5" t="s">
        <v>5173</v>
      </c>
      <c r="Y437" s="5" t="s">
        <v>5174</v>
      </c>
      <c r="Z437" s="5" t="s">
        <v>5175</v>
      </c>
      <c r="AA437" s="5"/>
      <c r="AB437" s="5"/>
      <c r="AC437" s="5"/>
      <c r="AD437" s="5"/>
      <c r="AE437" s="5"/>
      <c r="AF437" s="5"/>
      <c r="AG437" s="5"/>
      <c r="AH437" s="5" t="s">
        <v>5176</v>
      </c>
      <c r="AI437" s="5"/>
      <c r="AJ437" s="5"/>
      <c r="AK437" s="5"/>
      <c r="AL437" s="5"/>
      <c r="AM437" s="5"/>
      <c r="AN437" s="5"/>
      <c r="AO437" s="5"/>
      <c r="AP437" s="5"/>
      <c r="AQ437" s="5"/>
      <c r="AR437" s="5"/>
      <c r="AS437" s="5"/>
      <c r="AT437" s="5"/>
      <c r="AU437" s="5"/>
      <c r="AV437" s="5"/>
      <c r="AW437" s="5" t="s">
        <v>4949</v>
      </c>
    </row>
    <row r="438" customFormat="false" ht="147" hidden="false" customHeight="false" outlineLevel="0" collapsed="false">
      <c r="A438" s="5" t="s">
        <v>5177</v>
      </c>
      <c r="B438" s="5" t="s">
        <v>5178</v>
      </c>
      <c r="C438" s="5" t="s">
        <v>4875</v>
      </c>
      <c r="D438" s="5" t="s">
        <v>4876</v>
      </c>
      <c r="E438" s="5" t="s">
        <v>1298</v>
      </c>
      <c r="F438" s="5" t="s">
        <v>5179</v>
      </c>
      <c r="G438" s="5" t="s">
        <v>5180</v>
      </c>
      <c r="H438" s="5" t="n">
        <v>5</v>
      </c>
      <c r="I438" s="5" t="s">
        <v>152</v>
      </c>
      <c r="J438" s="5" t="s">
        <v>153</v>
      </c>
      <c r="K438" s="5"/>
      <c r="L438" s="5" t="s">
        <v>30</v>
      </c>
      <c r="M438" s="5" t="s">
        <v>155</v>
      </c>
      <c r="N438" s="5" t="s">
        <v>398</v>
      </c>
      <c r="O438" s="5" t="s">
        <v>157</v>
      </c>
      <c r="P438" s="5" t="s">
        <v>215</v>
      </c>
      <c r="Q438" s="5" t="s">
        <v>4920</v>
      </c>
      <c r="R438" s="5" t="s">
        <v>4881</v>
      </c>
      <c r="S438" s="5" t="s">
        <v>4882</v>
      </c>
      <c r="T438" s="5" t="s">
        <v>162</v>
      </c>
      <c r="U438" s="5" t="n">
        <v>365</v>
      </c>
      <c r="V438" s="5" t="s">
        <v>4883</v>
      </c>
      <c r="W438" s="5" t="s">
        <v>4884</v>
      </c>
      <c r="X438" s="5" t="s">
        <v>5181</v>
      </c>
      <c r="Y438" s="5" t="s">
        <v>5182</v>
      </c>
      <c r="Z438" s="5" t="s">
        <v>5183</v>
      </c>
      <c r="AA438" s="5"/>
      <c r="AB438" s="5"/>
      <c r="AC438" s="5"/>
      <c r="AD438" s="5"/>
      <c r="AE438" s="5"/>
      <c r="AF438" s="5" t="s">
        <v>5184</v>
      </c>
      <c r="AG438" s="5" t="s">
        <v>5184</v>
      </c>
      <c r="AH438" s="5"/>
      <c r="AI438" s="5"/>
      <c r="AJ438" s="5"/>
      <c r="AK438" s="5"/>
      <c r="AL438" s="5" t="s">
        <v>5184</v>
      </c>
      <c r="AM438" s="5"/>
      <c r="AN438" s="5"/>
      <c r="AO438" s="5"/>
      <c r="AP438" s="5"/>
      <c r="AQ438" s="5" t="s">
        <v>5184</v>
      </c>
      <c r="AR438" s="5" t="s">
        <v>351</v>
      </c>
      <c r="AS438" s="5"/>
      <c r="AT438" s="5"/>
      <c r="AU438" s="5"/>
      <c r="AV438" s="5" t="s">
        <v>178</v>
      </c>
      <c r="AW438" s="5" t="s">
        <v>4949</v>
      </c>
    </row>
    <row r="439" customFormat="false" ht="147" hidden="false" customHeight="false" outlineLevel="0" collapsed="false">
      <c r="A439" s="5" t="s">
        <v>5185</v>
      </c>
      <c r="B439" s="5" t="s">
        <v>5186</v>
      </c>
      <c r="C439" s="5" t="s">
        <v>4875</v>
      </c>
      <c r="D439" s="5" t="s">
        <v>4876</v>
      </c>
      <c r="E439" s="5" t="s">
        <v>1298</v>
      </c>
      <c r="F439" s="5" t="s">
        <v>5187</v>
      </c>
      <c r="G439" s="5" t="s">
        <v>5188</v>
      </c>
      <c r="H439" s="5" t="n">
        <v>1</v>
      </c>
      <c r="I439" s="5" t="s">
        <v>603</v>
      </c>
      <c r="J439" s="5" t="s">
        <v>557</v>
      </c>
      <c r="K439" s="5"/>
      <c r="L439" s="5" t="s">
        <v>30</v>
      </c>
      <c r="M439" s="5" t="s">
        <v>155</v>
      </c>
      <c r="N439" s="5" t="s">
        <v>1030</v>
      </c>
      <c r="O439" s="5" t="s">
        <v>157</v>
      </c>
      <c r="P439" s="5" t="s">
        <v>215</v>
      </c>
      <c r="Q439" s="5" t="s">
        <v>4920</v>
      </c>
      <c r="R439" s="5" t="s">
        <v>4881</v>
      </c>
      <c r="S439" s="5" t="s">
        <v>4882</v>
      </c>
      <c r="T439" s="5" t="s">
        <v>606</v>
      </c>
      <c r="U439" s="5" t="n">
        <v>90</v>
      </c>
      <c r="V439" s="5" t="s">
        <v>4883</v>
      </c>
      <c r="W439" s="5" t="s">
        <v>4884</v>
      </c>
      <c r="X439" s="5" t="s">
        <v>5189</v>
      </c>
      <c r="Y439" s="5" t="s">
        <v>5190</v>
      </c>
      <c r="Z439" s="5" t="s">
        <v>5191</v>
      </c>
      <c r="AA439" s="5"/>
      <c r="AB439" s="5"/>
      <c r="AC439" s="5"/>
      <c r="AD439" s="5"/>
      <c r="AE439" s="5"/>
      <c r="AF439" s="5" t="s">
        <v>5192</v>
      </c>
      <c r="AG439" s="5" t="s">
        <v>5192</v>
      </c>
      <c r="AH439" s="5"/>
      <c r="AI439" s="5"/>
      <c r="AJ439" s="5"/>
      <c r="AK439" s="5"/>
      <c r="AL439" s="5" t="s">
        <v>5192</v>
      </c>
      <c r="AM439" s="5" t="s">
        <v>5192</v>
      </c>
      <c r="AN439" s="5"/>
      <c r="AO439" s="5"/>
      <c r="AP439" s="5"/>
      <c r="AQ439" s="5"/>
      <c r="AR439" s="5" t="s">
        <v>351</v>
      </c>
      <c r="AS439" s="5"/>
      <c r="AT439" s="5"/>
      <c r="AU439" s="5"/>
      <c r="AV439" s="5"/>
      <c r="AW439" s="5" t="s">
        <v>4949</v>
      </c>
    </row>
    <row r="440" customFormat="false" ht="135.8" hidden="false" customHeight="false" outlineLevel="0" collapsed="false">
      <c r="A440" s="5" t="s">
        <v>5193</v>
      </c>
      <c r="B440" s="5" t="s">
        <v>5194</v>
      </c>
      <c r="C440" s="5" t="s">
        <v>4875</v>
      </c>
      <c r="D440" s="5" t="s">
        <v>4876</v>
      </c>
      <c r="E440" s="5" t="s">
        <v>1298</v>
      </c>
      <c r="F440" s="5" t="s">
        <v>5195</v>
      </c>
      <c r="G440" s="5" t="s">
        <v>5196</v>
      </c>
      <c r="H440" s="5" t="n">
        <v>5</v>
      </c>
      <c r="I440" s="5" t="s">
        <v>152</v>
      </c>
      <c r="J440" s="5" t="s">
        <v>153</v>
      </c>
      <c r="K440" s="5"/>
      <c r="L440" s="5" t="s">
        <v>55</v>
      </c>
      <c r="M440" s="5" t="s">
        <v>185</v>
      </c>
      <c r="N440" s="5" t="s">
        <v>439</v>
      </c>
      <c r="O440" s="5" t="s">
        <v>187</v>
      </c>
      <c r="P440" s="5" t="s">
        <v>158</v>
      </c>
      <c r="Q440" s="5" t="s">
        <v>4920</v>
      </c>
      <c r="R440" s="5" t="s">
        <v>4881</v>
      </c>
      <c r="S440" s="5" t="s">
        <v>4882</v>
      </c>
      <c r="T440" s="5" t="s">
        <v>162</v>
      </c>
      <c r="U440" s="5" t="n">
        <v>365</v>
      </c>
      <c r="V440" s="5" t="s">
        <v>4883</v>
      </c>
      <c r="W440" s="5" t="s">
        <v>4884</v>
      </c>
      <c r="X440" s="5" t="s">
        <v>5197</v>
      </c>
      <c r="Y440" s="5" t="s">
        <v>5198</v>
      </c>
      <c r="Z440" s="5" t="s">
        <v>5199</v>
      </c>
      <c r="AA440" s="5"/>
      <c r="AB440" s="5"/>
      <c r="AC440" s="5"/>
      <c r="AD440" s="5"/>
      <c r="AE440" s="5"/>
      <c r="AF440" s="5" t="s">
        <v>5200</v>
      </c>
      <c r="AG440" s="5"/>
      <c r="AH440" s="5"/>
      <c r="AI440" s="5"/>
      <c r="AJ440" s="5" t="s">
        <v>5201</v>
      </c>
      <c r="AK440" s="5"/>
      <c r="AL440" s="5" t="s">
        <v>5200</v>
      </c>
      <c r="AM440" s="5"/>
      <c r="AN440" s="5"/>
      <c r="AO440" s="5"/>
      <c r="AP440" s="5"/>
      <c r="AQ440" s="5"/>
      <c r="AR440" s="5" t="s">
        <v>351</v>
      </c>
      <c r="AS440" s="5"/>
      <c r="AT440" s="5" t="s">
        <v>5028</v>
      </c>
      <c r="AU440" s="5"/>
      <c r="AV440" s="5"/>
      <c r="AW440" s="5" t="s">
        <v>4949</v>
      </c>
    </row>
    <row r="441" customFormat="false" ht="236.55" hidden="false" customHeight="false" outlineLevel="0" collapsed="false">
      <c r="A441" s="5" t="s">
        <v>5202</v>
      </c>
      <c r="B441" s="5" t="s">
        <v>5203</v>
      </c>
      <c r="C441" s="5" t="s">
        <v>4875</v>
      </c>
      <c r="D441" s="5" t="s">
        <v>4876</v>
      </c>
      <c r="E441" s="5" t="s">
        <v>1298</v>
      </c>
      <c r="F441" s="5" t="s">
        <v>5204</v>
      </c>
      <c r="G441" s="5" t="s">
        <v>5205</v>
      </c>
      <c r="H441" s="5" t="n">
        <v>8</v>
      </c>
      <c r="I441" s="5" t="s">
        <v>152</v>
      </c>
      <c r="J441" s="5" t="s">
        <v>652</v>
      </c>
      <c r="K441" s="5" t="s">
        <v>5206</v>
      </c>
      <c r="L441" s="5" t="s">
        <v>85</v>
      </c>
      <c r="M441" s="5" t="s">
        <v>185</v>
      </c>
      <c r="N441" s="5" t="s">
        <v>3133</v>
      </c>
      <c r="O441" s="5" t="s">
        <v>214</v>
      </c>
      <c r="P441" s="5" t="s">
        <v>215</v>
      </c>
      <c r="Q441" s="5" t="s">
        <v>4920</v>
      </c>
      <c r="R441" s="5" t="s">
        <v>4881</v>
      </c>
      <c r="S441" s="5" t="s">
        <v>4882</v>
      </c>
      <c r="T441" s="5" t="s">
        <v>162</v>
      </c>
      <c r="U441" s="5" t="n">
        <v>180</v>
      </c>
      <c r="V441" s="5" t="s">
        <v>4883</v>
      </c>
      <c r="W441" s="5" t="s">
        <v>4884</v>
      </c>
      <c r="X441" s="5" t="s">
        <v>5207</v>
      </c>
      <c r="Y441" s="5" t="s">
        <v>5208</v>
      </c>
      <c r="Z441" s="5" t="s">
        <v>5209</v>
      </c>
      <c r="AA441" s="5"/>
      <c r="AB441" s="5"/>
      <c r="AC441" s="5"/>
      <c r="AD441" s="5"/>
      <c r="AE441" s="5"/>
      <c r="AF441" s="5" t="s">
        <v>5210</v>
      </c>
      <c r="AG441" s="5"/>
      <c r="AH441" s="5"/>
      <c r="AI441" s="5"/>
      <c r="AJ441" s="5"/>
      <c r="AK441" s="5"/>
      <c r="AL441" s="5" t="s">
        <v>5210</v>
      </c>
      <c r="AM441" s="5"/>
      <c r="AN441" s="5"/>
      <c r="AO441" s="5"/>
      <c r="AP441" s="5" t="s">
        <v>5211</v>
      </c>
      <c r="AQ441" s="5" t="s">
        <v>5210</v>
      </c>
      <c r="AR441" s="5" t="s">
        <v>351</v>
      </c>
      <c r="AS441" s="5"/>
      <c r="AT441" s="5"/>
      <c r="AU441" s="5"/>
      <c r="AV441" s="5" t="s">
        <v>178</v>
      </c>
      <c r="AW441" s="5" t="s">
        <v>5145</v>
      </c>
    </row>
    <row r="442" customFormat="false" ht="147" hidden="false" customHeight="false" outlineLevel="0" collapsed="false">
      <c r="A442" s="5" t="s">
        <v>5212</v>
      </c>
      <c r="B442" s="5" t="s">
        <v>5213</v>
      </c>
      <c r="C442" s="5" t="s">
        <v>4875</v>
      </c>
      <c r="D442" s="5" t="s">
        <v>4876</v>
      </c>
      <c r="E442" s="5" t="s">
        <v>1298</v>
      </c>
      <c r="F442" s="5" t="s">
        <v>5214</v>
      </c>
      <c r="G442" s="5" t="s">
        <v>5215</v>
      </c>
      <c r="H442" s="5" t="n">
        <v>8</v>
      </c>
      <c r="I442" s="5" t="s">
        <v>152</v>
      </c>
      <c r="J442" s="5" t="s">
        <v>652</v>
      </c>
      <c r="K442" s="5"/>
      <c r="L442" s="5" t="s">
        <v>85</v>
      </c>
      <c r="M442" s="5" t="s">
        <v>185</v>
      </c>
      <c r="N442" s="5" t="s">
        <v>88</v>
      </c>
      <c r="O442" s="5" t="s">
        <v>214</v>
      </c>
      <c r="P442" s="5" t="s">
        <v>215</v>
      </c>
      <c r="Q442" s="5" t="s">
        <v>4920</v>
      </c>
      <c r="R442" s="5" t="s">
        <v>4881</v>
      </c>
      <c r="S442" s="5" t="s">
        <v>4882</v>
      </c>
      <c r="T442" s="5" t="s">
        <v>162</v>
      </c>
      <c r="U442" s="5" t="n">
        <v>180</v>
      </c>
      <c r="V442" s="5" t="s">
        <v>4883</v>
      </c>
      <c r="W442" s="5" t="s">
        <v>4884</v>
      </c>
      <c r="X442" s="5" t="s">
        <v>5216</v>
      </c>
      <c r="Y442" s="5" t="s">
        <v>5217</v>
      </c>
      <c r="Z442" s="5" t="s">
        <v>5218</v>
      </c>
      <c r="AA442" s="5"/>
      <c r="AB442" s="5"/>
      <c r="AC442" s="5"/>
      <c r="AD442" s="5"/>
      <c r="AE442" s="5"/>
      <c r="AF442" s="5" t="s">
        <v>5210</v>
      </c>
      <c r="AG442" s="5"/>
      <c r="AH442" s="5"/>
      <c r="AI442" s="5"/>
      <c r="AJ442" s="5"/>
      <c r="AK442" s="5"/>
      <c r="AL442" s="5" t="s">
        <v>5210</v>
      </c>
      <c r="AM442" s="5"/>
      <c r="AN442" s="5"/>
      <c r="AO442" s="5"/>
      <c r="AP442" s="5"/>
      <c r="AQ442" s="5" t="s">
        <v>5210</v>
      </c>
      <c r="AR442" s="5" t="s">
        <v>351</v>
      </c>
      <c r="AS442" s="5"/>
      <c r="AT442" s="5"/>
      <c r="AU442" s="5"/>
      <c r="AV442" s="5"/>
      <c r="AW442" s="5" t="s">
        <v>5145</v>
      </c>
    </row>
    <row r="443" customFormat="false" ht="202.95" hidden="false" customHeight="false" outlineLevel="0" collapsed="false">
      <c r="A443" s="5" t="s">
        <v>5219</v>
      </c>
      <c r="B443" s="5" t="s">
        <v>5220</v>
      </c>
      <c r="C443" s="5" t="s">
        <v>4875</v>
      </c>
      <c r="D443" s="5" t="s">
        <v>4876</v>
      </c>
      <c r="E443" s="5" t="s">
        <v>1298</v>
      </c>
      <c r="F443" s="5" t="s">
        <v>5221</v>
      </c>
      <c r="G443" s="5" t="s">
        <v>5222</v>
      </c>
      <c r="H443" s="5" t="n">
        <v>8</v>
      </c>
      <c r="I443" s="5" t="s">
        <v>152</v>
      </c>
      <c r="J443" s="5" t="s">
        <v>153</v>
      </c>
      <c r="K443" s="5" t="s">
        <v>5223</v>
      </c>
      <c r="L443" s="5" t="s">
        <v>30</v>
      </c>
      <c r="M443" s="5" t="s">
        <v>155</v>
      </c>
      <c r="N443" s="5" t="s">
        <v>5224</v>
      </c>
      <c r="O443" s="5" t="s">
        <v>157</v>
      </c>
      <c r="P443" s="5" t="s">
        <v>158</v>
      </c>
      <c r="Q443" s="5" t="s">
        <v>4920</v>
      </c>
      <c r="R443" s="5" t="s">
        <v>4881</v>
      </c>
      <c r="S443" s="5" t="s">
        <v>4882</v>
      </c>
      <c r="T443" s="5" t="s">
        <v>162</v>
      </c>
      <c r="U443" s="5" t="n">
        <v>365</v>
      </c>
      <c r="V443" s="5" t="s">
        <v>4883</v>
      </c>
      <c r="W443" s="5" t="s">
        <v>4884</v>
      </c>
      <c r="X443" s="5" t="s">
        <v>5225</v>
      </c>
      <c r="Y443" s="5" t="s">
        <v>5226</v>
      </c>
      <c r="Z443" s="5" t="s">
        <v>5227</v>
      </c>
      <c r="AA443" s="5"/>
      <c r="AB443" s="5"/>
      <c r="AC443" s="5"/>
      <c r="AD443" s="5"/>
      <c r="AE443" s="5"/>
      <c r="AF443" s="5" t="s">
        <v>5228</v>
      </c>
      <c r="AG443" s="5" t="s">
        <v>4889</v>
      </c>
      <c r="AH443" s="5" t="s">
        <v>5229</v>
      </c>
      <c r="AI443" s="5" t="s">
        <v>3278</v>
      </c>
      <c r="AJ443" s="5" t="s">
        <v>5230</v>
      </c>
      <c r="AK443" s="5" t="s">
        <v>5231</v>
      </c>
      <c r="AL443" s="5" t="s">
        <v>5228</v>
      </c>
      <c r="AM443" s="5"/>
      <c r="AN443" s="5" t="s">
        <v>4894</v>
      </c>
      <c r="AO443" s="5"/>
      <c r="AP443" s="5" t="s">
        <v>5232</v>
      </c>
      <c r="AQ443" s="5" t="s">
        <v>5228</v>
      </c>
      <c r="AR443" s="5" t="s">
        <v>351</v>
      </c>
      <c r="AS443" s="5"/>
      <c r="AT443" s="5" t="s">
        <v>5233</v>
      </c>
      <c r="AU443" s="5"/>
      <c r="AV443" s="5" t="s">
        <v>178</v>
      </c>
      <c r="AW443" s="5" t="s">
        <v>5234</v>
      </c>
    </row>
    <row r="444" customFormat="false" ht="158.2" hidden="false" customHeight="false" outlineLevel="0" collapsed="false">
      <c r="A444" s="5" t="s">
        <v>5235</v>
      </c>
      <c r="B444" s="5" t="s">
        <v>5236</v>
      </c>
      <c r="C444" s="5" t="s">
        <v>4875</v>
      </c>
      <c r="D444" s="5" t="s">
        <v>4876</v>
      </c>
      <c r="E444" s="5" t="s">
        <v>514</v>
      </c>
      <c r="F444" s="5" t="s">
        <v>5237</v>
      </c>
      <c r="G444" s="5" t="s">
        <v>5238</v>
      </c>
      <c r="H444" s="5" t="n">
        <v>9</v>
      </c>
      <c r="I444" s="5" t="s">
        <v>152</v>
      </c>
      <c r="J444" s="5" t="s">
        <v>153</v>
      </c>
      <c r="K444" s="5"/>
      <c r="L444" s="5" t="s">
        <v>30</v>
      </c>
      <c r="M444" s="5" t="s">
        <v>155</v>
      </c>
      <c r="N444" s="5" t="s">
        <v>398</v>
      </c>
      <c r="O444" s="5" t="s">
        <v>157</v>
      </c>
      <c r="P444" s="5" t="s">
        <v>158</v>
      </c>
      <c r="Q444" s="5" t="s">
        <v>461</v>
      </c>
      <c r="R444" s="5" t="s">
        <v>4881</v>
      </c>
      <c r="S444" s="5" t="s">
        <v>4882</v>
      </c>
      <c r="T444" s="5" t="s">
        <v>162</v>
      </c>
      <c r="U444" s="5" t="n">
        <v>365</v>
      </c>
      <c r="V444" s="5" t="s">
        <v>4883</v>
      </c>
      <c r="W444" s="5" t="s">
        <v>4884</v>
      </c>
      <c r="X444" s="5" t="s">
        <v>5239</v>
      </c>
      <c r="Y444" s="5" t="s">
        <v>5240</v>
      </c>
      <c r="Z444" s="5" t="s">
        <v>5241</v>
      </c>
      <c r="AA444" s="5"/>
      <c r="AB444" s="5"/>
      <c r="AC444" s="5"/>
      <c r="AD444" s="5"/>
      <c r="AE444" s="5"/>
      <c r="AF444" s="5" t="s">
        <v>349</v>
      </c>
      <c r="AG444" s="5" t="s">
        <v>349</v>
      </c>
      <c r="AH444" s="5"/>
      <c r="AI444" s="5"/>
      <c r="AJ444" s="5"/>
      <c r="AK444" s="5"/>
      <c r="AL444" s="5" t="s">
        <v>349</v>
      </c>
      <c r="AM444" s="5"/>
      <c r="AN444" s="5"/>
      <c r="AO444" s="5"/>
      <c r="AP444" s="5"/>
      <c r="AQ444" s="5" t="s">
        <v>349</v>
      </c>
      <c r="AR444" s="5" t="s">
        <v>351</v>
      </c>
      <c r="AS444" s="5"/>
      <c r="AT444" s="5"/>
      <c r="AU444" s="5"/>
      <c r="AV444" s="5" t="s">
        <v>178</v>
      </c>
      <c r="AW444" s="5" t="s">
        <v>4949</v>
      </c>
    </row>
    <row r="445" customFormat="false" ht="124.6" hidden="false" customHeight="false" outlineLevel="0" collapsed="false">
      <c r="A445" s="5" t="s">
        <v>5242</v>
      </c>
      <c r="B445" s="5" t="s">
        <v>5243</v>
      </c>
      <c r="C445" s="5" t="s">
        <v>4875</v>
      </c>
      <c r="D445" s="5" t="s">
        <v>4876</v>
      </c>
      <c r="E445" s="5" t="s">
        <v>892</v>
      </c>
      <c r="F445" s="5" t="s">
        <v>5244</v>
      </c>
      <c r="G445" s="5" t="s">
        <v>5245</v>
      </c>
      <c r="H445" s="5" t="n">
        <v>6</v>
      </c>
      <c r="I445" s="5" t="s">
        <v>152</v>
      </c>
      <c r="J445" s="5" t="s">
        <v>557</v>
      </c>
      <c r="K445" s="5" t="s">
        <v>5246</v>
      </c>
      <c r="L445" s="5" t="s">
        <v>55</v>
      </c>
      <c r="M445" s="5" t="s">
        <v>185</v>
      </c>
      <c r="N445" s="5" t="s">
        <v>374</v>
      </c>
      <c r="O445" s="5" t="s">
        <v>187</v>
      </c>
      <c r="P445" s="5" t="s">
        <v>215</v>
      </c>
      <c r="Q445" s="5" t="s">
        <v>4920</v>
      </c>
      <c r="R445" s="5" t="s">
        <v>4881</v>
      </c>
      <c r="S445" s="5" t="s">
        <v>4882</v>
      </c>
      <c r="T445" s="5" t="s">
        <v>162</v>
      </c>
      <c r="U445" s="5" t="n">
        <v>90</v>
      </c>
      <c r="V445" s="5" t="s">
        <v>4883</v>
      </c>
      <c r="W445" s="5" t="s">
        <v>4884</v>
      </c>
      <c r="X445" s="5" t="s">
        <v>5247</v>
      </c>
      <c r="Y445" s="5" t="s">
        <v>5248</v>
      </c>
      <c r="Z445" s="5" t="s">
        <v>5249</v>
      </c>
      <c r="AA445" s="5"/>
      <c r="AB445" s="5"/>
      <c r="AC445" s="5"/>
      <c r="AD445" s="5"/>
      <c r="AE445" s="5"/>
      <c r="AF445" s="5" t="s">
        <v>5250</v>
      </c>
      <c r="AG445" s="5"/>
      <c r="AH445" s="5"/>
      <c r="AI445" s="5"/>
      <c r="AJ445" s="5"/>
      <c r="AK445" s="5" t="s">
        <v>5251</v>
      </c>
      <c r="AL445" s="5" t="s">
        <v>5250</v>
      </c>
      <c r="AM445" s="5"/>
      <c r="AN445" s="5"/>
      <c r="AO445" s="5"/>
      <c r="AP445" s="5" t="s">
        <v>5252</v>
      </c>
      <c r="AQ445" s="5"/>
      <c r="AR445" s="5" t="s">
        <v>351</v>
      </c>
      <c r="AS445" s="5"/>
      <c r="AT445" s="5"/>
      <c r="AU445" s="5"/>
      <c r="AV445" s="5" t="s">
        <v>178</v>
      </c>
      <c r="AW445" s="5" t="s">
        <v>4949</v>
      </c>
    </row>
    <row r="446" customFormat="false" ht="225.35" hidden="false" customHeight="false" outlineLevel="0" collapsed="false">
      <c r="A446" s="5" t="s">
        <v>5253</v>
      </c>
      <c r="B446" s="5" t="s">
        <v>5254</v>
      </c>
      <c r="C446" s="5" t="s">
        <v>5255</v>
      </c>
      <c r="D446" s="5" t="s">
        <v>5256</v>
      </c>
      <c r="E446" s="5" t="s">
        <v>149</v>
      </c>
      <c r="F446" s="5" t="s">
        <v>5257</v>
      </c>
      <c r="G446" s="5" t="s">
        <v>5258</v>
      </c>
      <c r="H446" s="5" t="n">
        <v>10</v>
      </c>
      <c r="I446" s="5" t="s">
        <v>152</v>
      </c>
      <c r="J446" s="5" t="s">
        <v>153</v>
      </c>
      <c r="K446" s="5" t="s">
        <v>5259</v>
      </c>
      <c r="L446" s="5" t="s">
        <v>30</v>
      </c>
      <c r="M446" s="5" t="s">
        <v>155</v>
      </c>
      <c r="N446" s="5" t="s">
        <v>2187</v>
      </c>
      <c r="O446" s="5" t="s">
        <v>157</v>
      </c>
      <c r="P446" s="5" t="s">
        <v>158</v>
      </c>
      <c r="Q446" s="5" t="s">
        <v>335</v>
      </c>
      <c r="R446" s="5" t="s">
        <v>335</v>
      </c>
      <c r="S446" s="5" t="s">
        <v>5260</v>
      </c>
      <c r="T446" s="5" t="s">
        <v>162</v>
      </c>
      <c r="U446" s="5" t="n">
        <v>365</v>
      </c>
      <c r="V446" s="5" t="s">
        <v>5261</v>
      </c>
      <c r="W446" s="5" t="s">
        <v>5262</v>
      </c>
      <c r="X446" s="5" t="s">
        <v>5263</v>
      </c>
      <c r="Y446" s="5" t="s">
        <v>5264</v>
      </c>
      <c r="Z446" s="5" t="s">
        <v>5265</v>
      </c>
      <c r="AA446" s="5" t="s">
        <v>5266</v>
      </c>
      <c r="AB446" s="5"/>
      <c r="AC446" s="5"/>
      <c r="AD446" s="5"/>
      <c r="AE446" s="5"/>
      <c r="AF446" s="5" t="s">
        <v>5267</v>
      </c>
      <c r="AG446" s="5" t="s">
        <v>5267</v>
      </c>
      <c r="AH446" s="5"/>
      <c r="AI446" s="5" t="s">
        <v>5268</v>
      </c>
      <c r="AJ446" s="5" t="s">
        <v>5269</v>
      </c>
      <c r="AK446" s="5" t="s">
        <v>5270</v>
      </c>
      <c r="AL446" s="5" t="s">
        <v>5267</v>
      </c>
      <c r="AM446" s="5"/>
      <c r="AN446" s="5" t="s">
        <v>5271</v>
      </c>
      <c r="AO446" s="5" t="s">
        <v>5272</v>
      </c>
      <c r="AP446" s="5"/>
      <c r="AQ446" s="5" t="s">
        <v>5267</v>
      </c>
      <c r="AR446" s="5" t="s">
        <v>1747</v>
      </c>
      <c r="AS446" s="5"/>
      <c r="AT446" s="5" t="s">
        <v>707</v>
      </c>
      <c r="AU446" s="5"/>
      <c r="AV446" s="5" t="s">
        <v>178</v>
      </c>
      <c r="AW446" s="5" t="s">
        <v>5273</v>
      </c>
    </row>
    <row r="447" customFormat="false" ht="113.4" hidden="false" customHeight="false" outlineLevel="0" collapsed="false">
      <c r="A447" s="5" t="s">
        <v>5274</v>
      </c>
      <c r="B447" s="5" t="s">
        <v>5275</v>
      </c>
      <c r="C447" s="5" t="s">
        <v>5255</v>
      </c>
      <c r="D447" s="5" t="s">
        <v>5256</v>
      </c>
      <c r="E447" s="5" t="s">
        <v>514</v>
      </c>
      <c r="F447" s="5" t="s">
        <v>5276</v>
      </c>
      <c r="G447" s="5" t="s">
        <v>5277</v>
      </c>
      <c r="H447" s="5" t="n">
        <v>9</v>
      </c>
      <c r="I447" s="5" t="s">
        <v>152</v>
      </c>
      <c r="J447" s="5" t="s">
        <v>153</v>
      </c>
      <c r="K447" s="5" t="s">
        <v>5278</v>
      </c>
      <c r="L447" s="5" t="s">
        <v>30</v>
      </c>
      <c r="M447" s="5" t="s">
        <v>155</v>
      </c>
      <c r="N447" s="5" t="s">
        <v>985</v>
      </c>
      <c r="O447" s="5" t="s">
        <v>157</v>
      </c>
      <c r="P447" s="5" t="s">
        <v>158</v>
      </c>
      <c r="Q447" s="5" t="s">
        <v>159</v>
      </c>
      <c r="R447" s="5" t="s">
        <v>335</v>
      </c>
      <c r="S447" s="5" t="s">
        <v>5260</v>
      </c>
      <c r="T447" s="5" t="s">
        <v>162</v>
      </c>
      <c r="U447" s="5" t="n">
        <v>365</v>
      </c>
      <c r="V447" s="5" t="s">
        <v>5261</v>
      </c>
      <c r="W447" s="5" t="s">
        <v>5262</v>
      </c>
      <c r="X447" s="5" t="s">
        <v>5279</v>
      </c>
      <c r="Y447" s="5" t="s">
        <v>5280</v>
      </c>
      <c r="Z447" s="5" t="s">
        <v>5281</v>
      </c>
      <c r="AA447" s="5"/>
      <c r="AB447" s="5"/>
      <c r="AC447" s="5"/>
      <c r="AD447" s="5"/>
      <c r="AE447" s="5"/>
      <c r="AF447" s="5"/>
      <c r="AG447" s="5"/>
      <c r="AH447" s="5"/>
      <c r="AI447" s="5" t="s">
        <v>5282</v>
      </c>
      <c r="AJ447" s="5"/>
      <c r="AK447" s="5"/>
      <c r="AL447" s="5"/>
      <c r="AM447" s="5"/>
      <c r="AN447" s="5"/>
      <c r="AO447" s="5" t="s">
        <v>5283</v>
      </c>
      <c r="AP447" s="5"/>
      <c r="AQ447" s="5"/>
      <c r="AR447" s="5"/>
      <c r="AS447" s="5"/>
      <c r="AT447" s="5"/>
      <c r="AU447" s="5"/>
      <c r="AV447" s="5" t="s">
        <v>178</v>
      </c>
      <c r="AW447" s="5" t="s">
        <v>5284</v>
      </c>
    </row>
    <row r="448" customFormat="false" ht="225.35" hidden="false" customHeight="false" outlineLevel="0" collapsed="false">
      <c r="A448" s="5" t="s">
        <v>5285</v>
      </c>
      <c r="B448" s="5" t="s">
        <v>5286</v>
      </c>
      <c r="C448" s="5" t="s">
        <v>5255</v>
      </c>
      <c r="D448" s="5" t="s">
        <v>5256</v>
      </c>
      <c r="E448" s="5" t="s">
        <v>626</v>
      </c>
      <c r="F448" s="5" t="s">
        <v>5287</v>
      </c>
      <c r="G448" s="5" t="s">
        <v>5288</v>
      </c>
      <c r="H448" s="5" t="n">
        <v>10</v>
      </c>
      <c r="I448" s="5" t="s">
        <v>152</v>
      </c>
      <c r="J448" s="5" t="s">
        <v>652</v>
      </c>
      <c r="K448" s="5" t="s">
        <v>5289</v>
      </c>
      <c r="L448" s="5" t="s">
        <v>30</v>
      </c>
      <c r="M448" s="5" t="s">
        <v>155</v>
      </c>
      <c r="N448" s="5" t="s">
        <v>5290</v>
      </c>
      <c r="O448" s="5" t="s">
        <v>157</v>
      </c>
      <c r="P448" s="5" t="s">
        <v>158</v>
      </c>
      <c r="Q448" s="5" t="s">
        <v>335</v>
      </c>
      <c r="R448" s="5" t="s">
        <v>335</v>
      </c>
      <c r="S448" s="5" t="s">
        <v>5260</v>
      </c>
      <c r="T448" s="5" t="s">
        <v>162</v>
      </c>
      <c r="U448" s="5" t="n">
        <v>180</v>
      </c>
      <c r="V448" s="5" t="s">
        <v>5261</v>
      </c>
      <c r="W448" s="5" t="s">
        <v>5262</v>
      </c>
      <c r="X448" s="5" t="s">
        <v>5291</v>
      </c>
      <c r="Y448" s="5" t="s">
        <v>5292</v>
      </c>
      <c r="Z448" s="5" t="s">
        <v>5293</v>
      </c>
      <c r="AA448" s="5" t="s">
        <v>5294</v>
      </c>
      <c r="AB448" s="5"/>
      <c r="AC448" s="5"/>
      <c r="AD448" s="5"/>
      <c r="AE448" s="5" t="s">
        <v>5295</v>
      </c>
      <c r="AF448" s="5" t="s">
        <v>1770</v>
      </c>
      <c r="AG448" s="5" t="s">
        <v>1770</v>
      </c>
      <c r="AH448" s="5"/>
      <c r="AI448" s="5" t="s">
        <v>5268</v>
      </c>
      <c r="AJ448" s="5" t="s">
        <v>5296</v>
      </c>
      <c r="AK448" s="5" t="s">
        <v>5297</v>
      </c>
      <c r="AL448" s="5" t="s">
        <v>1770</v>
      </c>
      <c r="AM448" s="5"/>
      <c r="AN448" s="5" t="s">
        <v>1772</v>
      </c>
      <c r="AO448" s="5" t="s">
        <v>5283</v>
      </c>
      <c r="AP448" s="5"/>
      <c r="AQ448" s="5" t="s">
        <v>1770</v>
      </c>
      <c r="AR448" s="5" t="s">
        <v>1774</v>
      </c>
      <c r="AS448" s="5"/>
      <c r="AT448" s="5" t="s">
        <v>5298</v>
      </c>
      <c r="AU448" s="5"/>
      <c r="AV448" s="5" t="s">
        <v>178</v>
      </c>
      <c r="AW448" s="5" t="s">
        <v>5273</v>
      </c>
    </row>
    <row r="449" customFormat="false" ht="124.6" hidden="false" customHeight="false" outlineLevel="0" collapsed="false">
      <c r="A449" s="5" t="s">
        <v>5299</v>
      </c>
      <c r="B449" s="5" t="s">
        <v>5300</v>
      </c>
      <c r="C449" s="5" t="s">
        <v>5255</v>
      </c>
      <c r="D449" s="5" t="s">
        <v>5256</v>
      </c>
      <c r="E449" s="5" t="s">
        <v>626</v>
      </c>
      <c r="F449" s="5" t="s">
        <v>5301</v>
      </c>
      <c r="G449" s="5" t="s">
        <v>5302</v>
      </c>
      <c r="H449" s="5" t="n">
        <v>9</v>
      </c>
      <c r="I449" s="5" t="s">
        <v>152</v>
      </c>
      <c r="J449" s="5" t="s">
        <v>153</v>
      </c>
      <c r="K449" s="5"/>
      <c r="L449" s="5" t="s">
        <v>30</v>
      </c>
      <c r="M449" s="5" t="s">
        <v>155</v>
      </c>
      <c r="N449" s="5" t="s">
        <v>1030</v>
      </c>
      <c r="O449" s="5" t="s">
        <v>157</v>
      </c>
      <c r="P449" s="5" t="s">
        <v>158</v>
      </c>
      <c r="Q449" s="5" t="s">
        <v>159</v>
      </c>
      <c r="R449" s="5" t="s">
        <v>335</v>
      </c>
      <c r="S449" s="5" t="s">
        <v>5260</v>
      </c>
      <c r="T449" s="5" t="s">
        <v>162</v>
      </c>
      <c r="U449" s="5" t="n">
        <v>365</v>
      </c>
      <c r="V449" s="5" t="s">
        <v>5261</v>
      </c>
      <c r="W449" s="5" t="s">
        <v>5262</v>
      </c>
      <c r="X449" s="5" t="s">
        <v>5303</v>
      </c>
      <c r="Y449" s="5" t="s">
        <v>5304</v>
      </c>
      <c r="Z449" s="5" t="s">
        <v>5305</v>
      </c>
      <c r="AA449" s="5"/>
      <c r="AB449" s="5"/>
      <c r="AC449" s="5"/>
      <c r="AD449" s="5"/>
      <c r="AE449" s="5"/>
      <c r="AF449" s="5" t="s">
        <v>5306</v>
      </c>
      <c r="AG449" s="5" t="s">
        <v>5306</v>
      </c>
      <c r="AH449" s="5"/>
      <c r="AI449" s="5"/>
      <c r="AJ449" s="5"/>
      <c r="AK449" s="5"/>
      <c r="AL449" s="5" t="s">
        <v>5306</v>
      </c>
      <c r="AM449" s="5" t="s">
        <v>5306</v>
      </c>
      <c r="AN449" s="5"/>
      <c r="AO449" s="5"/>
      <c r="AP449" s="5"/>
      <c r="AQ449" s="5"/>
      <c r="AR449" s="5" t="s">
        <v>1774</v>
      </c>
      <c r="AS449" s="5"/>
      <c r="AT449" s="5"/>
      <c r="AU449" s="5"/>
      <c r="AV449" s="5"/>
      <c r="AW449" s="5" t="s">
        <v>5284</v>
      </c>
    </row>
    <row r="450" customFormat="false" ht="202.95" hidden="false" customHeight="false" outlineLevel="0" collapsed="false">
      <c r="A450" s="5" t="s">
        <v>5307</v>
      </c>
      <c r="B450" s="5" t="s">
        <v>5308</v>
      </c>
      <c r="C450" s="5" t="s">
        <v>5255</v>
      </c>
      <c r="D450" s="5" t="s">
        <v>5256</v>
      </c>
      <c r="E450" s="5" t="s">
        <v>626</v>
      </c>
      <c r="F450" s="5" t="s">
        <v>5309</v>
      </c>
      <c r="G450" s="5" t="s">
        <v>5310</v>
      </c>
      <c r="H450" s="5" t="n">
        <v>9</v>
      </c>
      <c r="I450" s="5" t="s">
        <v>152</v>
      </c>
      <c r="J450" s="5" t="s">
        <v>652</v>
      </c>
      <c r="K450" s="5"/>
      <c r="L450" s="5" t="s">
        <v>30</v>
      </c>
      <c r="M450" s="5" t="s">
        <v>155</v>
      </c>
      <c r="N450" s="5" t="s">
        <v>5311</v>
      </c>
      <c r="O450" s="5" t="s">
        <v>157</v>
      </c>
      <c r="P450" s="5" t="s">
        <v>158</v>
      </c>
      <c r="Q450" s="5" t="s">
        <v>335</v>
      </c>
      <c r="R450" s="5" t="s">
        <v>335</v>
      </c>
      <c r="S450" s="5" t="s">
        <v>5260</v>
      </c>
      <c r="T450" s="5" t="s">
        <v>162</v>
      </c>
      <c r="U450" s="5" t="n">
        <v>180</v>
      </c>
      <c r="V450" s="5" t="s">
        <v>5261</v>
      </c>
      <c r="W450" s="5" t="s">
        <v>5262</v>
      </c>
      <c r="X450" s="5" t="s">
        <v>5312</v>
      </c>
      <c r="Y450" s="5" t="s">
        <v>5313</v>
      </c>
      <c r="Z450" s="5" t="s">
        <v>5314</v>
      </c>
      <c r="AA450" s="5"/>
      <c r="AB450" s="5"/>
      <c r="AC450" s="5"/>
      <c r="AD450" s="5"/>
      <c r="AE450" s="5"/>
      <c r="AF450" s="5" t="s">
        <v>5315</v>
      </c>
      <c r="AG450" s="5"/>
      <c r="AH450" s="5"/>
      <c r="AI450" s="5" t="s">
        <v>5282</v>
      </c>
      <c r="AJ450" s="5"/>
      <c r="AK450" s="5"/>
      <c r="AL450" s="5" t="s">
        <v>5315</v>
      </c>
      <c r="AM450" s="5"/>
      <c r="AN450" s="5"/>
      <c r="AO450" s="5" t="s">
        <v>5272</v>
      </c>
      <c r="AP450" s="5"/>
      <c r="AQ450" s="5" t="s">
        <v>5316</v>
      </c>
      <c r="AR450" s="5" t="s">
        <v>5317</v>
      </c>
      <c r="AS450" s="5"/>
      <c r="AT450" s="5" t="s">
        <v>5298</v>
      </c>
      <c r="AU450" s="5"/>
      <c r="AV450" s="5"/>
      <c r="AW450" s="5" t="s">
        <v>5318</v>
      </c>
    </row>
    <row r="451" customFormat="false" ht="135.8" hidden="false" customHeight="false" outlineLevel="0" collapsed="false">
      <c r="A451" s="5" t="s">
        <v>5319</v>
      </c>
      <c r="B451" s="5" t="s">
        <v>5320</v>
      </c>
      <c r="C451" s="5" t="s">
        <v>5255</v>
      </c>
      <c r="D451" s="5" t="s">
        <v>5256</v>
      </c>
      <c r="E451" s="5" t="s">
        <v>514</v>
      </c>
      <c r="F451" s="5" t="s">
        <v>5321</v>
      </c>
      <c r="G451" s="5" t="s">
        <v>5322</v>
      </c>
      <c r="H451" s="5" t="n">
        <v>7</v>
      </c>
      <c r="I451" s="5" t="s">
        <v>152</v>
      </c>
      <c r="J451" s="5" t="s">
        <v>153</v>
      </c>
      <c r="K451" s="5" t="s">
        <v>5323</v>
      </c>
      <c r="L451" s="5" t="s">
        <v>30</v>
      </c>
      <c r="M451" s="5" t="s">
        <v>155</v>
      </c>
      <c r="N451" s="5" t="s">
        <v>5324</v>
      </c>
      <c r="O451" s="5" t="s">
        <v>157</v>
      </c>
      <c r="P451" s="5" t="s">
        <v>215</v>
      </c>
      <c r="Q451" s="5" t="s">
        <v>335</v>
      </c>
      <c r="R451" s="5" t="s">
        <v>335</v>
      </c>
      <c r="S451" s="5" t="s">
        <v>5260</v>
      </c>
      <c r="T451" s="5" t="s">
        <v>162</v>
      </c>
      <c r="U451" s="5" t="n">
        <v>365</v>
      </c>
      <c r="V451" s="5" t="s">
        <v>5261</v>
      </c>
      <c r="W451" s="5" t="s">
        <v>5262</v>
      </c>
      <c r="X451" s="5" t="s">
        <v>5325</v>
      </c>
      <c r="Y451" s="5" t="s">
        <v>5326</v>
      </c>
      <c r="Z451" s="5" t="s">
        <v>5327</v>
      </c>
      <c r="AA451" s="5" t="s">
        <v>5328</v>
      </c>
      <c r="AB451" s="5"/>
      <c r="AC451" s="5"/>
      <c r="AD451" s="5"/>
      <c r="AE451" s="5" t="s">
        <v>2869</v>
      </c>
      <c r="AF451" s="5"/>
      <c r="AG451" s="5"/>
      <c r="AH451" s="5"/>
      <c r="AI451" s="5"/>
      <c r="AJ451" s="5"/>
      <c r="AK451" s="5" t="s">
        <v>1771</v>
      </c>
      <c r="AL451" s="5"/>
      <c r="AM451" s="5"/>
      <c r="AN451" s="5"/>
      <c r="AO451" s="5"/>
      <c r="AP451" s="5"/>
      <c r="AQ451" s="5"/>
      <c r="AR451" s="5"/>
      <c r="AS451" s="5"/>
      <c r="AT451" s="5"/>
      <c r="AU451" s="5"/>
      <c r="AV451" s="5" t="s">
        <v>178</v>
      </c>
      <c r="AW451" s="5" t="s">
        <v>5329</v>
      </c>
    </row>
    <row r="452" customFormat="false" ht="225.35" hidden="false" customHeight="false" outlineLevel="0" collapsed="false">
      <c r="A452" s="5" t="s">
        <v>5330</v>
      </c>
      <c r="B452" s="5" t="s">
        <v>5331</v>
      </c>
      <c r="C452" s="5" t="s">
        <v>5255</v>
      </c>
      <c r="D452" s="5" t="s">
        <v>5256</v>
      </c>
      <c r="E452" s="5" t="s">
        <v>514</v>
      </c>
      <c r="F452" s="5" t="s">
        <v>5332</v>
      </c>
      <c r="G452" s="5" t="s">
        <v>5333</v>
      </c>
      <c r="H452" s="5" t="n">
        <v>7</v>
      </c>
      <c r="I452" s="5" t="s">
        <v>152</v>
      </c>
      <c r="J452" s="5" t="s">
        <v>153</v>
      </c>
      <c r="K452" s="5" t="s">
        <v>5334</v>
      </c>
      <c r="L452" s="5" t="s">
        <v>30</v>
      </c>
      <c r="M452" s="5" t="s">
        <v>155</v>
      </c>
      <c r="N452" s="5" t="s">
        <v>5335</v>
      </c>
      <c r="O452" s="5" t="s">
        <v>157</v>
      </c>
      <c r="P452" s="5" t="s">
        <v>158</v>
      </c>
      <c r="Q452" s="5" t="s">
        <v>399</v>
      </c>
      <c r="R452" s="5" t="s">
        <v>335</v>
      </c>
      <c r="S452" s="5" t="s">
        <v>5260</v>
      </c>
      <c r="T452" s="5" t="s">
        <v>162</v>
      </c>
      <c r="U452" s="5" t="n">
        <v>365</v>
      </c>
      <c r="V452" s="5" t="s">
        <v>5261</v>
      </c>
      <c r="W452" s="5" t="s">
        <v>5262</v>
      </c>
      <c r="X452" s="5" t="s">
        <v>5336</v>
      </c>
      <c r="Y452" s="5" t="s">
        <v>5337</v>
      </c>
      <c r="Z452" s="5" t="s">
        <v>5338</v>
      </c>
      <c r="AA452" s="5"/>
      <c r="AB452" s="5"/>
      <c r="AC452" s="5"/>
      <c r="AD452" s="5"/>
      <c r="AE452" s="5" t="s">
        <v>5339</v>
      </c>
      <c r="AF452" s="5" t="s">
        <v>5340</v>
      </c>
      <c r="AG452" s="5" t="s">
        <v>5340</v>
      </c>
      <c r="AH452" s="5"/>
      <c r="AI452" s="5"/>
      <c r="AJ452" s="5"/>
      <c r="AK452" s="5"/>
      <c r="AL452" s="5" t="s">
        <v>5340</v>
      </c>
      <c r="AM452" s="5"/>
      <c r="AN452" s="5" t="s">
        <v>723</v>
      </c>
      <c r="AO452" s="5"/>
      <c r="AP452" s="5" t="s">
        <v>5341</v>
      </c>
      <c r="AQ452" s="5" t="s">
        <v>5340</v>
      </c>
      <c r="AR452" s="5" t="s">
        <v>1933</v>
      </c>
      <c r="AS452" s="5"/>
      <c r="AT452" s="5"/>
      <c r="AU452" s="5"/>
      <c r="AV452" s="5" t="s">
        <v>178</v>
      </c>
      <c r="AW452" s="5" t="s">
        <v>5342</v>
      </c>
    </row>
    <row r="453" customFormat="false" ht="124.6" hidden="false" customHeight="false" outlineLevel="0" collapsed="false">
      <c r="A453" s="5" t="s">
        <v>5343</v>
      </c>
      <c r="B453" s="5" t="s">
        <v>5344</v>
      </c>
      <c r="C453" s="5" t="s">
        <v>5255</v>
      </c>
      <c r="D453" s="5" t="s">
        <v>5256</v>
      </c>
      <c r="E453" s="5" t="s">
        <v>626</v>
      </c>
      <c r="F453" s="5" t="s">
        <v>5345</v>
      </c>
      <c r="G453" s="5" t="s">
        <v>5346</v>
      </c>
      <c r="H453" s="5" t="n">
        <v>5</v>
      </c>
      <c r="I453" s="5" t="s">
        <v>152</v>
      </c>
      <c r="J453" s="5" t="s">
        <v>153</v>
      </c>
      <c r="K453" s="5"/>
      <c r="L453" s="5" t="s">
        <v>30</v>
      </c>
      <c r="M453" s="5" t="s">
        <v>155</v>
      </c>
      <c r="N453" s="5" t="s">
        <v>619</v>
      </c>
      <c r="O453" s="5" t="s">
        <v>157</v>
      </c>
      <c r="P453" s="5" t="s">
        <v>158</v>
      </c>
      <c r="Q453" s="5" t="s">
        <v>227</v>
      </c>
      <c r="R453" s="5" t="s">
        <v>335</v>
      </c>
      <c r="S453" s="5" t="s">
        <v>5260</v>
      </c>
      <c r="T453" s="5" t="s">
        <v>162</v>
      </c>
      <c r="U453" s="5" t="n">
        <v>365</v>
      </c>
      <c r="V453" s="5" t="s">
        <v>5261</v>
      </c>
      <c r="W453" s="5" t="s">
        <v>5262</v>
      </c>
      <c r="X453" s="5" t="s">
        <v>5347</v>
      </c>
      <c r="Y453" s="5" t="s">
        <v>5348</v>
      </c>
      <c r="Z453" s="5" t="s">
        <v>5349</v>
      </c>
      <c r="AA453" s="5"/>
      <c r="AB453" s="5"/>
      <c r="AC453" s="5"/>
      <c r="AD453" s="5"/>
      <c r="AE453" s="5"/>
      <c r="AF453" s="5" t="s">
        <v>5340</v>
      </c>
      <c r="AG453" s="5" t="s">
        <v>5340</v>
      </c>
      <c r="AH453" s="5"/>
      <c r="AI453" s="5"/>
      <c r="AJ453" s="5"/>
      <c r="AK453" s="5"/>
      <c r="AL453" s="5" t="s">
        <v>5340</v>
      </c>
      <c r="AM453" s="5"/>
      <c r="AN453" s="5" t="s">
        <v>723</v>
      </c>
      <c r="AO453" s="5"/>
      <c r="AP453" s="5"/>
      <c r="AQ453" s="5" t="s">
        <v>5340</v>
      </c>
      <c r="AR453" s="5" t="s">
        <v>1933</v>
      </c>
      <c r="AS453" s="5"/>
      <c r="AT453" s="5"/>
      <c r="AU453" s="5"/>
      <c r="AV453" s="5" t="s">
        <v>178</v>
      </c>
      <c r="AW453" s="5" t="s">
        <v>5350</v>
      </c>
    </row>
    <row r="454" customFormat="false" ht="124.6" hidden="false" customHeight="false" outlineLevel="0" collapsed="false">
      <c r="A454" s="5" t="s">
        <v>5351</v>
      </c>
      <c r="B454" s="5" t="s">
        <v>5352</v>
      </c>
      <c r="C454" s="5" t="s">
        <v>5255</v>
      </c>
      <c r="D454" s="5" t="s">
        <v>5256</v>
      </c>
      <c r="E454" s="5" t="s">
        <v>626</v>
      </c>
      <c r="F454" s="5" t="s">
        <v>5353</v>
      </c>
      <c r="G454" s="5" t="s">
        <v>5354</v>
      </c>
      <c r="H454" s="5" t="n">
        <v>7</v>
      </c>
      <c r="I454" s="5" t="s">
        <v>152</v>
      </c>
      <c r="J454" s="5" t="s">
        <v>153</v>
      </c>
      <c r="K454" s="5" t="s">
        <v>5355</v>
      </c>
      <c r="L454" s="5" t="s">
        <v>55</v>
      </c>
      <c r="M454" s="5" t="s">
        <v>185</v>
      </c>
      <c r="N454" s="5" t="s">
        <v>5356</v>
      </c>
      <c r="O454" s="5" t="s">
        <v>187</v>
      </c>
      <c r="P454" s="5" t="s">
        <v>158</v>
      </c>
      <c r="Q454" s="5" t="s">
        <v>519</v>
      </c>
      <c r="R454" s="5" t="s">
        <v>335</v>
      </c>
      <c r="S454" s="5" t="s">
        <v>5260</v>
      </c>
      <c r="T454" s="5" t="s">
        <v>162</v>
      </c>
      <c r="U454" s="5" t="n">
        <v>365</v>
      </c>
      <c r="V454" s="5" t="s">
        <v>5261</v>
      </c>
      <c r="W454" s="5" t="s">
        <v>5262</v>
      </c>
      <c r="X454" s="5" t="s">
        <v>5357</v>
      </c>
      <c r="Y454" s="5" t="s">
        <v>5358</v>
      </c>
      <c r="Z454" s="5" t="s">
        <v>5359</v>
      </c>
      <c r="AA454" s="5"/>
      <c r="AB454" s="5"/>
      <c r="AC454" s="5"/>
      <c r="AD454" s="5"/>
      <c r="AE454" s="5"/>
      <c r="AF454" s="5"/>
      <c r="AG454" s="5"/>
      <c r="AH454" s="5"/>
      <c r="AI454" s="5"/>
      <c r="AJ454" s="5"/>
      <c r="AK454" s="5" t="s">
        <v>1714</v>
      </c>
      <c r="AL454" s="5"/>
      <c r="AM454" s="5"/>
      <c r="AN454" s="5"/>
      <c r="AO454" s="5" t="s">
        <v>5360</v>
      </c>
      <c r="AP454" s="5" t="s">
        <v>5361</v>
      </c>
      <c r="AQ454" s="5"/>
      <c r="AR454" s="5"/>
      <c r="AS454" s="5"/>
      <c r="AT454" s="5"/>
      <c r="AU454" s="5"/>
      <c r="AV454" s="5" t="s">
        <v>178</v>
      </c>
      <c r="AW454" s="5" t="s">
        <v>5362</v>
      </c>
    </row>
    <row r="455" customFormat="false" ht="158.2" hidden="false" customHeight="false" outlineLevel="0" collapsed="false">
      <c r="A455" s="5" t="s">
        <v>5363</v>
      </c>
      <c r="B455" s="5" t="s">
        <v>5364</v>
      </c>
      <c r="C455" s="5" t="s">
        <v>5255</v>
      </c>
      <c r="D455" s="5" t="s">
        <v>5256</v>
      </c>
      <c r="E455" s="5" t="s">
        <v>626</v>
      </c>
      <c r="F455" s="5" t="s">
        <v>5365</v>
      </c>
      <c r="G455" s="5" t="s">
        <v>5366</v>
      </c>
      <c r="H455" s="5" t="n">
        <v>10</v>
      </c>
      <c r="I455" s="5" t="s">
        <v>152</v>
      </c>
      <c r="J455" s="5" t="s">
        <v>153</v>
      </c>
      <c r="K455" s="5"/>
      <c r="L455" s="5" t="s">
        <v>30</v>
      </c>
      <c r="M455" s="5" t="s">
        <v>155</v>
      </c>
      <c r="N455" s="5" t="s">
        <v>5367</v>
      </c>
      <c r="O455" s="5" t="s">
        <v>157</v>
      </c>
      <c r="P455" s="5" t="s">
        <v>158</v>
      </c>
      <c r="Q455" s="5" t="s">
        <v>399</v>
      </c>
      <c r="R455" s="5" t="s">
        <v>335</v>
      </c>
      <c r="S455" s="5" t="s">
        <v>5260</v>
      </c>
      <c r="T455" s="5" t="s">
        <v>162</v>
      </c>
      <c r="U455" s="5" t="n">
        <v>365</v>
      </c>
      <c r="V455" s="5" t="s">
        <v>5261</v>
      </c>
      <c r="W455" s="5" t="s">
        <v>5262</v>
      </c>
      <c r="X455" s="5" t="s">
        <v>5368</v>
      </c>
      <c r="Y455" s="5" t="s">
        <v>5369</v>
      </c>
      <c r="Z455" s="5" t="s">
        <v>5370</v>
      </c>
      <c r="AA455" s="5" t="s">
        <v>5371</v>
      </c>
      <c r="AB455" s="5"/>
      <c r="AC455" s="5"/>
      <c r="AD455" s="5"/>
      <c r="AE455" s="5"/>
      <c r="AF455" s="5" t="s">
        <v>5316</v>
      </c>
      <c r="AG455" s="5"/>
      <c r="AH455" s="5"/>
      <c r="AI455" s="5"/>
      <c r="AJ455" s="5"/>
      <c r="AK455" s="5"/>
      <c r="AL455" s="5" t="s">
        <v>5316</v>
      </c>
      <c r="AM455" s="5"/>
      <c r="AN455" s="5"/>
      <c r="AO455" s="5"/>
      <c r="AP455" s="5"/>
      <c r="AQ455" s="5" t="s">
        <v>5316</v>
      </c>
      <c r="AR455" s="5" t="s">
        <v>687</v>
      </c>
      <c r="AS455" s="5"/>
      <c r="AT455" s="5" t="s">
        <v>5372</v>
      </c>
      <c r="AU455" s="5"/>
      <c r="AV455" s="5"/>
      <c r="AW455" s="5" t="s">
        <v>5373</v>
      </c>
    </row>
    <row r="456" customFormat="false" ht="270.1" hidden="false" customHeight="false" outlineLevel="0" collapsed="false">
      <c r="A456" s="5" t="s">
        <v>5374</v>
      </c>
      <c r="B456" s="5" t="s">
        <v>5375</v>
      </c>
      <c r="C456" s="5" t="s">
        <v>5255</v>
      </c>
      <c r="D456" s="5" t="s">
        <v>5256</v>
      </c>
      <c r="E456" s="5" t="s">
        <v>600</v>
      </c>
      <c r="F456" s="5" t="s">
        <v>5376</v>
      </c>
      <c r="G456" s="5" t="s">
        <v>5377</v>
      </c>
      <c r="H456" s="5" t="n">
        <v>9</v>
      </c>
      <c r="I456" s="5" t="s">
        <v>152</v>
      </c>
      <c r="J456" s="5" t="s">
        <v>153</v>
      </c>
      <c r="K456" s="5" t="s">
        <v>5378</v>
      </c>
      <c r="L456" s="5" t="s">
        <v>30</v>
      </c>
      <c r="M456" s="5" t="s">
        <v>155</v>
      </c>
      <c r="N456" s="5" t="s">
        <v>258</v>
      </c>
      <c r="O456" s="5" t="s">
        <v>157</v>
      </c>
      <c r="P456" s="5" t="s">
        <v>158</v>
      </c>
      <c r="Q456" s="5" t="s">
        <v>335</v>
      </c>
      <c r="R456" s="5" t="s">
        <v>335</v>
      </c>
      <c r="S456" s="5" t="s">
        <v>5260</v>
      </c>
      <c r="T456" s="5" t="s">
        <v>162</v>
      </c>
      <c r="U456" s="5" t="n">
        <v>365</v>
      </c>
      <c r="V456" s="5" t="s">
        <v>5261</v>
      </c>
      <c r="W456" s="5" t="s">
        <v>5262</v>
      </c>
      <c r="X456" s="5" t="s">
        <v>5379</v>
      </c>
      <c r="Y456" s="5" t="s">
        <v>5380</v>
      </c>
      <c r="Z456" s="5" t="s">
        <v>5381</v>
      </c>
      <c r="AA456" s="5"/>
      <c r="AB456" s="5"/>
      <c r="AC456" s="5"/>
      <c r="AD456" s="5"/>
      <c r="AE456" s="5"/>
      <c r="AF456" s="5" t="s">
        <v>5382</v>
      </c>
      <c r="AG456" s="5" t="s">
        <v>5383</v>
      </c>
      <c r="AH456" s="5" t="s">
        <v>5384</v>
      </c>
      <c r="AI456" s="5"/>
      <c r="AJ456" s="5" t="s">
        <v>5385</v>
      </c>
      <c r="AK456" s="5" t="s">
        <v>5297</v>
      </c>
      <c r="AL456" s="5" t="s">
        <v>5382</v>
      </c>
      <c r="AM456" s="5"/>
      <c r="AN456" s="5" t="s">
        <v>5386</v>
      </c>
      <c r="AO456" s="5"/>
      <c r="AP456" s="5" t="s">
        <v>5387</v>
      </c>
      <c r="AQ456" s="5" t="s">
        <v>5383</v>
      </c>
      <c r="AR456" s="5" t="s">
        <v>5388</v>
      </c>
      <c r="AS456" s="5"/>
      <c r="AT456" s="5"/>
      <c r="AU456" s="5"/>
      <c r="AV456" s="5" t="s">
        <v>178</v>
      </c>
      <c r="AW456" s="5" t="s">
        <v>5389</v>
      </c>
    </row>
    <row r="457" customFormat="false" ht="236.55" hidden="false" customHeight="false" outlineLevel="0" collapsed="false">
      <c r="A457" s="5" t="s">
        <v>5390</v>
      </c>
      <c r="B457" s="5" t="s">
        <v>5391</v>
      </c>
      <c r="C457" s="5" t="s">
        <v>5255</v>
      </c>
      <c r="D457" s="5" t="s">
        <v>5256</v>
      </c>
      <c r="E457" s="5" t="s">
        <v>626</v>
      </c>
      <c r="F457" s="5" t="s">
        <v>5392</v>
      </c>
      <c r="G457" s="5" t="s">
        <v>5393</v>
      </c>
      <c r="H457" s="5" t="n">
        <v>8</v>
      </c>
      <c r="I457" s="5" t="s">
        <v>152</v>
      </c>
      <c r="J457" s="5" t="s">
        <v>153</v>
      </c>
      <c r="K457" s="5"/>
      <c r="L457" s="5" t="s">
        <v>30</v>
      </c>
      <c r="M457" s="5" t="s">
        <v>155</v>
      </c>
      <c r="N457" s="5" t="s">
        <v>5394</v>
      </c>
      <c r="O457" s="5" t="s">
        <v>157</v>
      </c>
      <c r="P457" s="5" t="s">
        <v>158</v>
      </c>
      <c r="Q457" s="5" t="s">
        <v>605</v>
      </c>
      <c r="R457" s="5" t="s">
        <v>335</v>
      </c>
      <c r="S457" s="5" t="s">
        <v>5260</v>
      </c>
      <c r="T457" s="5" t="s">
        <v>162</v>
      </c>
      <c r="U457" s="5" t="n">
        <v>365</v>
      </c>
      <c r="V457" s="5" t="s">
        <v>5261</v>
      </c>
      <c r="W457" s="5" t="s">
        <v>5262</v>
      </c>
      <c r="X457" s="5" t="s">
        <v>5395</v>
      </c>
      <c r="Y457" s="5" t="s">
        <v>5396</v>
      </c>
      <c r="Z457" s="5" t="s">
        <v>5397</v>
      </c>
      <c r="AA457" s="5" t="s">
        <v>5398</v>
      </c>
      <c r="AB457" s="5"/>
      <c r="AC457" s="5"/>
      <c r="AD457" s="5"/>
      <c r="AE457" s="5"/>
      <c r="AF457" s="5" t="s">
        <v>5399</v>
      </c>
      <c r="AG457" s="5" t="s">
        <v>5399</v>
      </c>
      <c r="AH457" s="5"/>
      <c r="AI457" s="5" t="s">
        <v>1424</v>
      </c>
      <c r="AJ457" s="5"/>
      <c r="AK457" s="5"/>
      <c r="AL457" s="5" t="s">
        <v>5399</v>
      </c>
      <c r="AM457" s="5" t="s">
        <v>5400</v>
      </c>
      <c r="AN457" s="5" t="s">
        <v>1772</v>
      </c>
      <c r="AO457" s="5" t="s">
        <v>5401</v>
      </c>
      <c r="AP457" s="5"/>
      <c r="AQ457" s="5" t="s">
        <v>1770</v>
      </c>
      <c r="AR457" s="5" t="s">
        <v>5402</v>
      </c>
      <c r="AS457" s="5"/>
      <c r="AT457" s="5"/>
      <c r="AU457" s="5"/>
      <c r="AV457" s="5" t="s">
        <v>178</v>
      </c>
      <c r="AW457" s="5" t="s">
        <v>5318</v>
      </c>
    </row>
    <row r="458" customFormat="false" ht="180.55" hidden="false" customHeight="false" outlineLevel="0" collapsed="false">
      <c r="A458" s="5" t="s">
        <v>5403</v>
      </c>
      <c r="B458" s="5" t="s">
        <v>5404</v>
      </c>
      <c r="C458" s="5" t="s">
        <v>5255</v>
      </c>
      <c r="D458" s="5" t="s">
        <v>5256</v>
      </c>
      <c r="E458" s="5" t="s">
        <v>626</v>
      </c>
      <c r="F458" s="5" t="s">
        <v>5405</v>
      </c>
      <c r="G458" s="5" t="s">
        <v>5406</v>
      </c>
      <c r="H458" s="5" t="n">
        <v>10</v>
      </c>
      <c r="I458" s="5" t="s">
        <v>152</v>
      </c>
      <c r="J458" s="5" t="s">
        <v>153</v>
      </c>
      <c r="K458" s="5"/>
      <c r="L458" s="5" t="s">
        <v>30</v>
      </c>
      <c r="M458" s="5" t="s">
        <v>155</v>
      </c>
      <c r="N458" s="5" t="s">
        <v>5407</v>
      </c>
      <c r="O458" s="5" t="s">
        <v>157</v>
      </c>
      <c r="P458" s="5" t="s">
        <v>158</v>
      </c>
      <c r="Q458" s="5" t="s">
        <v>159</v>
      </c>
      <c r="R458" s="5" t="s">
        <v>335</v>
      </c>
      <c r="S458" s="5" t="s">
        <v>5260</v>
      </c>
      <c r="T458" s="5" t="s">
        <v>162</v>
      </c>
      <c r="U458" s="5" t="n">
        <v>365</v>
      </c>
      <c r="V458" s="5" t="s">
        <v>5261</v>
      </c>
      <c r="W458" s="5" t="s">
        <v>5262</v>
      </c>
      <c r="X458" s="5" t="s">
        <v>5408</v>
      </c>
      <c r="Y458" s="5" t="s">
        <v>5409</v>
      </c>
      <c r="Z458" s="5" t="s">
        <v>5410</v>
      </c>
      <c r="AA458" s="5"/>
      <c r="AB458" s="5"/>
      <c r="AC458" s="5"/>
      <c r="AD458" s="5"/>
      <c r="AE458" s="5"/>
      <c r="AF458" s="5" t="s">
        <v>5411</v>
      </c>
      <c r="AG458" s="5" t="s">
        <v>5411</v>
      </c>
      <c r="AH458" s="5"/>
      <c r="AI458" s="5" t="s">
        <v>1424</v>
      </c>
      <c r="AJ458" s="5"/>
      <c r="AK458" s="5"/>
      <c r="AL458" s="5" t="s">
        <v>5411</v>
      </c>
      <c r="AM458" s="5"/>
      <c r="AN458" s="5" t="s">
        <v>5412</v>
      </c>
      <c r="AO458" s="5" t="s">
        <v>5401</v>
      </c>
      <c r="AP458" s="5"/>
      <c r="AQ458" s="5" t="s">
        <v>5411</v>
      </c>
      <c r="AR458" s="5" t="s">
        <v>1774</v>
      </c>
      <c r="AS458" s="5"/>
      <c r="AT458" s="5"/>
      <c r="AU458" s="5"/>
      <c r="AV458" s="5" t="s">
        <v>178</v>
      </c>
      <c r="AW458" s="5" t="s">
        <v>5284</v>
      </c>
    </row>
    <row r="459" customFormat="false" ht="202.95" hidden="false" customHeight="false" outlineLevel="0" collapsed="false">
      <c r="A459" s="5" t="s">
        <v>5413</v>
      </c>
      <c r="B459" s="5" t="s">
        <v>5414</v>
      </c>
      <c r="C459" s="5" t="s">
        <v>5415</v>
      </c>
      <c r="D459" s="5" t="s">
        <v>5416</v>
      </c>
      <c r="E459" s="5" t="s">
        <v>149</v>
      </c>
      <c r="F459" s="5" t="s">
        <v>5417</v>
      </c>
      <c r="G459" s="5" t="s">
        <v>5418</v>
      </c>
      <c r="H459" s="5" t="n">
        <v>9</v>
      </c>
      <c r="I459" s="5" t="s">
        <v>152</v>
      </c>
      <c r="J459" s="5" t="s">
        <v>153</v>
      </c>
      <c r="K459" s="5" t="s">
        <v>5419</v>
      </c>
      <c r="L459" s="5" t="s">
        <v>30</v>
      </c>
      <c r="M459" s="5" t="s">
        <v>155</v>
      </c>
      <c r="N459" s="5" t="s">
        <v>5420</v>
      </c>
      <c r="O459" s="5" t="s">
        <v>157</v>
      </c>
      <c r="P459" s="5" t="s">
        <v>158</v>
      </c>
      <c r="Q459" s="5" t="s">
        <v>227</v>
      </c>
      <c r="R459" s="5" t="s">
        <v>5421</v>
      </c>
      <c r="S459" s="5" t="s">
        <v>5422</v>
      </c>
      <c r="T459" s="5" t="s">
        <v>162</v>
      </c>
      <c r="U459" s="5" t="n">
        <v>365</v>
      </c>
      <c r="V459" s="5" t="s">
        <v>5423</v>
      </c>
      <c r="W459" s="5" t="s">
        <v>5424</v>
      </c>
      <c r="X459" s="5" t="s">
        <v>5425</v>
      </c>
      <c r="Y459" s="5" t="s">
        <v>5426</v>
      </c>
      <c r="Z459" s="5" t="s">
        <v>5427</v>
      </c>
      <c r="AA459" s="5"/>
      <c r="AB459" s="5"/>
      <c r="AC459" s="5"/>
      <c r="AD459" s="5"/>
      <c r="AE459" s="5"/>
      <c r="AF459" s="5" t="s">
        <v>5428</v>
      </c>
      <c r="AG459" s="5" t="s">
        <v>5428</v>
      </c>
      <c r="AH459" s="5"/>
      <c r="AI459" s="5"/>
      <c r="AJ459" s="5" t="s">
        <v>1354</v>
      </c>
      <c r="AK459" s="5" t="s">
        <v>5429</v>
      </c>
      <c r="AL459" s="5" t="s">
        <v>5428</v>
      </c>
      <c r="AM459" s="5"/>
      <c r="AN459" s="5" t="s">
        <v>5430</v>
      </c>
      <c r="AO459" s="5" t="s">
        <v>5431</v>
      </c>
      <c r="AP459" s="5" t="s">
        <v>5432</v>
      </c>
      <c r="AQ459" s="5" t="s">
        <v>5428</v>
      </c>
      <c r="AR459" s="5" t="s">
        <v>5433</v>
      </c>
      <c r="AS459" s="5"/>
      <c r="AT459" s="5" t="s">
        <v>5434</v>
      </c>
      <c r="AU459" s="5"/>
      <c r="AV459" s="5" t="s">
        <v>178</v>
      </c>
      <c r="AW459" s="5" t="s">
        <v>5435</v>
      </c>
    </row>
    <row r="460" customFormat="false" ht="202.95" hidden="false" customHeight="false" outlineLevel="0" collapsed="false">
      <c r="A460" s="5" t="s">
        <v>5436</v>
      </c>
      <c r="B460" s="5" t="s">
        <v>5437</v>
      </c>
      <c r="C460" s="5" t="s">
        <v>5415</v>
      </c>
      <c r="D460" s="5" t="s">
        <v>5416</v>
      </c>
      <c r="E460" s="5" t="s">
        <v>626</v>
      </c>
      <c r="F460" s="5" t="s">
        <v>5438</v>
      </c>
      <c r="G460" s="5" t="s">
        <v>5439</v>
      </c>
      <c r="H460" s="5" t="n">
        <v>10</v>
      </c>
      <c r="I460" s="5" t="s">
        <v>152</v>
      </c>
      <c r="J460" s="5" t="s">
        <v>153</v>
      </c>
      <c r="K460" s="5" t="s">
        <v>5440</v>
      </c>
      <c r="L460" s="5" t="s">
        <v>30</v>
      </c>
      <c r="M460" s="5" t="s">
        <v>155</v>
      </c>
      <c r="N460" s="5" t="s">
        <v>5441</v>
      </c>
      <c r="O460" s="5" t="s">
        <v>157</v>
      </c>
      <c r="P460" s="5" t="s">
        <v>158</v>
      </c>
      <c r="Q460" s="5" t="s">
        <v>519</v>
      </c>
      <c r="R460" s="5" t="s">
        <v>5421</v>
      </c>
      <c r="S460" s="5" t="s">
        <v>5422</v>
      </c>
      <c r="T460" s="5" t="s">
        <v>162</v>
      </c>
      <c r="U460" s="5" t="n">
        <v>365</v>
      </c>
      <c r="V460" s="5" t="s">
        <v>5423</v>
      </c>
      <c r="W460" s="5" t="s">
        <v>5424</v>
      </c>
      <c r="X460" s="5" t="s">
        <v>5442</v>
      </c>
      <c r="Y460" s="5" t="s">
        <v>5443</v>
      </c>
      <c r="Z460" s="5" t="s">
        <v>5444</v>
      </c>
      <c r="AA460" s="5"/>
      <c r="AB460" s="5"/>
      <c r="AC460" s="5"/>
      <c r="AD460" s="5"/>
      <c r="AE460" s="5"/>
      <c r="AF460" s="5" t="s">
        <v>5445</v>
      </c>
      <c r="AG460" s="5" t="s">
        <v>5445</v>
      </c>
      <c r="AH460" s="5"/>
      <c r="AI460" s="5"/>
      <c r="AJ460" s="5"/>
      <c r="AK460" s="5" t="s">
        <v>5429</v>
      </c>
      <c r="AL460" s="5" t="s">
        <v>5445</v>
      </c>
      <c r="AM460" s="5"/>
      <c r="AN460" s="5"/>
      <c r="AO460" s="5" t="s">
        <v>5431</v>
      </c>
      <c r="AP460" s="5"/>
      <c r="AQ460" s="5"/>
      <c r="AR460" s="5" t="s">
        <v>5433</v>
      </c>
      <c r="AS460" s="5"/>
      <c r="AT460" s="5" t="s">
        <v>5434</v>
      </c>
      <c r="AU460" s="5"/>
      <c r="AV460" s="5" t="s">
        <v>178</v>
      </c>
      <c r="AW460" s="5" t="s">
        <v>5446</v>
      </c>
    </row>
    <row r="461" customFormat="false" ht="135.8" hidden="false" customHeight="false" outlineLevel="0" collapsed="false">
      <c r="A461" s="5" t="s">
        <v>5447</v>
      </c>
      <c r="B461" s="5" t="s">
        <v>5448</v>
      </c>
      <c r="C461" s="5" t="s">
        <v>5415</v>
      </c>
      <c r="D461" s="5" t="s">
        <v>5416</v>
      </c>
      <c r="E461" s="5" t="s">
        <v>626</v>
      </c>
      <c r="F461" s="5" t="s">
        <v>5449</v>
      </c>
      <c r="G461" s="5" t="s">
        <v>5450</v>
      </c>
      <c r="H461" s="5" t="n">
        <v>9</v>
      </c>
      <c r="I461" s="5" t="s">
        <v>152</v>
      </c>
      <c r="J461" s="5" t="s">
        <v>153</v>
      </c>
      <c r="K461" s="5" t="s">
        <v>5440</v>
      </c>
      <c r="L461" s="5" t="s">
        <v>30</v>
      </c>
      <c r="M461" s="5" t="s">
        <v>155</v>
      </c>
      <c r="N461" s="5" t="s">
        <v>5451</v>
      </c>
      <c r="O461" s="5" t="s">
        <v>157</v>
      </c>
      <c r="P461" s="5" t="s">
        <v>215</v>
      </c>
      <c r="Q461" s="5" t="s">
        <v>519</v>
      </c>
      <c r="R461" s="5" t="s">
        <v>5421</v>
      </c>
      <c r="S461" s="5" t="s">
        <v>5422</v>
      </c>
      <c r="T461" s="5" t="s">
        <v>162</v>
      </c>
      <c r="U461" s="5" t="n">
        <v>365</v>
      </c>
      <c r="V461" s="5" t="s">
        <v>5423</v>
      </c>
      <c r="W461" s="5" t="s">
        <v>5424</v>
      </c>
      <c r="X461" s="5" t="s">
        <v>5452</v>
      </c>
      <c r="Y461" s="5" t="s">
        <v>5453</v>
      </c>
      <c r="Z461" s="5" t="s">
        <v>5454</v>
      </c>
      <c r="AA461" s="5"/>
      <c r="AB461" s="5"/>
      <c r="AC461" s="5"/>
      <c r="AD461" s="5"/>
      <c r="AE461" s="5"/>
      <c r="AF461" s="5" t="s">
        <v>5455</v>
      </c>
      <c r="AG461" s="5" t="s">
        <v>5455</v>
      </c>
      <c r="AH461" s="5"/>
      <c r="AI461" s="5"/>
      <c r="AJ461" s="5"/>
      <c r="AK461" s="5" t="s">
        <v>5456</v>
      </c>
      <c r="AL461" s="5" t="s">
        <v>5455</v>
      </c>
      <c r="AM461" s="5" t="s">
        <v>5455</v>
      </c>
      <c r="AN461" s="5"/>
      <c r="AO461" s="5" t="s">
        <v>5431</v>
      </c>
      <c r="AP461" s="5"/>
      <c r="AQ461" s="5"/>
      <c r="AR461" s="5" t="s">
        <v>5433</v>
      </c>
      <c r="AS461" s="5"/>
      <c r="AT461" s="5" t="s">
        <v>5434</v>
      </c>
      <c r="AU461" s="5"/>
      <c r="AV461" s="5" t="s">
        <v>178</v>
      </c>
      <c r="AW461" s="5" t="s">
        <v>5457</v>
      </c>
    </row>
    <row r="462" customFormat="false" ht="124.6" hidden="false" customHeight="false" outlineLevel="0" collapsed="false">
      <c r="A462" s="5" t="s">
        <v>5458</v>
      </c>
      <c r="B462" s="5" t="s">
        <v>5459</v>
      </c>
      <c r="C462" s="5" t="s">
        <v>5415</v>
      </c>
      <c r="D462" s="5" t="s">
        <v>5416</v>
      </c>
      <c r="E462" s="5" t="s">
        <v>626</v>
      </c>
      <c r="F462" s="5" t="s">
        <v>5460</v>
      </c>
      <c r="G462" s="5" t="s">
        <v>5461</v>
      </c>
      <c r="H462" s="5" t="n">
        <v>5</v>
      </c>
      <c r="I462" s="5" t="s">
        <v>152</v>
      </c>
      <c r="J462" s="5" t="s">
        <v>153</v>
      </c>
      <c r="K462" s="5" t="s">
        <v>5440</v>
      </c>
      <c r="L462" s="5" t="s">
        <v>55</v>
      </c>
      <c r="M462" s="5" t="s">
        <v>185</v>
      </c>
      <c r="N462" s="5" t="s">
        <v>804</v>
      </c>
      <c r="O462" s="5" t="s">
        <v>187</v>
      </c>
      <c r="P462" s="5" t="s">
        <v>215</v>
      </c>
      <c r="Q462" s="5" t="s">
        <v>519</v>
      </c>
      <c r="R462" s="5" t="s">
        <v>5421</v>
      </c>
      <c r="S462" s="5" t="s">
        <v>5422</v>
      </c>
      <c r="T462" s="5" t="s">
        <v>162</v>
      </c>
      <c r="U462" s="5" t="n">
        <v>365</v>
      </c>
      <c r="V462" s="5" t="s">
        <v>5423</v>
      </c>
      <c r="W462" s="5" t="s">
        <v>5424</v>
      </c>
      <c r="X462" s="5" t="s">
        <v>5462</v>
      </c>
      <c r="Y462" s="5" t="s">
        <v>5463</v>
      </c>
      <c r="Z462" s="5" t="s">
        <v>5464</v>
      </c>
      <c r="AA462" s="5"/>
      <c r="AB462" s="5"/>
      <c r="AC462" s="5"/>
      <c r="AD462" s="5"/>
      <c r="AE462" s="5"/>
      <c r="AF462" s="5" t="s">
        <v>5465</v>
      </c>
      <c r="AG462" s="5"/>
      <c r="AH462" s="5"/>
      <c r="AI462" s="5"/>
      <c r="AJ462" s="5"/>
      <c r="AK462" s="5" t="s">
        <v>5456</v>
      </c>
      <c r="AL462" s="5" t="s">
        <v>5465</v>
      </c>
      <c r="AM462" s="5"/>
      <c r="AN462" s="5"/>
      <c r="AO462" s="5" t="s">
        <v>5431</v>
      </c>
      <c r="AP462" s="5"/>
      <c r="AQ462" s="5"/>
      <c r="AR462" s="5" t="s">
        <v>5433</v>
      </c>
      <c r="AS462" s="5"/>
      <c r="AT462" s="5"/>
      <c r="AU462" s="5"/>
      <c r="AV462" s="5" t="s">
        <v>178</v>
      </c>
      <c r="AW462" s="5" t="s">
        <v>5457</v>
      </c>
    </row>
    <row r="463" customFormat="false" ht="124.6" hidden="false" customHeight="false" outlineLevel="0" collapsed="false">
      <c r="A463" s="5" t="s">
        <v>5466</v>
      </c>
      <c r="B463" s="5" t="s">
        <v>5467</v>
      </c>
      <c r="C463" s="5" t="s">
        <v>5415</v>
      </c>
      <c r="D463" s="5" t="s">
        <v>5416</v>
      </c>
      <c r="E463" s="5" t="s">
        <v>626</v>
      </c>
      <c r="F463" s="5" t="s">
        <v>5468</v>
      </c>
      <c r="G463" s="5" t="s">
        <v>5469</v>
      </c>
      <c r="H463" s="5" t="n">
        <v>5</v>
      </c>
      <c r="I463" s="5" t="s">
        <v>603</v>
      </c>
      <c r="J463" s="5" t="s">
        <v>557</v>
      </c>
      <c r="K463" s="5"/>
      <c r="L463" s="5" t="s">
        <v>68</v>
      </c>
      <c r="M463" s="5" t="s">
        <v>185</v>
      </c>
      <c r="N463" s="5" t="s">
        <v>72</v>
      </c>
      <c r="O463" s="5" t="s">
        <v>666</v>
      </c>
      <c r="P463" s="5" t="s">
        <v>215</v>
      </c>
      <c r="Q463" s="5" t="s">
        <v>519</v>
      </c>
      <c r="R463" s="5" t="s">
        <v>5421</v>
      </c>
      <c r="S463" s="5" t="s">
        <v>5422</v>
      </c>
      <c r="T463" s="5" t="s">
        <v>606</v>
      </c>
      <c r="U463" s="5" t="n">
        <v>90</v>
      </c>
      <c r="V463" s="5" t="s">
        <v>5423</v>
      </c>
      <c r="W463" s="5" t="s">
        <v>5424</v>
      </c>
      <c r="X463" s="5" t="s">
        <v>5470</v>
      </c>
      <c r="Y463" s="5" t="s">
        <v>5471</v>
      </c>
      <c r="Z463" s="5" t="s">
        <v>5472</v>
      </c>
      <c r="AA463" s="5"/>
      <c r="AB463" s="5"/>
      <c r="AC463" s="5"/>
      <c r="AD463" s="5"/>
      <c r="AE463" s="5"/>
      <c r="AF463" s="5" t="s">
        <v>5473</v>
      </c>
      <c r="AG463" s="5"/>
      <c r="AH463" s="5"/>
      <c r="AI463" s="5"/>
      <c r="AJ463" s="5"/>
      <c r="AK463" s="5"/>
      <c r="AL463" s="5" t="s">
        <v>5473</v>
      </c>
      <c r="AM463" s="5"/>
      <c r="AN463" s="5"/>
      <c r="AO463" s="5" t="s">
        <v>5474</v>
      </c>
      <c r="AP463" s="5"/>
      <c r="AQ463" s="5"/>
      <c r="AR463" s="5" t="s">
        <v>5433</v>
      </c>
      <c r="AS463" s="5"/>
      <c r="AT463" s="5"/>
      <c r="AU463" s="5"/>
      <c r="AV463" s="5"/>
      <c r="AW463" s="5" t="s">
        <v>5457</v>
      </c>
    </row>
    <row r="464" customFormat="false" ht="147" hidden="false" customHeight="false" outlineLevel="0" collapsed="false">
      <c r="A464" s="5" t="s">
        <v>5475</v>
      </c>
      <c r="B464" s="5" t="s">
        <v>5476</v>
      </c>
      <c r="C464" s="5" t="s">
        <v>5415</v>
      </c>
      <c r="D464" s="5" t="s">
        <v>5416</v>
      </c>
      <c r="E464" s="5" t="s">
        <v>626</v>
      </c>
      <c r="F464" s="5" t="s">
        <v>5477</v>
      </c>
      <c r="G464" s="5" t="s">
        <v>5478</v>
      </c>
      <c r="H464" s="5" t="n">
        <v>5</v>
      </c>
      <c r="I464" s="5" t="s">
        <v>152</v>
      </c>
      <c r="J464" s="5" t="s">
        <v>153</v>
      </c>
      <c r="K464" s="5"/>
      <c r="L464" s="5" t="s">
        <v>30</v>
      </c>
      <c r="M464" s="5" t="s">
        <v>155</v>
      </c>
      <c r="N464" s="5" t="s">
        <v>5479</v>
      </c>
      <c r="O464" s="5" t="s">
        <v>157</v>
      </c>
      <c r="P464" s="5" t="s">
        <v>641</v>
      </c>
      <c r="Q464" s="5" t="s">
        <v>519</v>
      </c>
      <c r="R464" s="5" t="s">
        <v>5421</v>
      </c>
      <c r="S464" s="5" t="s">
        <v>5422</v>
      </c>
      <c r="T464" s="5" t="s">
        <v>162</v>
      </c>
      <c r="U464" s="5" t="n">
        <v>365</v>
      </c>
      <c r="V464" s="5" t="s">
        <v>5423</v>
      </c>
      <c r="W464" s="5" t="s">
        <v>5424</v>
      </c>
      <c r="X464" s="5" t="s">
        <v>5480</v>
      </c>
      <c r="Y464" s="5" t="s">
        <v>5481</v>
      </c>
      <c r="Z464" s="5" t="s">
        <v>5482</v>
      </c>
      <c r="AA464" s="5"/>
      <c r="AB464" s="5"/>
      <c r="AC464" s="5"/>
      <c r="AD464" s="5"/>
      <c r="AE464" s="5" t="s">
        <v>562</v>
      </c>
      <c r="AF464" s="5" t="s">
        <v>5483</v>
      </c>
      <c r="AG464" s="5" t="s">
        <v>5484</v>
      </c>
      <c r="AH464" s="5"/>
      <c r="AI464" s="5"/>
      <c r="AJ464" s="5"/>
      <c r="AK464" s="5"/>
      <c r="AL464" s="5" t="s">
        <v>5483</v>
      </c>
      <c r="AM464" s="5" t="s">
        <v>5484</v>
      </c>
      <c r="AN464" s="5"/>
      <c r="AO464" s="5"/>
      <c r="AP464" s="5"/>
      <c r="AQ464" s="5"/>
      <c r="AR464" s="5" t="s">
        <v>5433</v>
      </c>
      <c r="AS464" s="5"/>
      <c r="AT464" s="5"/>
      <c r="AU464" s="5"/>
      <c r="AV464" s="5" t="s">
        <v>178</v>
      </c>
      <c r="AW464" s="5" t="s">
        <v>5457</v>
      </c>
    </row>
    <row r="465" customFormat="false" ht="135.8" hidden="false" customHeight="false" outlineLevel="0" collapsed="false">
      <c r="A465" s="5" t="s">
        <v>5485</v>
      </c>
      <c r="B465" s="5" t="s">
        <v>5486</v>
      </c>
      <c r="C465" s="5" t="s">
        <v>5415</v>
      </c>
      <c r="D465" s="5" t="s">
        <v>5416</v>
      </c>
      <c r="E465" s="5" t="s">
        <v>626</v>
      </c>
      <c r="F465" s="5" t="s">
        <v>5487</v>
      </c>
      <c r="G465" s="5" t="s">
        <v>5488</v>
      </c>
      <c r="H465" s="5" t="n">
        <v>5</v>
      </c>
      <c r="I465" s="5" t="s">
        <v>603</v>
      </c>
      <c r="J465" s="5" t="s">
        <v>153</v>
      </c>
      <c r="K465" s="5"/>
      <c r="L465" s="5" t="s">
        <v>30</v>
      </c>
      <c r="M465" s="5" t="s">
        <v>155</v>
      </c>
      <c r="N465" s="5" t="s">
        <v>5479</v>
      </c>
      <c r="O465" s="5" t="s">
        <v>157</v>
      </c>
      <c r="P465" s="5" t="s">
        <v>641</v>
      </c>
      <c r="Q465" s="5" t="s">
        <v>519</v>
      </c>
      <c r="R465" s="5" t="s">
        <v>5421</v>
      </c>
      <c r="S465" s="5" t="s">
        <v>5422</v>
      </c>
      <c r="T465" s="5" t="s">
        <v>606</v>
      </c>
      <c r="U465" s="5" t="n">
        <v>365</v>
      </c>
      <c r="V465" s="5" t="s">
        <v>5423</v>
      </c>
      <c r="W465" s="5" t="s">
        <v>5424</v>
      </c>
      <c r="X465" s="5" t="s">
        <v>5489</v>
      </c>
      <c r="Y465" s="5" t="s">
        <v>5490</v>
      </c>
      <c r="Z465" s="5" t="s">
        <v>5491</v>
      </c>
      <c r="AA465" s="5"/>
      <c r="AB465" s="5"/>
      <c r="AC465" s="5"/>
      <c r="AD465" s="5"/>
      <c r="AE465" s="5" t="s">
        <v>562</v>
      </c>
      <c r="AF465" s="5" t="s">
        <v>5492</v>
      </c>
      <c r="AG465" s="5" t="s">
        <v>5492</v>
      </c>
      <c r="AH465" s="5"/>
      <c r="AI465" s="5"/>
      <c r="AJ465" s="5"/>
      <c r="AK465" s="5"/>
      <c r="AL465" s="5" t="s">
        <v>5492</v>
      </c>
      <c r="AM465" s="5" t="s">
        <v>5492</v>
      </c>
      <c r="AN465" s="5"/>
      <c r="AO465" s="5"/>
      <c r="AP465" s="5"/>
      <c r="AQ465" s="5"/>
      <c r="AR465" s="5" t="s">
        <v>5433</v>
      </c>
      <c r="AS465" s="5"/>
      <c r="AT465" s="5"/>
      <c r="AU465" s="5"/>
      <c r="AV465" s="5" t="s">
        <v>178</v>
      </c>
      <c r="AW465" s="5" t="s">
        <v>5457</v>
      </c>
    </row>
    <row r="466" customFormat="false" ht="135.8" hidden="false" customHeight="false" outlineLevel="0" collapsed="false">
      <c r="A466" s="5" t="s">
        <v>5493</v>
      </c>
      <c r="B466" s="5" t="s">
        <v>5494</v>
      </c>
      <c r="C466" s="5" t="s">
        <v>5415</v>
      </c>
      <c r="D466" s="5" t="s">
        <v>5416</v>
      </c>
      <c r="E466" s="5" t="s">
        <v>626</v>
      </c>
      <c r="F466" s="5" t="s">
        <v>5495</v>
      </c>
      <c r="G466" s="5" t="s">
        <v>5496</v>
      </c>
      <c r="H466" s="5" t="n">
        <v>5</v>
      </c>
      <c r="I466" s="5" t="s">
        <v>152</v>
      </c>
      <c r="J466" s="5" t="s">
        <v>153</v>
      </c>
      <c r="K466" s="5" t="s">
        <v>5497</v>
      </c>
      <c r="L466" s="5" t="s">
        <v>30</v>
      </c>
      <c r="M466" s="5" t="s">
        <v>155</v>
      </c>
      <c r="N466" s="5" t="s">
        <v>1030</v>
      </c>
      <c r="O466" s="5" t="s">
        <v>157</v>
      </c>
      <c r="P466" s="5" t="s">
        <v>641</v>
      </c>
      <c r="Q466" s="5" t="s">
        <v>519</v>
      </c>
      <c r="R466" s="5" t="s">
        <v>5421</v>
      </c>
      <c r="S466" s="5" t="s">
        <v>5422</v>
      </c>
      <c r="T466" s="5" t="s">
        <v>162</v>
      </c>
      <c r="U466" s="5" t="n">
        <v>365</v>
      </c>
      <c r="V466" s="5" t="s">
        <v>5423</v>
      </c>
      <c r="W466" s="5" t="s">
        <v>5424</v>
      </c>
      <c r="X466" s="5" t="s">
        <v>5498</v>
      </c>
      <c r="Y466" s="5" t="s">
        <v>5499</v>
      </c>
      <c r="Z466" s="5" t="s">
        <v>5500</v>
      </c>
      <c r="AA466" s="5"/>
      <c r="AB466" s="5"/>
      <c r="AC466" s="5"/>
      <c r="AD466" s="5"/>
      <c r="AE466" s="5"/>
      <c r="AF466" s="5" t="s">
        <v>5501</v>
      </c>
      <c r="AG466" s="5" t="s">
        <v>5501</v>
      </c>
      <c r="AH466" s="5"/>
      <c r="AI466" s="5"/>
      <c r="AJ466" s="5"/>
      <c r="AK466" s="5"/>
      <c r="AL466" s="5" t="s">
        <v>5501</v>
      </c>
      <c r="AM466" s="5" t="s">
        <v>5501</v>
      </c>
      <c r="AN466" s="5"/>
      <c r="AO466" s="5"/>
      <c r="AP466" s="5"/>
      <c r="AQ466" s="5"/>
      <c r="AR466" s="5" t="s">
        <v>5433</v>
      </c>
      <c r="AS466" s="5"/>
      <c r="AT466" s="5"/>
      <c r="AU466" s="5"/>
      <c r="AV466" s="5"/>
      <c r="AW466" s="5" t="s">
        <v>5457</v>
      </c>
    </row>
    <row r="467" customFormat="false" ht="180.55" hidden="false" customHeight="false" outlineLevel="0" collapsed="false">
      <c r="A467" s="5" t="s">
        <v>5502</v>
      </c>
      <c r="B467" s="5" t="s">
        <v>5503</v>
      </c>
      <c r="C467" s="5" t="s">
        <v>5415</v>
      </c>
      <c r="D467" s="5" t="s">
        <v>5416</v>
      </c>
      <c r="E467" s="5" t="s">
        <v>626</v>
      </c>
      <c r="F467" s="5" t="s">
        <v>5504</v>
      </c>
      <c r="G467" s="5" t="s">
        <v>5505</v>
      </c>
      <c r="H467" s="5" t="n">
        <v>9</v>
      </c>
      <c r="I467" s="5" t="s">
        <v>152</v>
      </c>
      <c r="J467" s="5" t="s">
        <v>153</v>
      </c>
      <c r="K467" s="5"/>
      <c r="L467" s="5" t="s">
        <v>30</v>
      </c>
      <c r="M467" s="5" t="s">
        <v>155</v>
      </c>
      <c r="N467" s="5" t="s">
        <v>1030</v>
      </c>
      <c r="O467" s="5" t="s">
        <v>157</v>
      </c>
      <c r="P467" s="5" t="s">
        <v>158</v>
      </c>
      <c r="Q467" s="5" t="s">
        <v>519</v>
      </c>
      <c r="R467" s="5" t="s">
        <v>5421</v>
      </c>
      <c r="S467" s="5" t="s">
        <v>5422</v>
      </c>
      <c r="T467" s="5" t="s">
        <v>162</v>
      </c>
      <c r="U467" s="5" t="n">
        <v>365</v>
      </c>
      <c r="V467" s="5" t="s">
        <v>5423</v>
      </c>
      <c r="W467" s="5" t="s">
        <v>5424</v>
      </c>
      <c r="X467" s="5" t="s">
        <v>5506</v>
      </c>
      <c r="Y467" s="5" t="s">
        <v>5507</v>
      </c>
      <c r="Z467" s="5" t="s">
        <v>5508</v>
      </c>
      <c r="AA467" s="5"/>
      <c r="AB467" s="5"/>
      <c r="AC467" s="5"/>
      <c r="AD467" s="5"/>
      <c r="AE467" s="5"/>
      <c r="AF467" s="5" t="s">
        <v>5509</v>
      </c>
      <c r="AG467" s="5" t="s">
        <v>5509</v>
      </c>
      <c r="AH467" s="5"/>
      <c r="AI467" s="5"/>
      <c r="AJ467" s="5"/>
      <c r="AK467" s="5"/>
      <c r="AL467" s="5" t="s">
        <v>5509</v>
      </c>
      <c r="AM467" s="5" t="s">
        <v>5509</v>
      </c>
      <c r="AN467" s="5"/>
      <c r="AO467" s="5"/>
      <c r="AP467" s="5"/>
      <c r="AQ467" s="5"/>
      <c r="AR467" s="5" t="s">
        <v>5433</v>
      </c>
      <c r="AS467" s="5"/>
      <c r="AT467" s="5"/>
      <c r="AU467" s="5"/>
      <c r="AV467" s="5" t="s">
        <v>178</v>
      </c>
      <c r="AW467" s="5" t="s">
        <v>5510</v>
      </c>
    </row>
    <row r="468" customFormat="false" ht="202.95" hidden="false" customHeight="false" outlineLevel="0" collapsed="false">
      <c r="A468" s="5" t="s">
        <v>5511</v>
      </c>
      <c r="B468" s="5" t="s">
        <v>5512</v>
      </c>
      <c r="C468" s="5" t="s">
        <v>5415</v>
      </c>
      <c r="D468" s="5" t="s">
        <v>5416</v>
      </c>
      <c r="E468" s="5" t="s">
        <v>626</v>
      </c>
      <c r="F468" s="5" t="s">
        <v>5513</v>
      </c>
      <c r="G468" s="5" t="s">
        <v>5514</v>
      </c>
      <c r="H468" s="5" t="n">
        <v>9</v>
      </c>
      <c r="I468" s="5" t="s">
        <v>152</v>
      </c>
      <c r="J468" s="5" t="s">
        <v>153</v>
      </c>
      <c r="K468" s="5"/>
      <c r="L468" s="5" t="s">
        <v>30</v>
      </c>
      <c r="M468" s="5" t="s">
        <v>155</v>
      </c>
      <c r="N468" s="5" t="s">
        <v>5335</v>
      </c>
      <c r="O468" s="5" t="s">
        <v>157</v>
      </c>
      <c r="P468" s="5" t="s">
        <v>158</v>
      </c>
      <c r="Q468" s="5" t="s">
        <v>605</v>
      </c>
      <c r="R468" s="5" t="s">
        <v>5421</v>
      </c>
      <c r="S468" s="5" t="s">
        <v>5422</v>
      </c>
      <c r="T468" s="5" t="s">
        <v>162</v>
      </c>
      <c r="U468" s="5" t="n">
        <v>365</v>
      </c>
      <c r="V468" s="5" t="s">
        <v>5423</v>
      </c>
      <c r="W468" s="5" t="s">
        <v>5424</v>
      </c>
      <c r="X468" s="5" t="s">
        <v>5515</v>
      </c>
      <c r="Y468" s="5" t="s">
        <v>5516</v>
      </c>
      <c r="Z468" s="5" t="s">
        <v>5517</v>
      </c>
      <c r="AA468" s="5"/>
      <c r="AB468" s="5"/>
      <c r="AC468" s="5"/>
      <c r="AD468" s="5"/>
      <c r="AE468" s="5" t="s">
        <v>5518</v>
      </c>
      <c r="AF468" s="5" t="s">
        <v>5519</v>
      </c>
      <c r="AG468" s="5" t="s">
        <v>5519</v>
      </c>
      <c r="AH468" s="5"/>
      <c r="AI468" s="5"/>
      <c r="AJ468" s="5"/>
      <c r="AK468" s="5"/>
      <c r="AL468" s="5" t="s">
        <v>5519</v>
      </c>
      <c r="AM468" s="5"/>
      <c r="AN468" s="5" t="s">
        <v>5520</v>
      </c>
      <c r="AO468" s="5"/>
      <c r="AP468" s="5" t="s">
        <v>5521</v>
      </c>
      <c r="AQ468" s="5" t="s">
        <v>5519</v>
      </c>
      <c r="AR468" s="5" t="s">
        <v>5433</v>
      </c>
      <c r="AS468" s="5"/>
      <c r="AT468" s="5"/>
      <c r="AU468" s="5"/>
      <c r="AV468" s="5" t="s">
        <v>178</v>
      </c>
      <c r="AW468" s="5" t="s">
        <v>5457</v>
      </c>
    </row>
    <row r="469" customFormat="false" ht="135.8" hidden="false" customHeight="false" outlineLevel="0" collapsed="false">
      <c r="A469" s="5" t="s">
        <v>5522</v>
      </c>
      <c r="B469" s="5" t="s">
        <v>5523</v>
      </c>
      <c r="C469" s="5" t="s">
        <v>5415</v>
      </c>
      <c r="D469" s="5" t="s">
        <v>5416</v>
      </c>
      <c r="E469" s="5" t="s">
        <v>600</v>
      </c>
      <c r="F469" s="5" t="s">
        <v>5524</v>
      </c>
      <c r="G469" s="5" t="s">
        <v>5525</v>
      </c>
      <c r="H469" s="5" t="n">
        <v>9</v>
      </c>
      <c r="I469" s="5" t="s">
        <v>152</v>
      </c>
      <c r="J469" s="5" t="s">
        <v>153</v>
      </c>
      <c r="K469" s="5"/>
      <c r="L469" s="5" t="s">
        <v>30</v>
      </c>
      <c r="M469" s="5" t="s">
        <v>155</v>
      </c>
      <c r="N469" s="5" t="s">
        <v>619</v>
      </c>
      <c r="O469" s="5" t="s">
        <v>157</v>
      </c>
      <c r="P469" s="5" t="s">
        <v>215</v>
      </c>
      <c r="Q469" s="5" t="s">
        <v>519</v>
      </c>
      <c r="R469" s="5" t="s">
        <v>5421</v>
      </c>
      <c r="S469" s="5" t="s">
        <v>5422</v>
      </c>
      <c r="T469" s="5" t="s">
        <v>162</v>
      </c>
      <c r="U469" s="5" t="n">
        <v>365</v>
      </c>
      <c r="V469" s="5" t="s">
        <v>5423</v>
      </c>
      <c r="W469" s="5" t="s">
        <v>5424</v>
      </c>
      <c r="X469" s="5" t="s">
        <v>5526</v>
      </c>
      <c r="Y469" s="5" t="s">
        <v>5527</v>
      </c>
      <c r="Z469" s="5" t="s">
        <v>5528</v>
      </c>
      <c r="AA469" s="5"/>
      <c r="AB469" s="5"/>
      <c r="AC469" s="5"/>
      <c r="AD469" s="5"/>
      <c r="AE469" s="5"/>
      <c r="AF469" s="5" t="s">
        <v>5529</v>
      </c>
      <c r="AG469" s="5" t="s">
        <v>5529</v>
      </c>
      <c r="AH469" s="5"/>
      <c r="AI469" s="5"/>
      <c r="AJ469" s="5"/>
      <c r="AK469" s="5"/>
      <c r="AL469" s="5" t="s">
        <v>5529</v>
      </c>
      <c r="AM469" s="5"/>
      <c r="AN469" s="5" t="s">
        <v>5530</v>
      </c>
      <c r="AO469" s="5"/>
      <c r="AP469" s="5"/>
      <c r="AQ469" s="5" t="s">
        <v>5531</v>
      </c>
      <c r="AR469" s="5" t="s">
        <v>5433</v>
      </c>
      <c r="AS469" s="5"/>
      <c r="AT469" s="5"/>
      <c r="AU469" s="5"/>
      <c r="AV469" s="5" t="s">
        <v>178</v>
      </c>
      <c r="AW469" s="5" t="s">
        <v>5457</v>
      </c>
    </row>
    <row r="470" customFormat="false" ht="135.8" hidden="false" customHeight="false" outlineLevel="0" collapsed="false">
      <c r="A470" s="5" t="s">
        <v>5532</v>
      </c>
      <c r="B470" s="5" t="s">
        <v>5533</v>
      </c>
      <c r="C470" s="5" t="s">
        <v>5415</v>
      </c>
      <c r="D470" s="5" t="s">
        <v>5416</v>
      </c>
      <c r="E470" s="5" t="s">
        <v>626</v>
      </c>
      <c r="F470" s="5" t="s">
        <v>5534</v>
      </c>
      <c r="G470" s="5" t="s">
        <v>5535</v>
      </c>
      <c r="H470" s="5" t="n">
        <v>9</v>
      </c>
      <c r="I470" s="5" t="s">
        <v>152</v>
      </c>
      <c r="J470" s="5" t="s">
        <v>153</v>
      </c>
      <c r="K470" s="5"/>
      <c r="L470" s="5" t="s">
        <v>30</v>
      </c>
      <c r="M470" s="5" t="s">
        <v>155</v>
      </c>
      <c r="N470" s="5" t="s">
        <v>619</v>
      </c>
      <c r="O470" s="5" t="s">
        <v>157</v>
      </c>
      <c r="P470" s="5" t="s">
        <v>215</v>
      </c>
      <c r="Q470" s="5" t="s">
        <v>519</v>
      </c>
      <c r="R470" s="5" t="s">
        <v>5421</v>
      </c>
      <c r="S470" s="5" t="s">
        <v>5422</v>
      </c>
      <c r="T470" s="5" t="s">
        <v>162</v>
      </c>
      <c r="U470" s="5" t="n">
        <v>365</v>
      </c>
      <c r="V470" s="5" t="s">
        <v>5423</v>
      </c>
      <c r="W470" s="5" t="s">
        <v>5424</v>
      </c>
      <c r="X470" s="5" t="s">
        <v>5536</v>
      </c>
      <c r="Y470" s="5" t="s">
        <v>5537</v>
      </c>
      <c r="Z470" s="5" t="s">
        <v>5538</v>
      </c>
      <c r="AA470" s="5"/>
      <c r="AB470" s="5"/>
      <c r="AC470" s="5"/>
      <c r="AD470" s="5"/>
      <c r="AE470" s="5"/>
      <c r="AF470" s="5" t="s">
        <v>5531</v>
      </c>
      <c r="AG470" s="5" t="s">
        <v>5531</v>
      </c>
      <c r="AH470" s="5"/>
      <c r="AI470" s="5"/>
      <c r="AJ470" s="5"/>
      <c r="AK470" s="5"/>
      <c r="AL470" s="5" t="s">
        <v>5531</v>
      </c>
      <c r="AM470" s="5"/>
      <c r="AN470" s="5" t="s">
        <v>5530</v>
      </c>
      <c r="AO470" s="5"/>
      <c r="AP470" s="5"/>
      <c r="AQ470" s="5" t="s">
        <v>5531</v>
      </c>
      <c r="AR470" s="5" t="s">
        <v>5433</v>
      </c>
      <c r="AS470" s="5"/>
      <c r="AT470" s="5"/>
      <c r="AU470" s="5"/>
      <c r="AV470" s="5" t="s">
        <v>178</v>
      </c>
      <c r="AW470" s="5" t="s">
        <v>5457</v>
      </c>
    </row>
    <row r="471" customFormat="false" ht="124.6" hidden="false" customHeight="false" outlineLevel="0" collapsed="false">
      <c r="A471" s="5" t="s">
        <v>5539</v>
      </c>
      <c r="B471" s="5" t="s">
        <v>5540</v>
      </c>
      <c r="C471" s="5" t="s">
        <v>5415</v>
      </c>
      <c r="D471" s="5" t="s">
        <v>5416</v>
      </c>
      <c r="E471" s="5" t="s">
        <v>626</v>
      </c>
      <c r="F471" s="5" t="s">
        <v>5541</v>
      </c>
      <c r="G471" s="5" t="s">
        <v>5542</v>
      </c>
      <c r="H471" s="5" t="n">
        <v>7</v>
      </c>
      <c r="I471" s="5" t="s">
        <v>152</v>
      </c>
      <c r="J471" s="5" t="s">
        <v>153</v>
      </c>
      <c r="K471" s="5"/>
      <c r="L471" s="5" t="s">
        <v>30</v>
      </c>
      <c r="M471" s="5" t="s">
        <v>155</v>
      </c>
      <c r="N471" s="5" t="s">
        <v>846</v>
      </c>
      <c r="O471" s="5" t="s">
        <v>157</v>
      </c>
      <c r="P471" s="5" t="s">
        <v>215</v>
      </c>
      <c r="Q471" s="5" t="s">
        <v>519</v>
      </c>
      <c r="R471" s="5" t="s">
        <v>5421</v>
      </c>
      <c r="S471" s="5" t="s">
        <v>5422</v>
      </c>
      <c r="T471" s="5" t="s">
        <v>162</v>
      </c>
      <c r="U471" s="5" t="n">
        <v>365</v>
      </c>
      <c r="V471" s="5" t="s">
        <v>5423</v>
      </c>
      <c r="W471" s="5" t="s">
        <v>5424</v>
      </c>
      <c r="X471" s="5" t="s">
        <v>5543</v>
      </c>
      <c r="Y471" s="5" t="s">
        <v>5544</v>
      </c>
      <c r="Z471" s="5" t="s">
        <v>5545</v>
      </c>
      <c r="AA471" s="5"/>
      <c r="AB471" s="5"/>
      <c r="AC471" s="5"/>
      <c r="AD471" s="5"/>
      <c r="AE471" s="5"/>
      <c r="AF471" s="5" t="s">
        <v>5546</v>
      </c>
      <c r="AG471" s="5"/>
      <c r="AH471" s="5" t="s">
        <v>5547</v>
      </c>
      <c r="AI471" s="5"/>
      <c r="AJ471" s="5"/>
      <c r="AK471" s="5"/>
      <c r="AL471" s="5" t="s">
        <v>5546</v>
      </c>
      <c r="AM471" s="5"/>
      <c r="AN471" s="5"/>
      <c r="AO471" s="5"/>
      <c r="AP471" s="5"/>
      <c r="AQ471" s="5"/>
      <c r="AR471" s="5" t="s">
        <v>5433</v>
      </c>
      <c r="AS471" s="5"/>
      <c r="AT471" s="5"/>
      <c r="AU471" s="5"/>
      <c r="AV471" s="5" t="s">
        <v>178</v>
      </c>
      <c r="AW471" s="5" t="s">
        <v>5457</v>
      </c>
    </row>
    <row r="472" customFormat="false" ht="135.8" hidden="false" customHeight="false" outlineLevel="0" collapsed="false">
      <c r="A472" s="5" t="s">
        <v>5548</v>
      </c>
      <c r="B472" s="5" t="s">
        <v>5549</v>
      </c>
      <c r="C472" s="5" t="s">
        <v>5415</v>
      </c>
      <c r="D472" s="5" t="s">
        <v>5416</v>
      </c>
      <c r="E472" s="5" t="s">
        <v>626</v>
      </c>
      <c r="F472" s="5" t="s">
        <v>5550</v>
      </c>
      <c r="G472" s="5" t="s">
        <v>5551</v>
      </c>
      <c r="H472" s="5" t="n">
        <v>9</v>
      </c>
      <c r="I472" s="5" t="s">
        <v>152</v>
      </c>
      <c r="J472" s="5" t="s">
        <v>153</v>
      </c>
      <c r="K472" s="5"/>
      <c r="L472" s="5" t="s">
        <v>30</v>
      </c>
      <c r="M472" s="5" t="s">
        <v>155</v>
      </c>
      <c r="N472" s="5" t="s">
        <v>1003</v>
      </c>
      <c r="O472" s="5" t="s">
        <v>157</v>
      </c>
      <c r="P472" s="5" t="s">
        <v>158</v>
      </c>
      <c r="Q472" s="5" t="s">
        <v>519</v>
      </c>
      <c r="R472" s="5" t="s">
        <v>5421</v>
      </c>
      <c r="S472" s="5" t="s">
        <v>5422</v>
      </c>
      <c r="T472" s="5" t="s">
        <v>162</v>
      </c>
      <c r="U472" s="5" t="n">
        <v>365</v>
      </c>
      <c r="V472" s="5" t="s">
        <v>5423</v>
      </c>
      <c r="W472" s="5" t="s">
        <v>5424</v>
      </c>
      <c r="X472" s="5" t="s">
        <v>5552</v>
      </c>
      <c r="Y472" s="5" t="s">
        <v>5553</v>
      </c>
      <c r="Z472" s="5" t="s">
        <v>5554</v>
      </c>
      <c r="AA472" s="5"/>
      <c r="AB472" s="5"/>
      <c r="AC472" s="5"/>
      <c r="AD472" s="5"/>
      <c r="AE472" s="5"/>
      <c r="AF472" s="5" t="s">
        <v>5555</v>
      </c>
      <c r="AG472" s="5" t="s">
        <v>5555</v>
      </c>
      <c r="AH472" s="5"/>
      <c r="AI472" s="5"/>
      <c r="AJ472" s="5"/>
      <c r="AK472" s="5"/>
      <c r="AL472" s="5" t="s">
        <v>5555</v>
      </c>
      <c r="AM472" s="5"/>
      <c r="AN472" s="5" t="s">
        <v>5556</v>
      </c>
      <c r="AO472" s="5"/>
      <c r="AP472" s="5"/>
      <c r="AQ472" s="5"/>
      <c r="AR472" s="5" t="s">
        <v>5433</v>
      </c>
      <c r="AS472" s="5"/>
      <c r="AT472" s="5"/>
      <c r="AU472" s="5"/>
      <c r="AV472" s="5" t="s">
        <v>178</v>
      </c>
      <c r="AW472" s="5" t="s">
        <v>5557</v>
      </c>
    </row>
    <row r="473" customFormat="false" ht="135.8" hidden="false" customHeight="false" outlineLevel="0" collapsed="false">
      <c r="A473" s="5" t="s">
        <v>5558</v>
      </c>
      <c r="B473" s="5" t="s">
        <v>5559</v>
      </c>
      <c r="C473" s="5" t="s">
        <v>5415</v>
      </c>
      <c r="D473" s="5" t="s">
        <v>5416</v>
      </c>
      <c r="E473" s="5" t="s">
        <v>626</v>
      </c>
      <c r="F473" s="5" t="s">
        <v>5560</v>
      </c>
      <c r="G473" s="5" t="s">
        <v>5561</v>
      </c>
      <c r="H473" s="5" t="n">
        <v>8</v>
      </c>
      <c r="I473" s="5" t="s">
        <v>152</v>
      </c>
      <c r="J473" s="5" t="s">
        <v>153</v>
      </c>
      <c r="K473" s="5"/>
      <c r="L473" s="5" t="s">
        <v>30</v>
      </c>
      <c r="M473" s="5" t="s">
        <v>155</v>
      </c>
      <c r="N473" s="5" t="s">
        <v>1003</v>
      </c>
      <c r="O473" s="5" t="s">
        <v>157</v>
      </c>
      <c r="P473" s="5" t="s">
        <v>215</v>
      </c>
      <c r="Q473" s="5" t="s">
        <v>519</v>
      </c>
      <c r="R473" s="5" t="s">
        <v>5421</v>
      </c>
      <c r="S473" s="5" t="s">
        <v>5422</v>
      </c>
      <c r="T473" s="5" t="s">
        <v>162</v>
      </c>
      <c r="U473" s="5" t="n">
        <v>365</v>
      </c>
      <c r="V473" s="5" t="s">
        <v>5423</v>
      </c>
      <c r="W473" s="5" t="s">
        <v>5424</v>
      </c>
      <c r="X473" s="5" t="s">
        <v>5562</v>
      </c>
      <c r="Y473" s="5" t="s">
        <v>5563</v>
      </c>
      <c r="Z473" s="5" t="s">
        <v>5564</v>
      </c>
      <c r="AA473" s="5"/>
      <c r="AB473" s="5"/>
      <c r="AC473" s="5"/>
      <c r="AD473" s="5"/>
      <c r="AE473" s="5"/>
      <c r="AF473" s="5" t="s">
        <v>5565</v>
      </c>
      <c r="AG473" s="5" t="s">
        <v>5565</v>
      </c>
      <c r="AH473" s="5"/>
      <c r="AI473" s="5"/>
      <c r="AJ473" s="5"/>
      <c r="AK473" s="5"/>
      <c r="AL473" s="5" t="s">
        <v>5565</v>
      </c>
      <c r="AM473" s="5"/>
      <c r="AN473" s="5" t="s">
        <v>5566</v>
      </c>
      <c r="AO473" s="5"/>
      <c r="AP473" s="5"/>
      <c r="AQ473" s="5"/>
      <c r="AR473" s="5" t="s">
        <v>706</v>
      </c>
      <c r="AS473" s="5"/>
      <c r="AT473" s="5"/>
      <c r="AU473" s="5"/>
      <c r="AV473" s="5" t="s">
        <v>178</v>
      </c>
      <c r="AW473" s="5" t="s">
        <v>5457</v>
      </c>
    </row>
    <row r="474" customFormat="false" ht="124.6" hidden="false" customHeight="false" outlineLevel="0" collapsed="false">
      <c r="A474" s="5" t="s">
        <v>5567</v>
      </c>
      <c r="B474" s="5" t="s">
        <v>5568</v>
      </c>
      <c r="C474" s="5" t="s">
        <v>5415</v>
      </c>
      <c r="D474" s="5" t="s">
        <v>5416</v>
      </c>
      <c r="E474" s="5" t="s">
        <v>626</v>
      </c>
      <c r="F474" s="5" t="s">
        <v>5569</v>
      </c>
      <c r="G474" s="5" t="s">
        <v>5570</v>
      </c>
      <c r="H474" s="5" t="n">
        <v>8</v>
      </c>
      <c r="I474" s="5" t="s">
        <v>152</v>
      </c>
      <c r="J474" s="5" t="s">
        <v>153</v>
      </c>
      <c r="K474" s="5"/>
      <c r="L474" s="5" t="s">
        <v>30</v>
      </c>
      <c r="M474" s="5" t="s">
        <v>155</v>
      </c>
      <c r="N474" s="5" t="s">
        <v>42</v>
      </c>
      <c r="O474" s="5" t="s">
        <v>157</v>
      </c>
      <c r="P474" s="5" t="s">
        <v>215</v>
      </c>
      <c r="Q474" s="5" t="s">
        <v>519</v>
      </c>
      <c r="R474" s="5" t="s">
        <v>5421</v>
      </c>
      <c r="S474" s="5" t="s">
        <v>5422</v>
      </c>
      <c r="T474" s="5" t="s">
        <v>162</v>
      </c>
      <c r="U474" s="5" t="n">
        <v>365</v>
      </c>
      <c r="V474" s="5" t="s">
        <v>5423</v>
      </c>
      <c r="W474" s="5" t="s">
        <v>5424</v>
      </c>
      <c r="X474" s="5" t="s">
        <v>5571</v>
      </c>
      <c r="Y474" s="5" t="s">
        <v>5572</v>
      </c>
      <c r="Z474" s="5" t="s">
        <v>5573</v>
      </c>
      <c r="AA474" s="5"/>
      <c r="AB474" s="5"/>
      <c r="AC474" s="5"/>
      <c r="AD474" s="5"/>
      <c r="AE474" s="5"/>
      <c r="AF474" s="5" t="s">
        <v>5574</v>
      </c>
      <c r="AG474" s="5" t="s">
        <v>5574</v>
      </c>
      <c r="AH474" s="5"/>
      <c r="AI474" s="5"/>
      <c r="AJ474" s="5"/>
      <c r="AK474" s="5"/>
      <c r="AL474" s="5" t="s">
        <v>5574</v>
      </c>
      <c r="AM474" s="5"/>
      <c r="AN474" s="5"/>
      <c r="AO474" s="5"/>
      <c r="AP474" s="5"/>
      <c r="AQ474" s="5"/>
      <c r="AR474" s="5" t="s">
        <v>5433</v>
      </c>
      <c r="AS474" s="5"/>
      <c r="AT474" s="5"/>
      <c r="AU474" s="5"/>
      <c r="AV474" s="5"/>
      <c r="AW474" s="5" t="s">
        <v>5457</v>
      </c>
    </row>
    <row r="475" customFormat="false" ht="158.2" hidden="false" customHeight="false" outlineLevel="0" collapsed="false">
      <c r="A475" s="5" t="s">
        <v>5575</v>
      </c>
      <c r="B475" s="5" t="s">
        <v>5576</v>
      </c>
      <c r="C475" s="5" t="s">
        <v>5577</v>
      </c>
      <c r="D475" s="5" t="s">
        <v>5578</v>
      </c>
      <c r="E475" s="5" t="s">
        <v>149</v>
      </c>
      <c r="F475" s="5" t="s">
        <v>5579</v>
      </c>
      <c r="G475" s="5" t="s">
        <v>5580</v>
      </c>
      <c r="H475" s="5" t="n">
        <v>10</v>
      </c>
      <c r="I475" s="5" t="s">
        <v>603</v>
      </c>
      <c r="J475" s="5" t="s">
        <v>153</v>
      </c>
      <c r="K475" s="5"/>
      <c r="L475" s="5" t="s">
        <v>30</v>
      </c>
      <c r="M475" s="5" t="s">
        <v>155</v>
      </c>
      <c r="N475" s="5" t="s">
        <v>2157</v>
      </c>
      <c r="O475" s="5" t="s">
        <v>570</v>
      </c>
      <c r="P475" s="5" t="s">
        <v>158</v>
      </c>
      <c r="Q475" s="5" t="s">
        <v>3498</v>
      </c>
      <c r="R475" s="5" t="s">
        <v>5581</v>
      </c>
      <c r="S475" s="5" t="s">
        <v>5582</v>
      </c>
      <c r="T475" s="5" t="s">
        <v>606</v>
      </c>
      <c r="U475" s="5" t="n">
        <v>365</v>
      </c>
      <c r="V475" s="5" t="s">
        <v>5583</v>
      </c>
      <c r="W475" s="5" t="s">
        <v>5584</v>
      </c>
      <c r="X475" s="5" t="s">
        <v>5585</v>
      </c>
      <c r="Y475" s="5" t="s">
        <v>5586</v>
      </c>
      <c r="Z475" s="5" t="s">
        <v>5587</v>
      </c>
      <c r="AA475" s="5"/>
      <c r="AB475" s="5" t="s">
        <v>5588</v>
      </c>
      <c r="AC475" s="5"/>
      <c r="AD475" s="5"/>
      <c r="AE475" s="5"/>
      <c r="AF475" s="5"/>
      <c r="AG475" s="5"/>
      <c r="AH475" s="5"/>
      <c r="AI475" s="5"/>
      <c r="AJ475" s="5"/>
      <c r="AK475" s="5"/>
      <c r="AL475" s="5"/>
      <c r="AM475" s="5"/>
      <c r="AN475" s="5"/>
      <c r="AO475" s="5" t="s">
        <v>5589</v>
      </c>
      <c r="AP475" s="5"/>
      <c r="AQ475" s="5"/>
      <c r="AR475" s="5"/>
      <c r="AS475" s="5"/>
      <c r="AT475" s="5" t="s">
        <v>763</v>
      </c>
      <c r="AU475" s="5" t="s">
        <v>528</v>
      </c>
      <c r="AV475" s="5" t="s">
        <v>178</v>
      </c>
      <c r="AW475" s="5" t="s">
        <v>5590</v>
      </c>
    </row>
    <row r="476" customFormat="false" ht="147" hidden="false" customHeight="false" outlineLevel="0" collapsed="false">
      <c r="A476" s="5" t="s">
        <v>5591</v>
      </c>
      <c r="B476" s="5" t="s">
        <v>5592</v>
      </c>
      <c r="C476" s="5" t="s">
        <v>5577</v>
      </c>
      <c r="D476" s="5" t="s">
        <v>5578</v>
      </c>
      <c r="E476" s="5" t="s">
        <v>626</v>
      </c>
      <c r="F476" s="5" t="s">
        <v>5593</v>
      </c>
      <c r="G476" s="5" t="s">
        <v>5594</v>
      </c>
      <c r="H476" s="5" t="n">
        <v>9</v>
      </c>
      <c r="I476" s="5" t="s">
        <v>603</v>
      </c>
      <c r="J476" s="5" t="s">
        <v>153</v>
      </c>
      <c r="K476" s="5"/>
      <c r="L476" s="5" t="s">
        <v>30</v>
      </c>
      <c r="M476" s="5" t="s">
        <v>155</v>
      </c>
      <c r="N476" s="5" t="s">
        <v>1003</v>
      </c>
      <c r="O476" s="5" t="s">
        <v>157</v>
      </c>
      <c r="P476" s="5" t="s">
        <v>158</v>
      </c>
      <c r="Q476" s="5" t="s">
        <v>3498</v>
      </c>
      <c r="R476" s="5" t="s">
        <v>5581</v>
      </c>
      <c r="S476" s="5" t="s">
        <v>5582</v>
      </c>
      <c r="T476" s="5" t="s">
        <v>606</v>
      </c>
      <c r="U476" s="5" t="n">
        <v>365</v>
      </c>
      <c r="V476" s="5" t="s">
        <v>5583</v>
      </c>
      <c r="W476" s="5" t="s">
        <v>5584</v>
      </c>
      <c r="X476" s="5" t="s">
        <v>5595</v>
      </c>
      <c r="Y476" s="5" t="s">
        <v>5596</v>
      </c>
      <c r="Z476" s="5" t="s">
        <v>5597</v>
      </c>
      <c r="AA476" s="5"/>
      <c r="AB476" s="5"/>
      <c r="AC476" s="5"/>
      <c r="AD476" s="5"/>
      <c r="AE476" s="5"/>
      <c r="AF476" s="5" t="s">
        <v>5598</v>
      </c>
      <c r="AG476" s="5" t="s">
        <v>5598</v>
      </c>
      <c r="AH476" s="5"/>
      <c r="AI476" s="5"/>
      <c r="AJ476" s="5"/>
      <c r="AK476" s="5"/>
      <c r="AL476" s="5" t="s">
        <v>5598</v>
      </c>
      <c r="AM476" s="5"/>
      <c r="AN476" s="5" t="s">
        <v>5598</v>
      </c>
      <c r="AO476" s="5"/>
      <c r="AP476" s="5"/>
      <c r="AQ476" s="5"/>
      <c r="AR476" s="5" t="s">
        <v>2921</v>
      </c>
      <c r="AS476" s="5"/>
      <c r="AT476" s="5" t="s">
        <v>763</v>
      </c>
      <c r="AU476" s="5" t="s">
        <v>528</v>
      </c>
      <c r="AV476" s="5" t="s">
        <v>178</v>
      </c>
      <c r="AW476" s="5" t="s">
        <v>4200</v>
      </c>
    </row>
    <row r="477" customFormat="false" ht="124.6" hidden="false" customHeight="false" outlineLevel="0" collapsed="false">
      <c r="A477" s="5" t="s">
        <v>5599</v>
      </c>
      <c r="B477" s="5" t="s">
        <v>5600</v>
      </c>
      <c r="C477" s="5" t="s">
        <v>5577</v>
      </c>
      <c r="D477" s="5" t="s">
        <v>5578</v>
      </c>
      <c r="E477" s="5" t="s">
        <v>626</v>
      </c>
      <c r="F477" s="5" t="s">
        <v>5601</v>
      </c>
      <c r="G477" s="5" t="s">
        <v>5602</v>
      </c>
      <c r="H477" s="5" t="n">
        <v>9</v>
      </c>
      <c r="I477" s="5" t="s">
        <v>603</v>
      </c>
      <c r="J477" s="5" t="s">
        <v>153</v>
      </c>
      <c r="K477" s="5"/>
      <c r="L477" s="5" t="s">
        <v>30</v>
      </c>
      <c r="M477" s="5" t="s">
        <v>155</v>
      </c>
      <c r="N477" s="5" t="s">
        <v>4701</v>
      </c>
      <c r="O477" s="5" t="s">
        <v>570</v>
      </c>
      <c r="P477" s="5" t="s">
        <v>158</v>
      </c>
      <c r="Q477" s="5" t="s">
        <v>3498</v>
      </c>
      <c r="R477" s="5" t="s">
        <v>5581</v>
      </c>
      <c r="S477" s="5" t="s">
        <v>5582</v>
      </c>
      <c r="T477" s="5" t="s">
        <v>606</v>
      </c>
      <c r="U477" s="5" t="n">
        <v>365</v>
      </c>
      <c r="V477" s="5" t="s">
        <v>5583</v>
      </c>
      <c r="W477" s="5" t="s">
        <v>5584</v>
      </c>
      <c r="X477" s="5" t="s">
        <v>5603</v>
      </c>
      <c r="Y477" s="5" t="s">
        <v>5604</v>
      </c>
      <c r="Z477" s="5" t="s">
        <v>5605</v>
      </c>
      <c r="AA477" s="5"/>
      <c r="AB477" s="5"/>
      <c r="AC477" s="5"/>
      <c r="AD477" s="5"/>
      <c r="AE477" s="5"/>
      <c r="AF477" s="5" t="s">
        <v>5606</v>
      </c>
      <c r="AG477" s="5" t="s">
        <v>5606</v>
      </c>
      <c r="AH477" s="5"/>
      <c r="AI477" s="5"/>
      <c r="AJ477" s="5"/>
      <c r="AK477" s="5"/>
      <c r="AL477" s="5" t="s">
        <v>5606</v>
      </c>
      <c r="AM477" s="5" t="s">
        <v>5606</v>
      </c>
      <c r="AN477" s="5"/>
      <c r="AO477" s="5" t="s">
        <v>5589</v>
      </c>
      <c r="AP477" s="5"/>
      <c r="AQ477" s="5"/>
      <c r="AR477" s="5" t="s">
        <v>2921</v>
      </c>
      <c r="AS477" s="5"/>
      <c r="AT477" s="5"/>
      <c r="AU477" s="5"/>
      <c r="AV477" s="5" t="s">
        <v>178</v>
      </c>
      <c r="AW477" s="5" t="s">
        <v>4200</v>
      </c>
    </row>
    <row r="478" customFormat="false" ht="102.2" hidden="false" customHeight="false" outlineLevel="0" collapsed="false">
      <c r="A478" s="5" t="s">
        <v>5607</v>
      </c>
      <c r="B478" s="5" t="s">
        <v>5608</v>
      </c>
      <c r="C478" s="5" t="s">
        <v>5577</v>
      </c>
      <c r="D478" s="5" t="s">
        <v>5578</v>
      </c>
      <c r="E478" s="5" t="s">
        <v>626</v>
      </c>
      <c r="F478" s="5" t="s">
        <v>5609</v>
      </c>
      <c r="G478" s="5" t="s">
        <v>5610</v>
      </c>
      <c r="H478" s="5" t="n">
        <v>8</v>
      </c>
      <c r="I478" s="5" t="s">
        <v>603</v>
      </c>
      <c r="J478" s="5" t="s">
        <v>153</v>
      </c>
      <c r="K478" s="5"/>
      <c r="L478" s="5" t="s">
        <v>68</v>
      </c>
      <c r="M478" s="5" t="s">
        <v>185</v>
      </c>
      <c r="N478" s="5" t="s">
        <v>72</v>
      </c>
      <c r="O478" s="5" t="s">
        <v>666</v>
      </c>
      <c r="P478" s="5" t="s">
        <v>641</v>
      </c>
      <c r="Q478" s="5" t="s">
        <v>277</v>
      </c>
      <c r="R478" s="5" t="s">
        <v>5581</v>
      </c>
      <c r="S478" s="5" t="s">
        <v>5582</v>
      </c>
      <c r="T478" s="5" t="s">
        <v>606</v>
      </c>
      <c r="U478" s="5" t="n">
        <v>365</v>
      </c>
      <c r="V478" s="5" t="s">
        <v>5583</v>
      </c>
      <c r="W478" s="5" t="s">
        <v>5584</v>
      </c>
      <c r="X478" s="5" t="s">
        <v>5611</v>
      </c>
      <c r="Y478" s="5" t="s">
        <v>5612</v>
      </c>
      <c r="Z478" s="5" t="s">
        <v>5613</v>
      </c>
      <c r="AA478" s="5"/>
      <c r="AB478" s="5"/>
      <c r="AC478" s="5"/>
      <c r="AD478" s="5"/>
      <c r="AE478" s="5"/>
      <c r="AF478" s="5"/>
      <c r="AG478" s="5"/>
      <c r="AH478" s="5"/>
      <c r="AI478" s="5"/>
      <c r="AJ478" s="5"/>
      <c r="AK478" s="5"/>
      <c r="AL478" s="5"/>
      <c r="AM478" s="5"/>
      <c r="AN478" s="5"/>
      <c r="AO478" s="5" t="s">
        <v>5589</v>
      </c>
      <c r="AP478" s="5"/>
      <c r="AQ478" s="5"/>
      <c r="AR478" s="5"/>
      <c r="AS478" s="5"/>
      <c r="AT478" s="5"/>
      <c r="AU478" s="5" t="s">
        <v>528</v>
      </c>
      <c r="AV478" s="5" t="s">
        <v>178</v>
      </c>
      <c r="AW478" s="5" t="s">
        <v>4200</v>
      </c>
    </row>
    <row r="479" customFormat="false" ht="102.2" hidden="false" customHeight="false" outlineLevel="0" collapsed="false">
      <c r="A479" s="5" t="s">
        <v>5614</v>
      </c>
      <c r="B479" s="5" t="s">
        <v>5615</v>
      </c>
      <c r="C479" s="5" t="s">
        <v>5577</v>
      </c>
      <c r="D479" s="5" t="s">
        <v>5578</v>
      </c>
      <c r="E479" s="5" t="s">
        <v>626</v>
      </c>
      <c r="F479" s="5" t="s">
        <v>5616</v>
      </c>
      <c r="G479" s="5" t="s">
        <v>5617</v>
      </c>
      <c r="H479" s="5" t="n">
        <v>8</v>
      </c>
      <c r="I479" s="5" t="s">
        <v>603</v>
      </c>
      <c r="J479" s="5" t="s">
        <v>153</v>
      </c>
      <c r="K479" s="5"/>
      <c r="L479" s="5" t="s">
        <v>68</v>
      </c>
      <c r="M479" s="5" t="s">
        <v>185</v>
      </c>
      <c r="N479" s="5" t="s">
        <v>72</v>
      </c>
      <c r="O479" s="5" t="s">
        <v>666</v>
      </c>
      <c r="P479" s="5" t="s">
        <v>641</v>
      </c>
      <c r="Q479" s="5" t="s">
        <v>3498</v>
      </c>
      <c r="R479" s="5" t="s">
        <v>5581</v>
      </c>
      <c r="S479" s="5" t="s">
        <v>5582</v>
      </c>
      <c r="T479" s="5" t="s">
        <v>606</v>
      </c>
      <c r="U479" s="5" t="n">
        <v>365</v>
      </c>
      <c r="V479" s="5" t="s">
        <v>5583</v>
      </c>
      <c r="W479" s="5" t="s">
        <v>5584</v>
      </c>
      <c r="X479" s="5" t="s">
        <v>5618</v>
      </c>
      <c r="Y479" s="5" t="s">
        <v>5619</v>
      </c>
      <c r="Z479" s="5" t="s">
        <v>5613</v>
      </c>
      <c r="AA479" s="5"/>
      <c r="AB479" s="5"/>
      <c r="AC479" s="5"/>
      <c r="AD479" s="5"/>
      <c r="AE479" s="5"/>
      <c r="AF479" s="5"/>
      <c r="AG479" s="5"/>
      <c r="AH479" s="5"/>
      <c r="AI479" s="5"/>
      <c r="AJ479" s="5"/>
      <c r="AK479" s="5"/>
      <c r="AL479" s="5"/>
      <c r="AM479" s="5"/>
      <c r="AN479" s="5"/>
      <c r="AO479" s="5" t="s">
        <v>5589</v>
      </c>
      <c r="AP479" s="5"/>
      <c r="AQ479" s="5"/>
      <c r="AR479" s="5"/>
      <c r="AS479" s="5"/>
      <c r="AT479" s="5"/>
      <c r="AU479" s="5" t="s">
        <v>528</v>
      </c>
      <c r="AV479" s="5" t="s">
        <v>178</v>
      </c>
      <c r="AW479" s="5" t="s">
        <v>4200</v>
      </c>
    </row>
    <row r="480" customFormat="false" ht="102.2" hidden="false" customHeight="false" outlineLevel="0" collapsed="false">
      <c r="A480" s="5" t="s">
        <v>5620</v>
      </c>
      <c r="B480" s="5" t="s">
        <v>5621</v>
      </c>
      <c r="C480" s="5" t="s">
        <v>5577</v>
      </c>
      <c r="D480" s="5" t="s">
        <v>5578</v>
      </c>
      <c r="E480" s="5" t="s">
        <v>626</v>
      </c>
      <c r="F480" s="5" t="s">
        <v>5622</v>
      </c>
      <c r="G480" s="5" t="s">
        <v>5623</v>
      </c>
      <c r="H480" s="5" t="n">
        <v>7</v>
      </c>
      <c r="I480" s="5" t="s">
        <v>603</v>
      </c>
      <c r="J480" s="5" t="s">
        <v>153</v>
      </c>
      <c r="K480" s="5"/>
      <c r="L480" s="5" t="s">
        <v>68</v>
      </c>
      <c r="M480" s="5" t="s">
        <v>185</v>
      </c>
      <c r="N480" s="5" t="s">
        <v>72</v>
      </c>
      <c r="O480" s="5" t="s">
        <v>666</v>
      </c>
      <c r="P480" s="5" t="s">
        <v>215</v>
      </c>
      <c r="Q480" s="5" t="s">
        <v>519</v>
      </c>
      <c r="R480" s="5" t="s">
        <v>5581</v>
      </c>
      <c r="S480" s="5" t="s">
        <v>5582</v>
      </c>
      <c r="T480" s="5" t="s">
        <v>606</v>
      </c>
      <c r="U480" s="5" t="n">
        <v>365</v>
      </c>
      <c r="V480" s="5" t="s">
        <v>5583</v>
      </c>
      <c r="W480" s="5" t="s">
        <v>5584</v>
      </c>
      <c r="X480" s="5" t="s">
        <v>5624</v>
      </c>
      <c r="Y480" s="5" t="s">
        <v>5625</v>
      </c>
      <c r="Z480" s="5" t="s">
        <v>5626</v>
      </c>
      <c r="AA480" s="5"/>
      <c r="AB480" s="5"/>
      <c r="AC480" s="5"/>
      <c r="AD480" s="5"/>
      <c r="AE480" s="5"/>
      <c r="AF480" s="5"/>
      <c r="AG480" s="5"/>
      <c r="AH480" s="5"/>
      <c r="AI480" s="5"/>
      <c r="AJ480" s="5"/>
      <c r="AK480" s="5"/>
      <c r="AL480" s="5"/>
      <c r="AM480" s="5"/>
      <c r="AN480" s="5"/>
      <c r="AO480" s="5" t="s">
        <v>5627</v>
      </c>
      <c r="AP480" s="5"/>
      <c r="AQ480" s="5"/>
      <c r="AR480" s="5"/>
      <c r="AS480" s="5"/>
      <c r="AT480" s="5"/>
      <c r="AU480" s="5" t="s">
        <v>2545</v>
      </c>
      <c r="AV480" s="5"/>
      <c r="AW480" s="5" t="s">
        <v>4200</v>
      </c>
    </row>
    <row r="481" customFormat="false" ht="113.4" hidden="false" customHeight="false" outlineLevel="0" collapsed="false">
      <c r="A481" s="5" t="s">
        <v>5628</v>
      </c>
      <c r="B481" s="5" t="s">
        <v>5629</v>
      </c>
      <c r="C481" s="5" t="s">
        <v>5577</v>
      </c>
      <c r="D481" s="5" t="s">
        <v>5578</v>
      </c>
      <c r="E481" s="5" t="s">
        <v>626</v>
      </c>
      <c r="F481" s="5" t="s">
        <v>5630</v>
      </c>
      <c r="G481" s="5" t="s">
        <v>5631</v>
      </c>
      <c r="H481" s="5" t="n">
        <v>8</v>
      </c>
      <c r="I481" s="5" t="s">
        <v>603</v>
      </c>
      <c r="J481" s="5" t="s">
        <v>153</v>
      </c>
      <c r="K481" s="5" t="s">
        <v>5632</v>
      </c>
      <c r="L481" s="5" t="s">
        <v>30</v>
      </c>
      <c r="M481" s="5" t="s">
        <v>155</v>
      </c>
      <c r="N481" s="5" t="s">
        <v>125</v>
      </c>
      <c r="O481" s="5" t="s">
        <v>157</v>
      </c>
      <c r="P481" s="5" t="s">
        <v>215</v>
      </c>
      <c r="Q481" s="5" t="s">
        <v>519</v>
      </c>
      <c r="R481" s="5" t="s">
        <v>5581</v>
      </c>
      <c r="S481" s="5" t="s">
        <v>5582</v>
      </c>
      <c r="T481" s="5" t="s">
        <v>606</v>
      </c>
      <c r="U481" s="5" t="n">
        <v>365</v>
      </c>
      <c r="V481" s="5" t="s">
        <v>5583</v>
      </c>
      <c r="W481" s="5" t="s">
        <v>5584</v>
      </c>
      <c r="X481" s="5" t="s">
        <v>5633</v>
      </c>
      <c r="Y481" s="5" t="s">
        <v>5634</v>
      </c>
      <c r="Z481" s="5" t="s">
        <v>5635</v>
      </c>
      <c r="AA481" s="5"/>
      <c r="AB481" s="5" t="s">
        <v>5636</v>
      </c>
      <c r="AC481" s="5"/>
      <c r="AD481" s="5"/>
      <c r="AE481" s="5"/>
      <c r="AF481" s="5"/>
      <c r="AG481" s="5"/>
      <c r="AH481" s="5"/>
      <c r="AI481" s="5"/>
      <c r="AJ481" s="5"/>
      <c r="AK481" s="5"/>
      <c r="AL481" s="5"/>
      <c r="AM481" s="5"/>
      <c r="AN481" s="5"/>
      <c r="AO481" s="5"/>
      <c r="AP481" s="5"/>
      <c r="AQ481" s="5"/>
      <c r="AR481" s="5"/>
      <c r="AS481" s="5"/>
      <c r="AT481" s="5"/>
      <c r="AU481" s="5"/>
      <c r="AV481" s="5" t="s">
        <v>178</v>
      </c>
      <c r="AW481" s="5" t="s">
        <v>5637</v>
      </c>
    </row>
    <row r="482" customFormat="false" ht="281.3" hidden="false" customHeight="false" outlineLevel="0" collapsed="false">
      <c r="A482" s="5" t="s">
        <v>5638</v>
      </c>
      <c r="B482" s="5" t="s">
        <v>5639</v>
      </c>
      <c r="C482" s="5" t="s">
        <v>5640</v>
      </c>
      <c r="D482" s="5" t="s">
        <v>5641</v>
      </c>
      <c r="E482" s="5" t="s">
        <v>149</v>
      </c>
      <c r="F482" s="5" t="s">
        <v>5642</v>
      </c>
      <c r="G482" s="5" t="s">
        <v>5643</v>
      </c>
      <c r="H482" s="5" t="n">
        <v>10</v>
      </c>
      <c r="I482" s="5" t="s">
        <v>603</v>
      </c>
      <c r="J482" s="5" t="s">
        <v>153</v>
      </c>
      <c r="K482" s="5" t="s">
        <v>5644</v>
      </c>
      <c r="L482" s="5" t="s">
        <v>30</v>
      </c>
      <c r="M482" s="5" t="s">
        <v>155</v>
      </c>
      <c r="N482" s="5" t="s">
        <v>5645</v>
      </c>
      <c r="O482" s="5" t="s">
        <v>570</v>
      </c>
      <c r="P482" s="5" t="s">
        <v>158</v>
      </c>
      <c r="Q482" s="5" t="s">
        <v>519</v>
      </c>
      <c r="R482" s="5" t="s">
        <v>5646</v>
      </c>
      <c r="S482" s="5" t="s">
        <v>5647</v>
      </c>
      <c r="T482" s="5" t="s">
        <v>606</v>
      </c>
      <c r="U482" s="5" t="n">
        <v>365</v>
      </c>
      <c r="V482" s="5" t="s">
        <v>5648</v>
      </c>
      <c r="W482" s="5" t="s">
        <v>5649</v>
      </c>
      <c r="X482" s="5" t="s">
        <v>5650</v>
      </c>
      <c r="Y482" s="5" t="s">
        <v>5651</v>
      </c>
      <c r="Z482" s="5" t="s">
        <v>5652</v>
      </c>
      <c r="AA482" s="5" t="s">
        <v>5653</v>
      </c>
      <c r="AB482" s="5" t="s">
        <v>5654</v>
      </c>
      <c r="AC482" s="5"/>
      <c r="AD482" s="5"/>
      <c r="AE482" s="5"/>
      <c r="AF482" s="5" t="s">
        <v>5655</v>
      </c>
      <c r="AG482" s="5" t="s">
        <v>5655</v>
      </c>
      <c r="AH482" s="5" t="s">
        <v>5656</v>
      </c>
      <c r="AI482" s="5"/>
      <c r="AJ482" s="5" t="s">
        <v>5657</v>
      </c>
      <c r="AK482" s="5" t="s">
        <v>5658</v>
      </c>
      <c r="AL482" s="5" t="s">
        <v>5655</v>
      </c>
      <c r="AM482" s="5"/>
      <c r="AN482" s="5" t="s">
        <v>5659</v>
      </c>
      <c r="AO482" s="5" t="s">
        <v>5660</v>
      </c>
      <c r="AP482" s="5" t="s">
        <v>5661</v>
      </c>
      <c r="AQ482" s="5" t="s">
        <v>5655</v>
      </c>
      <c r="AR482" s="5" t="s">
        <v>646</v>
      </c>
      <c r="AS482" s="5"/>
      <c r="AT482" s="5" t="s">
        <v>5662</v>
      </c>
      <c r="AU482" s="5" t="s">
        <v>2628</v>
      </c>
      <c r="AV482" s="5" t="s">
        <v>178</v>
      </c>
      <c r="AW482" s="5" t="s">
        <v>5663</v>
      </c>
    </row>
    <row r="483" customFormat="false" ht="147" hidden="false" customHeight="false" outlineLevel="0" collapsed="false">
      <c r="A483" s="5" t="s">
        <v>5664</v>
      </c>
      <c r="B483" s="5" t="s">
        <v>5665</v>
      </c>
      <c r="C483" s="5" t="s">
        <v>5640</v>
      </c>
      <c r="D483" s="5" t="s">
        <v>5641</v>
      </c>
      <c r="E483" s="5" t="s">
        <v>626</v>
      </c>
      <c r="F483" s="5" t="s">
        <v>5666</v>
      </c>
      <c r="G483" s="5" t="s">
        <v>5667</v>
      </c>
      <c r="H483" s="5" t="n">
        <v>8</v>
      </c>
      <c r="I483" s="5" t="s">
        <v>603</v>
      </c>
      <c r="J483" s="5" t="s">
        <v>153</v>
      </c>
      <c r="K483" s="5" t="s">
        <v>5668</v>
      </c>
      <c r="L483" s="5" t="s">
        <v>30</v>
      </c>
      <c r="M483" s="5" t="s">
        <v>155</v>
      </c>
      <c r="N483" s="5" t="s">
        <v>769</v>
      </c>
      <c r="O483" s="5" t="s">
        <v>570</v>
      </c>
      <c r="P483" s="5" t="s">
        <v>158</v>
      </c>
      <c r="Q483" s="5" t="s">
        <v>605</v>
      </c>
      <c r="R483" s="5" t="s">
        <v>5646</v>
      </c>
      <c r="S483" s="5" t="s">
        <v>5647</v>
      </c>
      <c r="T483" s="5" t="s">
        <v>606</v>
      </c>
      <c r="U483" s="5" t="n">
        <v>365</v>
      </c>
      <c r="V483" s="5" t="s">
        <v>5648</v>
      </c>
      <c r="W483" s="5" t="s">
        <v>5649</v>
      </c>
      <c r="X483" s="5" t="s">
        <v>5669</v>
      </c>
      <c r="Y483" s="5" t="s">
        <v>5670</v>
      </c>
      <c r="Z483" s="5" t="s">
        <v>5671</v>
      </c>
      <c r="AA483" s="5"/>
      <c r="AB483" s="5"/>
      <c r="AC483" s="5"/>
      <c r="AD483" s="5" t="s">
        <v>5672</v>
      </c>
      <c r="AE483" s="5"/>
      <c r="AF483" s="5"/>
      <c r="AG483" s="5"/>
      <c r="AH483" s="5"/>
      <c r="AI483" s="5"/>
      <c r="AJ483" s="5"/>
      <c r="AK483" s="5"/>
      <c r="AL483" s="5"/>
      <c r="AM483" s="5"/>
      <c r="AN483" s="5"/>
      <c r="AO483" s="5" t="s">
        <v>5673</v>
      </c>
      <c r="AP483" s="5"/>
      <c r="AQ483" s="5"/>
      <c r="AR483" s="5"/>
      <c r="AS483" s="5"/>
      <c r="AT483" s="5"/>
      <c r="AU483" s="5" t="s">
        <v>5674</v>
      </c>
      <c r="AV483" s="5"/>
      <c r="AW483" s="5" t="s">
        <v>5675</v>
      </c>
    </row>
    <row r="484" customFormat="false" ht="147" hidden="false" customHeight="false" outlineLevel="0" collapsed="false">
      <c r="A484" s="5" t="s">
        <v>5676</v>
      </c>
      <c r="B484" s="5" t="s">
        <v>5677</v>
      </c>
      <c r="C484" s="5" t="s">
        <v>5640</v>
      </c>
      <c r="D484" s="5" t="s">
        <v>5641</v>
      </c>
      <c r="E484" s="5" t="s">
        <v>626</v>
      </c>
      <c r="F484" s="5" t="s">
        <v>5678</v>
      </c>
      <c r="G484" s="5" t="s">
        <v>5679</v>
      </c>
      <c r="H484" s="5" t="n">
        <v>9</v>
      </c>
      <c r="I484" s="5" t="s">
        <v>603</v>
      </c>
      <c r="J484" s="5" t="s">
        <v>153</v>
      </c>
      <c r="K484" s="5" t="s">
        <v>712</v>
      </c>
      <c r="L484" s="5" t="s">
        <v>30</v>
      </c>
      <c r="M484" s="5" t="s">
        <v>155</v>
      </c>
      <c r="N484" s="5" t="s">
        <v>5680</v>
      </c>
      <c r="O484" s="5" t="s">
        <v>570</v>
      </c>
      <c r="P484" s="5" t="s">
        <v>158</v>
      </c>
      <c r="Q484" s="5" t="s">
        <v>519</v>
      </c>
      <c r="R484" s="5" t="s">
        <v>5646</v>
      </c>
      <c r="S484" s="5" t="s">
        <v>5647</v>
      </c>
      <c r="T484" s="5" t="s">
        <v>606</v>
      </c>
      <c r="U484" s="5" t="n">
        <v>365</v>
      </c>
      <c r="V484" s="5" t="s">
        <v>5648</v>
      </c>
      <c r="W484" s="5" t="s">
        <v>5649</v>
      </c>
      <c r="X484" s="5" t="s">
        <v>5681</v>
      </c>
      <c r="Y484" s="5" t="s">
        <v>5682</v>
      </c>
      <c r="Z484" s="5" t="s">
        <v>5683</v>
      </c>
      <c r="AA484" s="5" t="s">
        <v>5653</v>
      </c>
      <c r="AB484" s="5"/>
      <c r="AC484" s="5"/>
      <c r="AD484" s="5"/>
      <c r="AE484" s="5"/>
      <c r="AF484" s="5"/>
      <c r="AG484" s="5"/>
      <c r="AH484" s="5"/>
      <c r="AI484" s="5" t="s">
        <v>5684</v>
      </c>
      <c r="AJ484" s="5" t="s">
        <v>5685</v>
      </c>
      <c r="AK484" s="5" t="s">
        <v>5658</v>
      </c>
      <c r="AL484" s="5"/>
      <c r="AM484" s="5"/>
      <c r="AN484" s="5"/>
      <c r="AO484" s="5" t="s">
        <v>5686</v>
      </c>
      <c r="AP484" s="5" t="s">
        <v>5687</v>
      </c>
      <c r="AQ484" s="5"/>
      <c r="AR484" s="5"/>
      <c r="AS484" s="5"/>
      <c r="AT484" s="5" t="s">
        <v>5688</v>
      </c>
      <c r="AU484" s="5"/>
      <c r="AV484" s="5" t="s">
        <v>178</v>
      </c>
      <c r="AW484" s="5" t="s">
        <v>5689</v>
      </c>
    </row>
    <row r="485" customFormat="false" ht="202.95" hidden="false" customHeight="false" outlineLevel="0" collapsed="false">
      <c r="A485" s="5" t="s">
        <v>5690</v>
      </c>
      <c r="B485" s="5" t="s">
        <v>5691</v>
      </c>
      <c r="C485" s="5" t="s">
        <v>5640</v>
      </c>
      <c r="D485" s="5" t="s">
        <v>5641</v>
      </c>
      <c r="E485" s="5" t="s">
        <v>626</v>
      </c>
      <c r="F485" s="5" t="s">
        <v>5692</v>
      </c>
      <c r="G485" s="5" t="s">
        <v>5693</v>
      </c>
      <c r="H485" s="5" t="n">
        <v>9</v>
      </c>
      <c r="I485" s="5" t="s">
        <v>603</v>
      </c>
      <c r="J485" s="5" t="s">
        <v>557</v>
      </c>
      <c r="K485" s="5"/>
      <c r="L485" s="5" t="s">
        <v>30</v>
      </c>
      <c r="M485" s="5" t="s">
        <v>155</v>
      </c>
      <c r="N485" s="5" t="s">
        <v>5694</v>
      </c>
      <c r="O485" s="5" t="s">
        <v>570</v>
      </c>
      <c r="P485" s="5" t="s">
        <v>158</v>
      </c>
      <c r="Q485" s="5" t="s">
        <v>519</v>
      </c>
      <c r="R485" s="5" t="s">
        <v>5646</v>
      </c>
      <c r="S485" s="5" t="s">
        <v>5647</v>
      </c>
      <c r="T485" s="5" t="s">
        <v>606</v>
      </c>
      <c r="U485" s="5" t="n">
        <v>90</v>
      </c>
      <c r="V485" s="5" t="s">
        <v>5648</v>
      </c>
      <c r="W485" s="5" t="s">
        <v>5649</v>
      </c>
      <c r="X485" s="5" t="s">
        <v>5695</v>
      </c>
      <c r="Y485" s="5" t="s">
        <v>5696</v>
      </c>
      <c r="Z485" s="5" t="s">
        <v>5697</v>
      </c>
      <c r="AA485" s="5"/>
      <c r="AB485" s="5" t="s">
        <v>5698</v>
      </c>
      <c r="AC485" s="5"/>
      <c r="AD485" s="5" t="s">
        <v>5699</v>
      </c>
      <c r="AE485" s="5"/>
      <c r="AF485" s="5" t="s">
        <v>1353</v>
      </c>
      <c r="AG485" s="5" t="s">
        <v>1353</v>
      </c>
      <c r="AH485" s="5"/>
      <c r="AI485" s="5"/>
      <c r="AJ485" s="5"/>
      <c r="AK485" s="5"/>
      <c r="AL485" s="5" t="s">
        <v>1353</v>
      </c>
      <c r="AM485" s="5"/>
      <c r="AN485" s="5"/>
      <c r="AO485" s="5" t="s">
        <v>1370</v>
      </c>
      <c r="AP485" s="5"/>
      <c r="AQ485" s="5" t="s">
        <v>1353</v>
      </c>
      <c r="AR485" s="5" t="s">
        <v>646</v>
      </c>
      <c r="AS485" s="5"/>
      <c r="AT485" s="5"/>
      <c r="AU485" s="5"/>
      <c r="AV485" s="5" t="s">
        <v>178</v>
      </c>
      <c r="AW485" s="5" t="s">
        <v>5700</v>
      </c>
    </row>
    <row r="486" customFormat="false" ht="169.4" hidden="false" customHeight="false" outlineLevel="0" collapsed="false">
      <c r="A486" s="5" t="s">
        <v>5701</v>
      </c>
      <c r="B486" s="5" t="s">
        <v>5702</v>
      </c>
      <c r="C486" s="5" t="s">
        <v>5640</v>
      </c>
      <c r="D486" s="5" t="s">
        <v>5641</v>
      </c>
      <c r="E486" s="5" t="s">
        <v>626</v>
      </c>
      <c r="F486" s="5" t="s">
        <v>5703</v>
      </c>
      <c r="G486" s="5" t="s">
        <v>5704</v>
      </c>
      <c r="H486" s="5" t="n">
        <v>10</v>
      </c>
      <c r="I486" s="5" t="s">
        <v>603</v>
      </c>
      <c r="J486" s="5" t="s">
        <v>153</v>
      </c>
      <c r="K486" s="5" t="s">
        <v>5705</v>
      </c>
      <c r="L486" s="5" t="s">
        <v>30</v>
      </c>
      <c r="M486" s="5" t="s">
        <v>155</v>
      </c>
      <c r="N486" s="5" t="s">
        <v>5706</v>
      </c>
      <c r="O486" s="5" t="s">
        <v>570</v>
      </c>
      <c r="P486" s="5" t="s">
        <v>158</v>
      </c>
      <c r="Q486" s="5" t="s">
        <v>519</v>
      </c>
      <c r="R486" s="5" t="s">
        <v>5646</v>
      </c>
      <c r="S486" s="5" t="s">
        <v>5647</v>
      </c>
      <c r="T486" s="5" t="s">
        <v>606</v>
      </c>
      <c r="U486" s="5" t="n">
        <v>365</v>
      </c>
      <c r="V486" s="5" t="s">
        <v>5648</v>
      </c>
      <c r="W486" s="5" t="s">
        <v>5649</v>
      </c>
      <c r="X486" s="5" t="s">
        <v>5707</v>
      </c>
      <c r="Y486" s="5" t="s">
        <v>5708</v>
      </c>
      <c r="Z486" s="5" t="s">
        <v>5709</v>
      </c>
      <c r="AA486" s="5" t="s">
        <v>5710</v>
      </c>
      <c r="AB486" s="5" t="s">
        <v>5711</v>
      </c>
      <c r="AC486" s="5"/>
      <c r="AD486" s="5" t="s">
        <v>5712</v>
      </c>
      <c r="AE486" s="5" t="s">
        <v>5713</v>
      </c>
      <c r="AF486" s="5" t="s">
        <v>5714</v>
      </c>
      <c r="AG486" s="5" t="s">
        <v>5715</v>
      </c>
      <c r="AH486" s="5" t="s">
        <v>5716</v>
      </c>
      <c r="AI486" s="5"/>
      <c r="AJ486" s="5"/>
      <c r="AK486" s="5"/>
      <c r="AL486" s="5" t="s">
        <v>5714</v>
      </c>
      <c r="AM486" s="5"/>
      <c r="AN486" s="5" t="s">
        <v>5717</v>
      </c>
      <c r="AO486" s="5" t="s">
        <v>5718</v>
      </c>
      <c r="AP486" s="5"/>
      <c r="AQ486" s="5" t="s">
        <v>5719</v>
      </c>
      <c r="AR486" s="5" t="s">
        <v>646</v>
      </c>
      <c r="AS486" s="5"/>
      <c r="AT486" s="5" t="s">
        <v>5720</v>
      </c>
      <c r="AU486" s="5"/>
      <c r="AV486" s="5" t="s">
        <v>178</v>
      </c>
      <c r="AW486" s="5" t="s">
        <v>5721</v>
      </c>
    </row>
    <row r="487" customFormat="false" ht="135.8" hidden="false" customHeight="false" outlineLevel="0" collapsed="false">
      <c r="A487" s="5" t="s">
        <v>5722</v>
      </c>
      <c r="B487" s="5" t="s">
        <v>5723</v>
      </c>
      <c r="C487" s="5" t="s">
        <v>5640</v>
      </c>
      <c r="D487" s="5" t="s">
        <v>5641</v>
      </c>
      <c r="E487" s="5" t="s">
        <v>626</v>
      </c>
      <c r="F487" s="5" t="s">
        <v>5724</v>
      </c>
      <c r="G487" s="5" t="s">
        <v>5725</v>
      </c>
      <c r="H487" s="5" t="n">
        <v>9</v>
      </c>
      <c r="I487" s="5" t="s">
        <v>603</v>
      </c>
      <c r="J487" s="5" t="s">
        <v>153</v>
      </c>
      <c r="K487" s="5"/>
      <c r="L487" s="5" t="s">
        <v>30</v>
      </c>
      <c r="M487" s="5" t="s">
        <v>155</v>
      </c>
      <c r="N487" s="5" t="s">
        <v>4919</v>
      </c>
      <c r="O487" s="5" t="s">
        <v>570</v>
      </c>
      <c r="P487" s="5" t="s">
        <v>158</v>
      </c>
      <c r="Q487" s="5" t="s">
        <v>519</v>
      </c>
      <c r="R487" s="5" t="s">
        <v>5646</v>
      </c>
      <c r="S487" s="5" t="s">
        <v>5647</v>
      </c>
      <c r="T487" s="5" t="s">
        <v>606</v>
      </c>
      <c r="U487" s="5" t="n">
        <v>365</v>
      </c>
      <c r="V487" s="5" t="s">
        <v>5648</v>
      </c>
      <c r="W487" s="5" t="s">
        <v>5649</v>
      </c>
      <c r="X487" s="5" t="s">
        <v>5726</v>
      </c>
      <c r="Y487" s="5" t="s">
        <v>5727</v>
      </c>
      <c r="Z487" s="5" t="s">
        <v>5728</v>
      </c>
      <c r="AA487" s="5"/>
      <c r="AB487" s="5"/>
      <c r="AC487" s="5"/>
      <c r="AD487" s="5"/>
      <c r="AE487" s="5"/>
      <c r="AF487" s="5" t="s">
        <v>5729</v>
      </c>
      <c r="AG487" s="5" t="s">
        <v>5730</v>
      </c>
      <c r="AH487" s="5"/>
      <c r="AI487" s="5"/>
      <c r="AJ487" s="5"/>
      <c r="AK487" s="5"/>
      <c r="AL487" s="5" t="s">
        <v>5729</v>
      </c>
      <c r="AM487" s="5" t="s">
        <v>5730</v>
      </c>
      <c r="AN487" s="5"/>
      <c r="AO487" s="5" t="s">
        <v>5731</v>
      </c>
      <c r="AP487" s="5"/>
      <c r="AQ487" s="5" t="s">
        <v>2101</v>
      </c>
      <c r="AR487" s="5" t="s">
        <v>2117</v>
      </c>
      <c r="AS487" s="5"/>
      <c r="AT487" s="5"/>
      <c r="AU487" s="5"/>
      <c r="AV487" s="5"/>
      <c r="AW487" s="5" t="s">
        <v>5732</v>
      </c>
    </row>
    <row r="488" customFormat="false" ht="202.95" hidden="false" customHeight="false" outlineLevel="0" collapsed="false">
      <c r="A488" s="5" t="s">
        <v>5733</v>
      </c>
      <c r="B488" s="5" t="s">
        <v>5734</v>
      </c>
      <c r="C488" s="5" t="s">
        <v>5640</v>
      </c>
      <c r="D488" s="5" t="s">
        <v>5641</v>
      </c>
      <c r="E488" s="5" t="s">
        <v>626</v>
      </c>
      <c r="F488" s="5" t="s">
        <v>5735</v>
      </c>
      <c r="G488" s="5" t="s">
        <v>5736</v>
      </c>
      <c r="H488" s="5" t="n">
        <v>7</v>
      </c>
      <c r="I488" s="5" t="s">
        <v>152</v>
      </c>
      <c r="J488" s="5" t="s">
        <v>153</v>
      </c>
      <c r="K488" s="5"/>
      <c r="L488" s="5" t="s">
        <v>30</v>
      </c>
      <c r="M488" s="5" t="s">
        <v>155</v>
      </c>
      <c r="N488" s="5" t="s">
        <v>994</v>
      </c>
      <c r="O488" s="5" t="s">
        <v>157</v>
      </c>
      <c r="P488" s="5" t="s">
        <v>215</v>
      </c>
      <c r="Q488" s="5" t="s">
        <v>519</v>
      </c>
      <c r="R488" s="5" t="s">
        <v>5646</v>
      </c>
      <c r="S488" s="5" t="s">
        <v>5647</v>
      </c>
      <c r="T488" s="5" t="s">
        <v>162</v>
      </c>
      <c r="U488" s="5" t="n">
        <v>365</v>
      </c>
      <c r="V488" s="5" t="s">
        <v>5648</v>
      </c>
      <c r="W488" s="5" t="s">
        <v>5649</v>
      </c>
      <c r="X488" s="5" t="s">
        <v>5737</v>
      </c>
      <c r="Y488" s="5" t="s">
        <v>5738</v>
      </c>
      <c r="Z488" s="5" t="s">
        <v>5739</v>
      </c>
      <c r="AA488" s="5"/>
      <c r="AB488" s="5"/>
      <c r="AC488" s="5"/>
      <c r="AD488" s="5"/>
      <c r="AE488" s="5"/>
      <c r="AF488" s="5" t="s">
        <v>5740</v>
      </c>
      <c r="AG488" s="5" t="s">
        <v>5741</v>
      </c>
      <c r="AH488" s="5"/>
      <c r="AI488" s="5"/>
      <c r="AJ488" s="5"/>
      <c r="AK488" s="5"/>
      <c r="AL488" s="5" t="s">
        <v>5740</v>
      </c>
      <c r="AM488" s="5" t="s">
        <v>5741</v>
      </c>
      <c r="AN488" s="5"/>
      <c r="AO488" s="5"/>
      <c r="AP488" s="5"/>
      <c r="AQ488" s="5" t="s">
        <v>5742</v>
      </c>
      <c r="AR488" s="5" t="s">
        <v>646</v>
      </c>
      <c r="AS488" s="5"/>
      <c r="AT488" s="5"/>
      <c r="AU488" s="5"/>
      <c r="AV488" s="5"/>
      <c r="AW488" s="5" t="s">
        <v>5743</v>
      </c>
    </row>
    <row r="489" customFormat="false" ht="214.15" hidden="false" customHeight="false" outlineLevel="0" collapsed="false">
      <c r="A489" s="5" t="s">
        <v>5744</v>
      </c>
      <c r="B489" s="5" t="s">
        <v>5745</v>
      </c>
      <c r="C489" s="5" t="s">
        <v>5640</v>
      </c>
      <c r="D489" s="5" t="s">
        <v>5641</v>
      </c>
      <c r="E489" s="5" t="s">
        <v>626</v>
      </c>
      <c r="F489" s="5" t="s">
        <v>5746</v>
      </c>
      <c r="G489" s="5" t="s">
        <v>5747</v>
      </c>
      <c r="H489" s="5" t="n">
        <v>7</v>
      </c>
      <c r="I489" s="5" t="s">
        <v>603</v>
      </c>
      <c r="J489" s="5" t="s">
        <v>153</v>
      </c>
      <c r="K489" s="5"/>
      <c r="L489" s="5" t="s">
        <v>85</v>
      </c>
      <c r="M489" s="5" t="s">
        <v>185</v>
      </c>
      <c r="N489" s="5" t="s">
        <v>88</v>
      </c>
      <c r="O489" s="5" t="s">
        <v>214</v>
      </c>
      <c r="P489" s="5" t="s">
        <v>215</v>
      </c>
      <c r="Q489" s="5" t="s">
        <v>519</v>
      </c>
      <c r="R489" s="5" t="s">
        <v>5646</v>
      </c>
      <c r="S489" s="5" t="s">
        <v>5647</v>
      </c>
      <c r="T489" s="5" t="s">
        <v>606</v>
      </c>
      <c r="U489" s="5" t="n">
        <v>365</v>
      </c>
      <c r="V489" s="5" t="s">
        <v>5648</v>
      </c>
      <c r="W489" s="5" t="s">
        <v>5649</v>
      </c>
      <c r="X489" s="5" t="s">
        <v>5748</v>
      </c>
      <c r="Y489" s="5" t="s">
        <v>5749</v>
      </c>
      <c r="Z489" s="5" t="s">
        <v>5750</v>
      </c>
      <c r="AA489" s="5"/>
      <c r="AB489" s="5"/>
      <c r="AC489" s="5"/>
      <c r="AD489" s="5"/>
      <c r="AE489" s="5"/>
      <c r="AF489" s="5" t="s">
        <v>5751</v>
      </c>
      <c r="AG489" s="5"/>
      <c r="AH489" s="5"/>
      <c r="AI489" s="5"/>
      <c r="AJ489" s="5"/>
      <c r="AK489" s="5"/>
      <c r="AL489" s="5" t="s">
        <v>5751</v>
      </c>
      <c r="AM489" s="5"/>
      <c r="AN489" s="5"/>
      <c r="AO489" s="5"/>
      <c r="AP489" s="5"/>
      <c r="AQ489" s="5" t="s">
        <v>5751</v>
      </c>
      <c r="AR489" s="5" t="s">
        <v>646</v>
      </c>
      <c r="AS489" s="5"/>
      <c r="AT489" s="5"/>
      <c r="AU489" s="5"/>
      <c r="AV489" s="5"/>
      <c r="AW489" s="5" t="s">
        <v>5752</v>
      </c>
    </row>
    <row r="490" customFormat="false" ht="124.6" hidden="false" customHeight="false" outlineLevel="0" collapsed="false">
      <c r="A490" s="5" t="s">
        <v>5753</v>
      </c>
      <c r="B490" s="5" t="s">
        <v>5754</v>
      </c>
      <c r="C490" s="5" t="s">
        <v>5640</v>
      </c>
      <c r="D490" s="5" t="s">
        <v>5641</v>
      </c>
      <c r="E490" s="5" t="s">
        <v>626</v>
      </c>
      <c r="F490" s="5" t="s">
        <v>5755</v>
      </c>
      <c r="G490" s="5" t="s">
        <v>5756</v>
      </c>
      <c r="H490" s="5" t="n">
        <v>5</v>
      </c>
      <c r="I490" s="5" t="s">
        <v>603</v>
      </c>
      <c r="J490" s="5" t="s">
        <v>557</v>
      </c>
      <c r="K490" s="5"/>
      <c r="L490" s="5" t="s">
        <v>55</v>
      </c>
      <c r="M490" s="5" t="s">
        <v>185</v>
      </c>
      <c r="N490" s="5" t="s">
        <v>5757</v>
      </c>
      <c r="O490" s="5" t="s">
        <v>187</v>
      </c>
      <c r="P490" s="5" t="s">
        <v>158</v>
      </c>
      <c r="Q490" s="5" t="s">
        <v>519</v>
      </c>
      <c r="R490" s="5" t="s">
        <v>5646</v>
      </c>
      <c r="S490" s="5" t="s">
        <v>5647</v>
      </c>
      <c r="T490" s="5" t="s">
        <v>606</v>
      </c>
      <c r="U490" s="5" t="n">
        <v>90</v>
      </c>
      <c r="V490" s="5" t="s">
        <v>5648</v>
      </c>
      <c r="W490" s="5" t="s">
        <v>5649</v>
      </c>
      <c r="X490" s="5" t="s">
        <v>5758</v>
      </c>
      <c r="Y490" s="5" t="s">
        <v>5759</v>
      </c>
      <c r="Z490" s="5" t="s">
        <v>5760</v>
      </c>
      <c r="AA490" s="5"/>
      <c r="AB490" s="5"/>
      <c r="AC490" s="5"/>
      <c r="AD490" s="5"/>
      <c r="AE490" s="5"/>
      <c r="AF490" s="5" t="s">
        <v>5761</v>
      </c>
      <c r="AG490" s="5"/>
      <c r="AH490" s="5"/>
      <c r="AI490" s="5"/>
      <c r="AJ490" s="5" t="s">
        <v>5762</v>
      </c>
      <c r="AK490" s="5"/>
      <c r="AL490" s="5" t="s">
        <v>5761</v>
      </c>
      <c r="AM490" s="5"/>
      <c r="AN490" s="5"/>
      <c r="AO490" s="5"/>
      <c r="AP490" s="5"/>
      <c r="AQ490" s="5" t="s">
        <v>5761</v>
      </c>
      <c r="AR490" s="5" t="s">
        <v>646</v>
      </c>
      <c r="AS490" s="5"/>
      <c r="AT490" s="5" t="s">
        <v>1907</v>
      </c>
      <c r="AU490" s="5"/>
      <c r="AV490" s="5"/>
      <c r="AW490" s="5" t="s">
        <v>5752</v>
      </c>
    </row>
    <row r="491" customFormat="false" ht="124.6" hidden="false" customHeight="false" outlineLevel="0" collapsed="false">
      <c r="A491" s="5" t="s">
        <v>5763</v>
      </c>
      <c r="B491" s="5" t="s">
        <v>5764</v>
      </c>
      <c r="C491" s="5" t="s">
        <v>5640</v>
      </c>
      <c r="D491" s="5" t="s">
        <v>5641</v>
      </c>
      <c r="E491" s="5" t="s">
        <v>626</v>
      </c>
      <c r="F491" s="5" t="s">
        <v>5765</v>
      </c>
      <c r="G491" s="5" t="s">
        <v>5766</v>
      </c>
      <c r="H491" s="5" t="n">
        <v>5</v>
      </c>
      <c r="I491" s="5" t="s">
        <v>603</v>
      </c>
      <c r="J491" s="5" t="s">
        <v>557</v>
      </c>
      <c r="K491" s="5"/>
      <c r="L491" s="5" t="s">
        <v>55</v>
      </c>
      <c r="M491" s="5" t="s">
        <v>185</v>
      </c>
      <c r="N491" s="5" t="s">
        <v>439</v>
      </c>
      <c r="O491" s="5" t="s">
        <v>187</v>
      </c>
      <c r="P491" s="5" t="s">
        <v>215</v>
      </c>
      <c r="Q491" s="5" t="s">
        <v>519</v>
      </c>
      <c r="R491" s="5" t="s">
        <v>5646</v>
      </c>
      <c r="S491" s="5" t="s">
        <v>5647</v>
      </c>
      <c r="T491" s="5" t="s">
        <v>606</v>
      </c>
      <c r="U491" s="5" t="n">
        <v>90</v>
      </c>
      <c r="V491" s="5" t="s">
        <v>5648</v>
      </c>
      <c r="W491" s="5" t="s">
        <v>5649</v>
      </c>
      <c r="X491" s="5" t="s">
        <v>5767</v>
      </c>
      <c r="Y491" s="5" t="s">
        <v>5768</v>
      </c>
      <c r="Z491" s="5" t="s">
        <v>5769</v>
      </c>
      <c r="AA491" s="5"/>
      <c r="AB491" s="5"/>
      <c r="AC491" s="5"/>
      <c r="AD491" s="5"/>
      <c r="AE491" s="5"/>
      <c r="AF491" s="5" t="s">
        <v>5770</v>
      </c>
      <c r="AG491" s="5"/>
      <c r="AH491" s="5"/>
      <c r="AI491" s="5"/>
      <c r="AJ491" s="5" t="s">
        <v>5771</v>
      </c>
      <c r="AK491" s="5"/>
      <c r="AL491" s="5" t="s">
        <v>5770</v>
      </c>
      <c r="AM491" s="5"/>
      <c r="AN491" s="5"/>
      <c r="AO491" s="5"/>
      <c r="AP491" s="5"/>
      <c r="AQ491" s="5"/>
      <c r="AR491" s="5" t="s">
        <v>646</v>
      </c>
      <c r="AS491" s="5"/>
      <c r="AT491" s="5"/>
      <c r="AU491" s="5"/>
      <c r="AV491" s="5"/>
      <c r="AW491" s="5" t="s">
        <v>5772</v>
      </c>
    </row>
    <row r="492" customFormat="false" ht="191.75" hidden="false" customHeight="false" outlineLevel="0" collapsed="false">
      <c r="A492" s="5" t="s">
        <v>5773</v>
      </c>
      <c r="B492" s="5" t="s">
        <v>5774</v>
      </c>
      <c r="C492" s="5" t="s">
        <v>5640</v>
      </c>
      <c r="D492" s="5" t="s">
        <v>5641</v>
      </c>
      <c r="E492" s="5" t="s">
        <v>626</v>
      </c>
      <c r="F492" s="5" t="s">
        <v>5775</v>
      </c>
      <c r="G492" s="5" t="s">
        <v>5776</v>
      </c>
      <c r="H492" s="5" t="n">
        <v>5</v>
      </c>
      <c r="I492" s="5" t="s">
        <v>603</v>
      </c>
      <c r="J492" s="5" t="s">
        <v>153</v>
      </c>
      <c r="K492" s="5"/>
      <c r="L492" s="5" t="s">
        <v>30</v>
      </c>
      <c r="M492" s="5" t="s">
        <v>155</v>
      </c>
      <c r="N492" s="5" t="s">
        <v>124</v>
      </c>
      <c r="O492" s="5" t="s">
        <v>157</v>
      </c>
      <c r="P492" s="5" t="s">
        <v>215</v>
      </c>
      <c r="Q492" s="5" t="s">
        <v>519</v>
      </c>
      <c r="R492" s="5" t="s">
        <v>5646</v>
      </c>
      <c r="S492" s="5" t="s">
        <v>5647</v>
      </c>
      <c r="T492" s="5" t="s">
        <v>606</v>
      </c>
      <c r="U492" s="5" t="n">
        <v>365</v>
      </c>
      <c r="V492" s="5" t="s">
        <v>5648</v>
      </c>
      <c r="W492" s="5" t="s">
        <v>5649</v>
      </c>
      <c r="X492" s="5" t="s">
        <v>5777</v>
      </c>
      <c r="Y492" s="5" t="s">
        <v>5778</v>
      </c>
      <c r="Z492" s="5" t="s">
        <v>5779</v>
      </c>
      <c r="AA492" s="5" t="s">
        <v>5780</v>
      </c>
      <c r="AB492" s="5"/>
      <c r="AC492" s="5"/>
      <c r="AD492" s="5"/>
      <c r="AE492" s="5"/>
      <c r="AF492" s="5" t="s">
        <v>5781</v>
      </c>
      <c r="AG492" s="5"/>
      <c r="AH492" s="5"/>
      <c r="AI492" s="5"/>
      <c r="AJ492" s="5"/>
      <c r="AK492" s="5"/>
      <c r="AL492" s="5" t="s">
        <v>5781</v>
      </c>
      <c r="AM492" s="5"/>
      <c r="AN492" s="5"/>
      <c r="AO492" s="5"/>
      <c r="AP492" s="5"/>
      <c r="AQ492" s="5"/>
      <c r="AR492" s="5" t="s">
        <v>646</v>
      </c>
      <c r="AS492" s="5"/>
      <c r="AT492" s="5"/>
      <c r="AU492" s="5"/>
      <c r="AV492" s="5"/>
      <c r="AW492" s="5" t="s">
        <v>5782</v>
      </c>
    </row>
    <row r="493" customFormat="false" ht="202.95" hidden="false" customHeight="false" outlineLevel="0" collapsed="false">
      <c r="A493" s="5" t="s">
        <v>5783</v>
      </c>
      <c r="B493" s="5" t="s">
        <v>5784</v>
      </c>
      <c r="C493" s="5" t="s">
        <v>5640</v>
      </c>
      <c r="D493" s="5" t="s">
        <v>5641</v>
      </c>
      <c r="E493" s="5" t="s">
        <v>626</v>
      </c>
      <c r="F493" s="5" t="s">
        <v>5785</v>
      </c>
      <c r="G493" s="5" t="s">
        <v>5786</v>
      </c>
      <c r="H493" s="5" t="n">
        <v>5</v>
      </c>
      <c r="I493" s="5" t="s">
        <v>603</v>
      </c>
      <c r="J493" s="5" t="s">
        <v>153</v>
      </c>
      <c r="K493" s="5"/>
      <c r="L493" s="5" t="s">
        <v>30</v>
      </c>
      <c r="M493" s="5" t="s">
        <v>155</v>
      </c>
      <c r="N493" s="5" t="s">
        <v>5367</v>
      </c>
      <c r="O493" s="5" t="s">
        <v>157</v>
      </c>
      <c r="P493" s="5" t="s">
        <v>215</v>
      </c>
      <c r="Q493" s="5" t="s">
        <v>519</v>
      </c>
      <c r="R493" s="5" t="s">
        <v>5646</v>
      </c>
      <c r="S493" s="5" t="s">
        <v>5647</v>
      </c>
      <c r="T493" s="5" t="s">
        <v>606</v>
      </c>
      <c r="U493" s="5" t="n">
        <v>365</v>
      </c>
      <c r="V493" s="5" t="s">
        <v>5648</v>
      </c>
      <c r="W493" s="5" t="s">
        <v>5649</v>
      </c>
      <c r="X493" s="5" t="s">
        <v>5787</v>
      </c>
      <c r="Y493" s="5" t="s">
        <v>5788</v>
      </c>
      <c r="Z493" s="5" t="s">
        <v>5789</v>
      </c>
      <c r="AA493" s="5" t="s">
        <v>5710</v>
      </c>
      <c r="AB493" s="5"/>
      <c r="AC493" s="5"/>
      <c r="AD493" s="5"/>
      <c r="AE493" s="5"/>
      <c r="AF493" s="5" t="s">
        <v>5790</v>
      </c>
      <c r="AG493" s="5"/>
      <c r="AH493" s="5"/>
      <c r="AI493" s="5"/>
      <c r="AJ493" s="5"/>
      <c r="AK493" s="5"/>
      <c r="AL493" s="5" t="s">
        <v>5790</v>
      </c>
      <c r="AM493" s="5"/>
      <c r="AN493" s="5"/>
      <c r="AO493" s="5"/>
      <c r="AP493" s="5"/>
      <c r="AQ493" s="5" t="s">
        <v>1626</v>
      </c>
      <c r="AR493" s="5" t="s">
        <v>646</v>
      </c>
      <c r="AS493" s="5"/>
      <c r="AT493" s="5"/>
      <c r="AU493" s="5"/>
      <c r="AV493" s="5" t="s">
        <v>178</v>
      </c>
      <c r="AW493" s="5" t="s">
        <v>5791</v>
      </c>
    </row>
    <row r="494" customFormat="false" ht="225.35" hidden="false" customHeight="false" outlineLevel="0" collapsed="false">
      <c r="A494" s="5" t="s">
        <v>5792</v>
      </c>
      <c r="B494" s="5" t="s">
        <v>5793</v>
      </c>
      <c r="C494" s="5" t="s">
        <v>5640</v>
      </c>
      <c r="D494" s="5" t="s">
        <v>5641</v>
      </c>
      <c r="E494" s="5" t="s">
        <v>626</v>
      </c>
      <c r="F494" s="5" t="s">
        <v>5794</v>
      </c>
      <c r="G494" s="5" t="s">
        <v>5795</v>
      </c>
      <c r="H494" s="5" t="n">
        <v>10</v>
      </c>
      <c r="I494" s="5" t="s">
        <v>603</v>
      </c>
      <c r="J494" s="5" t="s">
        <v>153</v>
      </c>
      <c r="K494" s="5" t="s">
        <v>5796</v>
      </c>
      <c r="L494" s="5" t="s">
        <v>30</v>
      </c>
      <c r="M494" s="5" t="s">
        <v>155</v>
      </c>
      <c r="N494" s="5" t="s">
        <v>5797</v>
      </c>
      <c r="O494" s="5" t="s">
        <v>570</v>
      </c>
      <c r="P494" s="5" t="s">
        <v>158</v>
      </c>
      <c r="Q494" s="5" t="s">
        <v>519</v>
      </c>
      <c r="R494" s="5" t="s">
        <v>5646</v>
      </c>
      <c r="S494" s="5" t="s">
        <v>5647</v>
      </c>
      <c r="T494" s="5" t="s">
        <v>606</v>
      </c>
      <c r="U494" s="5" t="n">
        <v>365</v>
      </c>
      <c r="V494" s="5" t="s">
        <v>5648</v>
      </c>
      <c r="W494" s="5" t="s">
        <v>5649</v>
      </c>
      <c r="X494" s="5" t="s">
        <v>5798</v>
      </c>
      <c r="Y494" s="5" t="s">
        <v>5799</v>
      </c>
      <c r="Z494" s="5" t="s">
        <v>5800</v>
      </c>
      <c r="AA494" s="5" t="s">
        <v>5801</v>
      </c>
      <c r="AB494" s="5" t="s">
        <v>5802</v>
      </c>
      <c r="AC494" s="5"/>
      <c r="AD494" s="5" t="s">
        <v>5803</v>
      </c>
      <c r="AE494" s="5"/>
      <c r="AF494" s="5" t="s">
        <v>5804</v>
      </c>
      <c r="AG494" s="5" t="s">
        <v>5804</v>
      </c>
      <c r="AH494" s="5" t="s">
        <v>5805</v>
      </c>
      <c r="AI494" s="5" t="s">
        <v>5806</v>
      </c>
      <c r="AJ494" s="5" t="s">
        <v>5807</v>
      </c>
      <c r="AK494" s="5"/>
      <c r="AL494" s="5" t="s">
        <v>5804</v>
      </c>
      <c r="AM494" s="5" t="s">
        <v>5804</v>
      </c>
      <c r="AN494" s="5"/>
      <c r="AO494" s="5" t="s">
        <v>5808</v>
      </c>
      <c r="AP494" s="5"/>
      <c r="AQ494" s="5"/>
      <c r="AR494" s="5" t="s">
        <v>2921</v>
      </c>
      <c r="AS494" s="5"/>
      <c r="AT494" s="5" t="s">
        <v>5809</v>
      </c>
      <c r="AU494" s="5" t="s">
        <v>2545</v>
      </c>
      <c r="AV494" s="5" t="s">
        <v>178</v>
      </c>
      <c r="AW494" s="5" t="s">
        <v>5810</v>
      </c>
    </row>
    <row r="495" customFormat="false" ht="191.75" hidden="false" customHeight="false" outlineLevel="0" collapsed="false">
      <c r="A495" s="5" t="s">
        <v>5811</v>
      </c>
      <c r="B495" s="5" t="s">
        <v>5812</v>
      </c>
      <c r="C495" s="5" t="s">
        <v>5640</v>
      </c>
      <c r="D495" s="5" t="s">
        <v>5641</v>
      </c>
      <c r="E495" s="5" t="s">
        <v>626</v>
      </c>
      <c r="F495" s="5" t="s">
        <v>5813</v>
      </c>
      <c r="G495" s="5" t="s">
        <v>5814</v>
      </c>
      <c r="H495" s="5" t="n">
        <v>10</v>
      </c>
      <c r="I495" s="5" t="s">
        <v>603</v>
      </c>
      <c r="J495" s="5" t="s">
        <v>153</v>
      </c>
      <c r="K495" s="5" t="s">
        <v>5815</v>
      </c>
      <c r="L495" s="5" t="s">
        <v>30</v>
      </c>
      <c r="M495" s="5" t="s">
        <v>155</v>
      </c>
      <c r="N495" s="5" t="s">
        <v>5816</v>
      </c>
      <c r="O495" s="5" t="s">
        <v>570</v>
      </c>
      <c r="P495" s="5" t="s">
        <v>158</v>
      </c>
      <c r="Q495" s="5" t="s">
        <v>519</v>
      </c>
      <c r="R495" s="5" t="s">
        <v>5646</v>
      </c>
      <c r="S495" s="5" t="s">
        <v>5647</v>
      </c>
      <c r="T495" s="5" t="s">
        <v>606</v>
      </c>
      <c r="U495" s="5" t="n">
        <v>365</v>
      </c>
      <c r="V495" s="5" t="s">
        <v>5648</v>
      </c>
      <c r="W495" s="5" t="s">
        <v>5649</v>
      </c>
      <c r="X495" s="5" t="s">
        <v>5817</v>
      </c>
      <c r="Y495" s="5" t="s">
        <v>5818</v>
      </c>
      <c r="Z495" s="5" t="s">
        <v>5819</v>
      </c>
      <c r="AA495" s="5" t="s">
        <v>5820</v>
      </c>
      <c r="AB495" s="5" t="s">
        <v>5821</v>
      </c>
      <c r="AC495" s="5"/>
      <c r="AD495" s="5" t="s">
        <v>5822</v>
      </c>
      <c r="AE495" s="5"/>
      <c r="AF495" s="5" t="s">
        <v>5823</v>
      </c>
      <c r="AG495" s="5" t="s">
        <v>5824</v>
      </c>
      <c r="AH495" s="5"/>
      <c r="AI495" s="5" t="s">
        <v>5806</v>
      </c>
      <c r="AJ495" s="5" t="s">
        <v>5807</v>
      </c>
      <c r="AK495" s="5"/>
      <c r="AL495" s="5" t="s">
        <v>5823</v>
      </c>
      <c r="AM495" s="5" t="s">
        <v>5824</v>
      </c>
      <c r="AN495" s="5"/>
      <c r="AO495" s="5" t="s">
        <v>5825</v>
      </c>
      <c r="AP495" s="5"/>
      <c r="AQ495" s="5" t="s">
        <v>5826</v>
      </c>
      <c r="AR495" s="5" t="s">
        <v>646</v>
      </c>
      <c r="AS495" s="5"/>
      <c r="AT495" s="5" t="s">
        <v>5827</v>
      </c>
      <c r="AU495" s="5" t="s">
        <v>2545</v>
      </c>
      <c r="AV495" s="5" t="s">
        <v>178</v>
      </c>
      <c r="AW495" s="5" t="s">
        <v>5828</v>
      </c>
    </row>
    <row r="496" customFormat="false" ht="158.2" hidden="false" customHeight="false" outlineLevel="0" collapsed="false">
      <c r="A496" s="5" t="s">
        <v>5829</v>
      </c>
      <c r="B496" s="5" t="s">
        <v>5830</v>
      </c>
      <c r="C496" s="5" t="s">
        <v>5640</v>
      </c>
      <c r="D496" s="5" t="s">
        <v>5641</v>
      </c>
      <c r="E496" s="5" t="s">
        <v>626</v>
      </c>
      <c r="F496" s="5" t="s">
        <v>5831</v>
      </c>
      <c r="G496" s="5" t="s">
        <v>5832</v>
      </c>
      <c r="H496" s="5" t="n">
        <v>2</v>
      </c>
      <c r="I496" s="5" t="s">
        <v>603</v>
      </c>
      <c r="J496" s="5" t="s">
        <v>153</v>
      </c>
      <c r="K496" s="5"/>
      <c r="L496" s="5" t="s">
        <v>68</v>
      </c>
      <c r="M496" s="5" t="s">
        <v>185</v>
      </c>
      <c r="N496" s="5" t="s">
        <v>72</v>
      </c>
      <c r="O496" s="5" t="s">
        <v>666</v>
      </c>
      <c r="P496" s="5" t="s">
        <v>215</v>
      </c>
      <c r="Q496" s="5" t="s">
        <v>519</v>
      </c>
      <c r="R496" s="5" t="s">
        <v>5646</v>
      </c>
      <c r="S496" s="5" t="s">
        <v>5647</v>
      </c>
      <c r="T496" s="5" t="s">
        <v>606</v>
      </c>
      <c r="U496" s="5" t="n">
        <v>365</v>
      </c>
      <c r="V496" s="5" t="s">
        <v>5648</v>
      </c>
      <c r="W496" s="5" t="s">
        <v>5649</v>
      </c>
      <c r="X496" s="5" t="s">
        <v>5833</v>
      </c>
      <c r="Y496" s="5" t="s">
        <v>5834</v>
      </c>
      <c r="Z496" s="5" t="s">
        <v>5835</v>
      </c>
      <c r="AA496" s="5"/>
      <c r="AB496" s="5"/>
      <c r="AC496" s="5"/>
      <c r="AD496" s="5"/>
      <c r="AE496" s="5"/>
      <c r="AF496" s="5" t="s">
        <v>5836</v>
      </c>
      <c r="AG496" s="5"/>
      <c r="AH496" s="5"/>
      <c r="AI496" s="5"/>
      <c r="AJ496" s="5"/>
      <c r="AK496" s="5"/>
      <c r="AL496" s="5" t="s">
        <v>5836</v>
      </c>
      <c r="AM496" s="5"/>
      <c r="AN496" s="5"/>
      <c r="AO496" s="5" t="s">
        <v>2871</v>
      </c>
      <c r="AP496" s="5"/>
      <c r="AQ496" s="5"/>
      <c r="AR496" s="5" t="s">
        <v>2921</v>
      </c>
      <c r="AS496" s="5"/>
      <c r="AT496" s="5"/>
      <c r="AU496" s="5"/>
      <c r="AV496" s="5"/>
      <c r="AW496" s="5" t="s">
        <v>5837</v>
      </c>
    </row>
    <row r="497" customFormat="false" ht="247.75" hidden="false" customHeight="false" outlineLevel="0" collapsed="false">
      <c r="A497" s="5" t="s">
        <v>5838</v>
      </c>
      <c r="B497" s="5" t="s">
        <v>5839</v>
      </c>
      <c r="C497" s="5" t="s">
        <v>5640</v>
      </c>
      <c r="D497" s="5" t="s">
        <v>5641</v>
      </c>
      <c r="E497" s="5" t="s">
        <v>626</v>
      </c>
      <c r="F497" s="5" t="s">
        <v>5840</v>
      </c>
      <c r="G497" s="5" t="s">
        <v>5841</v>
      </c>
      <c r="H497" s="5" t="n">
        <v>9</v>
      </c>
      <c r="I497" s="5" t="s">
        <v>152</v>
      </c>
      <c r="J497" s="5" t="s">
        <v>153</v>
      </c>
      <c r="K497" s="5" t="s">
        <v>5632</v>
      </c>
      <c r="L497" s="5" t="s">
        <v>30</v>
      </c>
      <c r="M497" s="5" t="s">
        <v>155</v>
      </c>
      <c r="N497" s="5" t="s">
        <v>5842</v>
      </c>
      <c r="O497" s="5" t="s">
        <v>157</v>
      </c>
      <c r="P497" s="5" t="s">
        <v>158</v>
      </c>
      <c r="Q497" s="5" t="s">
        <v>519</v>
      </c>
      <c r="R497" s="5" t="s">
        <v>5646</v>
      </c>
      <c r="S497" s="5" t="s">
        <v>5647</v>
      </c>
      <c r="T497" s="5" t="s">
        <v>162</v>
      </c>
      <c r="U497" s="5" t="n">
        <v>365</v>
      </c>
      <c r="V497" s="5" t="s">
        <v>5648</v>
      </c>
      <c r="W497" s="5" t="s">
        <v>5649</v>
      </c>
      <c r="X497" s="5" t="s">
        <v>5843</v>
      </c>
      <c r="Y497" s="5" t="s">
        <v>5844</v>
      </c>
      <c r="Z497" s="5" t="s">
        <v>5845</v>
      </c>
      <c r="AA497" s="5" t="s">
        <v>5653</v>
      </c>
      <c r="AB497" s="5"/>
      <c r="AC497" s="5"/>
      <c r="AD497" s="5"/>
      <c r="AE497" s="5"/>
      <c r="AF497" s="5" t="s">
        <v>5846</v>
      </c>
      <c r="AG497" s="5" t="s">
        <v>5847</v>
      </c>
      <c r="AH497" s="5"/>
      <c r="AI497" s="5"/>
      <c r="AJ497" s="5"/>
      <c r="AK497" s="5"/>
      <c r="AL497" s="5" t="s">
        <v>5846</v>
      </c>
      <c r="AM497" s="5"/>
      <c r="AN497" s="5" t="s">
        <v>5848</v>
      </c>
      <c r="AO497" s="5"/>
      <c r="AP497" s="5"/>
      <c r="AQ497" s="5"/>
      <c r="AR497" s="5" t="s">
        <v>5849</v>
      </c>
      <c r="AS497" s="5"/>
      <c r="AT497" s="5"/>
      <c r="AU497" s="5"/>
      <c r="AV497" s="5" t="s">
        <v>178</v>
      </c>
      <c r="AW497" s="5" t="s">
        <v>5850</v>
      </c>
    </row>
    <row r="498" customFormat="false" ht="191.75" hidden="false" customHeight="false" outlineLevel="0" collapsed="false">
      <c r="A498" s="5" t="s">
        <v>5851</v>
      </c>
      <c r="B498" s="5" t="s">
        <v>5852</v>
      </c>
      <c r="C498" s="5" t="s">
        <v>5640</v>
      </c>
      <c r="D498" s="5" t="s">
        <v>5641</v>
      </c>
      <c r="E498" s="5" t="s">
        <v>626</v>
      </c>
      <c r="F498" s="5" t="s">
        <v>5853</v>
      </c>
      <c r="G498" s="5" t="s">
        <v>5854</v>
      </c>
      <c r="H498" s="5" t="n">
        <v>7</v>
      </c>
      <c r="I498" s="5" t="s">
        <v>603</v>
      </c>
      <c r="J498" s="5" t="s">
        <v>153</v>
      </c>
      <c r="K498" s="5"/>
      <c r="L498" s="5" t="s">
        <v>30</v>
      </c>
      <c r="M498" s="5" t="s">
        <v>155</v>
      </c>
      <c r="N498" s="5" t="s">
        <v>5855</v>
      </c>
      <c r="O498" s="5" t="s">
        <v>157</v>
      </c>
      <c r="P498" s="5" t="s">
        <v>215</v>
      </c>
      <c r="Q498" s="5" t="s">
        <v>519</v>
      </c>
      <c r="R498" s="5" t="s">
        <v>5646</v>
      </c>
      <c r="S498" s="5" t="s">
        <v>5647</v>
      </c>
      <c r="T498" s="5" t="s">
        <v>606</v>
      </c>
      <c r="U498" s="5" t="n">
        <v>365</v>
      </c>
      <c r="V498" s="5" t="s">
        <v>5648</v>
      </c>
      <c r="W498" s="5" t="s">
        <v>5649</v>
      </c>
      <c r="X498" s="5" t="s">
        <v>5856</v>
      </c>
      <c r="Y498" s="5" t="s">
        <v>5857</v>
      </c>
      <c r="Z498" s="5" t="s">
        <v>5858</v>
      </c>
      <c r="AA498" s="5" t="s">
        <v>5859</v>
      </c>
      <c r="AB498" s="5"/>
      <c r="AC498" s="5"/>
      <c r="AD498" s="5"/>
      <c r="AE498" s="5"/>
      <c r="AF498" s="5" t="s">
        <v>5860</v>
      </c>
      <c r="AG498" s="5" t="s">
        <v>5860</v>
      </c>
      <c r="AH498" s="5"/>
      <c r="AI498" s="5"/>
      <c r="AJ498" s="5"/>
      <c r="AK498" s="5"/>
      <c r="AL498" s="5" t="s">
        <v>5860</v>
      </c>
      <c r="AM498" s="5"/>
      <c r="AN498" s="5"/>
      <c r="AO498" s="5"/>
      <c r="AP498" s="5"/>
      <c r="AQ498" s="5"/>
      <c r="AR498" s="5" t="s">
        <v>1774</v>
      </c>
      <c r="AS498" s="5"/>
      <c r="AT498" s="5"/>
      <c r="AU498" s="5"/>
      <c r="AV498" s="5" t="s">
        <v>178</v>
      </c>
      <c r="AW498" s="5" t="s">
        <v>5861</v>
      </c>
    </row>
    <row r="499" customFormat="false" ht="202.95" hidden="false" customHeight="false" outlineLevel="0" collapsed="false">
      <c r="A499" s="5" t="s">
        <v>5862</v>
      </c>
      <c r="B499" s="5" t="s">
        <v>5863</v>
      </c>
      <c r="C499" s="5" t="s">
        <v>5640</v>
      </c>
      <c r="D499" s="5" t="s">
        <v>5641</v>
      </c>
      <c r="E499" s="5" t="s">
        <v>626</v>
      </c>
      <c r="F499" s="5" t="s">
        <v>5864</v>
      </c>
      <c r="G499" s="5" t="s">
        <v>5865</v>
      </c>
      <c r="H499" s="5" t="n">
        <v>10</v>
      </c>
      <c r="I499" s="5" t="s">
        <v>603</v>
      </c>
      <c r="J499" s="5" t="s">
        <v>153</v>
      </c>
      <c r="K499" s="5"/>
      <c r="L499" s="5" t="s">
        <v>30</v>
      </c>
      <c r="M499" s="5" t="s">
        <v>155</v>
      </c>
      <c r="N499" s="5" t="s">
        <v>5866</v>
      </c>
      <c r="O499" s="5" t="s">
        <v>570</v>
      </c>
      <c r="P499" s="5" t="s">
        <v>158</v>
      </c>
      <c r="Q499" s="5" t="s">
        <v>519</v>
      </c>
      <c r="R499" s="5" t="s">
        <v>5646</v>
      </c>
      <c r="S499" s="5" t="s">
        <v>5647</v>
      </c>
      <c r="T499" s="5" t="s">
        <v>606</v>
      </c>
      <c r="U499" s="5" t="n">
        <v>365</v>
      </c>
      <c r="V499" s="5" t="s">
        <v>5648</v>
      </c>
      <c r="W499" s="5" t="s">
        <v>5649</v>
      </c>
      <c r="X499" s="5" t="s">
        <v>5867</v>
      </c>
      <c r="Y499" s="5" t="s">
        <v>5868</v>
      </c>
      <c r="Z499" s="5" t="s">
        <v>5869</v>
      </c>
      <c r="AA499" s="5" t="s">
        <v>5870</v>
      </c>
      <c r="AB499" s="5" t="s">
        <v>5871</v>
      </c>
      <c r="AC499" s="5"/>
      <c r="AD499" s="5" t="s">
        <v>5872</v>
      </c>
      <c r="AE499" s="5" t="s">
        <v>5873</v>
      </c>
      <c r="AF499" s="5" t="s">
        <v>5874</v>
      </c>
      <c r="AG499" s="5"/>
      <c r="AH499" s="5"/>
      <c r="AI499" s="5" t="s">
        <v>840</v>
      </c>
      <c r="AJ499" s="5" t="s">
        <v>5875</v>
      </c>
      <c r="AK499" s="5"/>
      <c r="AL499" s="5" t="s">
        <v>5874</v>
      </c>
      <c r="AM499" s="5"/>
      <c r="AN499" s="5"/>
      <c r="AO499" s="5" t="s">
        <v>5876</v>
      </c>
      <c r="AP499" s="5" t="s">
        <v>2696</v>
      </c>
      <c r="AQ499" s="5"/>
      <c r="AR499" s="5" t="s">
        <v>2921</v>
      </c>
      <c r="AS499" s="5"/>
      <c r="AT499" s="5" t="s">
        <v>5877</v>
      </c>
      <c r="AU499" s="5"/>
      <c r="AV499" s="5" t="s">
        <v>178</v>
      </c>
      <c r="AW499" s="5" t="s">
        <v>5878</v>
      </c>
    </row>
    <row r="500" customFormat="false" ht="225.35" hidden="false" customHeight="false" outlineLevel="0" collapsed="false">
      <c r="A500" s="5" t="s">
        <v>5879</v>
      </c>
      <c r="B500" s="5" t="s">
        <v>5880</v>
      </c>
      <c r="C500" s="5" t="s">
        <v>5640</v>
      </c>
      <c r="D500" s="5" t="s">
        <v>5641</v>
      </c>
      <c r="E500" s="5" t="s">
        <v>626</v>
      </c>
      <c r="F500" s="5" t="s">
        <v>5881</v>
      </c>
      <c r="G500" s="5" t="s">
        <v>5882</v>
      </c>
      <c r="H500" s="5" t="n">
        <v>9</v>
      </c>
      <c r="I500" s="5" t="s">
        <v>603</v>
      </c>
      <c r="J500" s="5" t="s">
        <v>153</v>
      </c>
      <c r="K500" s="5"/>
      <c r="L500" s="5" t="s">
        <v>30</v>
      </c>
      <c r="M500" s="5" t="s">
        <v>155</v>
      </c>
      <c r="N500" s="5" t="s">
        <v>5883</v>
      </c>
      <c r="O500" s="5" t="s">
        <v>570</v>
      </c>
      <c r="P500" s="5" t="s">
        <v>158</v>
      </c>
      <c r="Q500" s="5" t="s">
        <v>519</v>
      </c>
      <c r="R500" s="5" t="s">
        <v>5646</v>
      </c>
      <c r="S500" s="5" t="s">
        <v>5647</v>
      </c>
      <c r="T500" s="5" t="s">
        <v>606</v>
      </c>
      <c r="U500" s="5" t="n">
        <v>365</v>
      </c>
      <c r="V500" s="5" t="s">
        <v>5648</v>
      </c>
      <c r="W500" s="5" t="s">
        <v>5649</v>
      </c>
      <c r="X500" s="5" t="s">
        <v>5884</v>
      </c>
      <c r="Y500" s="5" t="s">
        <v>5885</v>
      </c>
      <c r="Z500" s="5" t="s">
        <v>5886</v>
      </c>
      <c r="AA500" s="5"/>
      <c r="AB500" s="5" t="s">
        <v>5887</v>
      </c>
      <c r="AC500" s="5"/>
      <c r="AD500" s="5"/>
      <c r="AE500" s="5"/>
      <c r="AF500" s="5" t="s">
        <v>5888</v>
      </c>
      <c r="AG500" s="5"/>
      <c r="AH500" s="5"/>
      <c r="AI500" s="5"/>
      <c r="AJ500" s="5"/>
      <c r="AK500" s="5"/>
      <c r="AL500" s="5" t="s">
        <v>5888</v>
      </c>
      <c r="AM500" s="5"/>
      <c r="AN500" s="5"/>
      <c r="AO500" s="5" t="s">
        <v>5876</v>
      </c>
      <c r="AP500" s="5"/>
      <c r="AQ500" s="5" t="s">
        <v>1626</v>
      </c>
      <c r="AR500" s="5" t="s">
        <v>646</v>
      </c>
      <c r="AS500" s="5"/>
      <c r="AT500" s="5" t="s">
        <v>5889</v>
      </c>
      <c r="AU500" s="5"/>
      <c r="AV500" s="5"/>
      <c r="AW500" s="5" t="s">
        <v>5890</v>
      </c>
    </row>
    <row r="501" customFormat="false" ht="135.8" hidden="false" customHeight="false" outlineLevel="0" collapsed="false">
      <c r="A501" s="5" t="s">
        <v>5891</v>
      </c>
      <c r="B501" s="5" t="s">
        <v>5892</v>
      </c>
      <c r="C501" s="5" t="s">
        <v>5640</v>
      </c>
      <c r="D501" s="5" t="s">
        <v>5641</v>
      </c>
      <c r="E501" s="5" t="s">
        <v>626</v>
      </c>
      <c r="F501" s="5" t="s">
        <v>5893</v>
      </c>
      <c r="G501" s="5" t="s">
        <v>5894</v>
      </c>
      <c r="H501" s="5" t="n">
        <v>10</v>
      </c>
      <c r="I501" s="5" t="s">
        <v>603</v>
      </c>
      <c r="J501" s="5" t="s">
        <v>153</v>
      </c>
      <c r="K501" s="5"/>
      <c r="L501" s="5" t="s">
        <v>30</v>
      </c>
      <c r="M501" s="5" t="s">
        <v>155</v>
      </c>
      <c r="N501" s="5" t="s">
        <v>5895</v>
      </c>
      <c r="O501" s="5" t="s">
        <v>157</v>
      </c>
      <c r="P501" s="5" t="s">
        <v>215</v>
      </c>
      <c r="Q501" s="5" t="s">
        <v>519</v>
      </c>
      <c r="R501" s="5" t="s">
        <v>5646</v>
      </c>
      <c r="S501" s="5" t="s">
        <v>5647</v>
      </c>
      <c r="T501" s="5" t="s">
        <v>606</v>
      </c>
      <c r="U501" s="5" t="n">
        <v>365</v>
      </c>
      <c r="V501" s="5" t="s">
        <v>5648</v>
      </c>
      <c r="W501" s="5" t="s">
        <v>5649</v>
      </c>
      <c r="X501" s="5" t="s">
        <v>5896</v>
      </c>
      <c r="Y501" s="5" t="s">
        <v>5897</v>
      </c>
      <c r="Z501" s="5" t="s">
        <v>5898</v>
      </c>
      <c r="AA501" s="5" t="s">
        <v>5899</v>
      </c>
      <c r="AB501" s="5" t="s">
        <v>5900</v>
      </c>
      <c r="AC501" s="5"/>
      <c r="AD501" s="5"/>
      <c r="AE501" s="5" t="s">
        <v>5901</v>
      </c>
      <c r="AF501" s="5"/>
      <c r="AG501" s="5"/>
      <c r="AH501" s="5"/>
      <c r="AI501" s="5"/>
      <c r="AJ501" s="5"/>
      <c r="AK501" s="5"/>
      <c r="AL501" s="5"/>
      <c r="AM501" s="5"/>
      <c r="AN501" s="5"/>
      <c r="AO501" s="5"/>
      <c r="AP501" s="5"/>
      <c r="AQ501" s="5"/>
      <c r="AR501" s="5"/>
      <c r="AS501" s="5"/>
      <c r="AT501" s="5"/>
      <c r="AU501" s="5"/>
      <c r="AV501" s="5" t="s">
        <v>178</v>
      </c>
      <c r="AW501" s="5" t="s">
        <v>5902</v>
      </c>
    </row>
    <row r="502" customFormat="false" ht="135.8" hidden="false" customHeight="false" outlineLevel="0" collapsed="false">
      <c r="A502" s="5" t="s">
        <v>5903</v>
      </c>
      <c r="B502" s="5" t="s">
        <v>5904</v>
      </c>
      <c r="C502" s="5" t="s">
        <v>5640</v>
      </c>
      <c r="D502" s="5" t="s">
        <v>5641</v>
      </c>
      <c r="E502" s="5" t="s">
        <v>626</v>
      </c>
      <c r="F502" s="5" t="s">
        <v>5905</v>
      </c>
      <c r="G502" s="5" t="s">
        <v>5906</v>
      </c>
      <c r="H502" s="5" t="n">
        <v>4</v>
      </c>
      <c r="I502" s="5" t="s">
        <v>603</v>
      </c>
      <c r="J502" s="5" t="s">
        <v>153</v>
      </c>
      <c r="K502" s="5"/>
      <c r="L502" s="5" t="s">
        <v>30</v>
      </c>
      <c r="M502" s="5" t="s">
        <v>155</v>
      </c>
      <c r="N502" s="5" t="s">
        <v>5907</v>
      </c>
      <c r="O502" s="5" t="s">
        <v>570</v>
      </c>
      <c r="P502" s="5" t="s">
        <v>215</v>
      </c>
      <c r="Q502" s="5" t="s">
        <v>519</v>
      </c>
      <c r="R502" s="5" t="s">
        <v>5646</v>
      </c>
      <c r="S502" s="5" t="s">
        <v>5647</v>
      </c>
      <c r="T502" s="5" t="s">
        <v>606</v>
      </c>
      <c r="U502" s="5" t="n">
        <v>365</v>
      </c>
      <c r="V502" s="5" t="s">
        <v>5648</v>
      </c>
      <c r="W502" s="5" t="s">
        <v>5649</v>
      </c>
      <c r="X502" s="5" t="s">
        <v>5908</v>
      </c>
      <c r="Y502" s="5" t="s">
        <v>5909</v>
      </c>
      <c r="Z502" s="5" t="s">
        <v>5910</v>
      </c>
      <c r="AA502" s="5"/>
      <c r="AB502" s="5"/>
      <c r="AC502" s="5"/>
      <c r="AD502" s="5"/>
      <c r="AE502" s="5" t="s">
        <v>5911</v>
      </c>
      <c r="AF502" s="5"/>
      <c r="AG502" s="5"/>
      <c r="AH502" s="5"/>
      <c r="AI502" s="5"/>
      <c r="AJ502" s="5" t="s">
        <v>5912</v>
      </c>
      <c r="AK502" s="5"/>
      <c r="AL502" s="5"/>
      <c r="AM502" s="5"/>
      <c r="AN502" s="5"/>
      <c r="AO502" s="5" t="s">
        <v>5913</v>
      </c>
      <c r="AP502" s="5"/>
      <c r="AQ502" s="5"/>
      <c r="AR502" s="5"/>
      <c r="AS502" s="5"/>
      <c r="AT502" s="5"/>
      <c r="AU502" s="5"/>
      <c r="AV502" s="5"/>
      <c r="AW502" s="5" t="s">
        <v>5914</v>
      </c>
    </row>
    <row r="503" customFormat="false" ht="124.6" hidden="false" customHeight="false" outlineLevel="0" collapsed="false">
      <c r="A503" s="5" t="s">
        <v>5915</v>
      </c>
      <c r="B503" s="5" t="s">
        <v>5916</v>
      </c>
      <c r="C503" s="5" t="s">
        <v>5640</v>
      </c>
      <c r="D503" s="5" t="s">
        <v>5641</v>
      </c>
      <c r="E503" s="5" t="s">
        <v>626</v>
      </c>
      <c r="F503" s="5" t="s">
        <v>5917</v>
      </c>
      <c r="G503" s="5" t="s">
        <v>5918</v>
      </c>
      <c r="H503" s="5" t="n">
        <v>6</v>
      </c>
      <c r="I503" s="5" t="s">
        <v>603</v>
      </c>
      <c r="J503" s="5" t="s">
        <v>153</v>
      </c>
      <c r="K503" s="5"/>
      <c r="L503" s="5" t="s">
        <v>30</v>
      </c>
      <c r="M503" s="5" t="s">
        <v>155</v>
      </c>
      <c r="N503" s="5" t="s">
        <v>5919</v>
      </c>
      <c r="O503" s="5" t="s">
        <v>157</v>
      </c>
      <c r="P503" s="5" t="s">
        <v>215</v>
      </c>
      <c r="Q503" s="5" t="s">
        <v>519</v>
      </c>
      <c r="R503" s="5" t="s">
        <v>5646</v>
      </c>
      <c r="S503" s="5" t="s">
        <v>5647</v>
      </c>
      <c r="T503" s="5" t="s">
        <v>606</v>
      </c>
      <c r="U503" s="5" t="n">
        <v>365</v>
      </c>
      <c r="V503" s="5" t="s">
        <v>5648</v>
      </c>
      <c r="W503" s="5" t="s">
        <v>5649</v>
      </c>
      <c r="X503" s="5" t="s">
        <v>5920</v>
      </c>
      <c r="Y503" s="5" t="s">
        <v>5921</v>
      </c>
      <c r="Z503" s="5" t="s">
        <v>5922</v>
      </c>
      <c r="AA503" s="5"/>
      <c r="AB503" s="5"/>
      <c r="AC503" s="5"/>
      <c r="AD503" s="5"/>
      <c r="AE503" s="5"/>
      <c r="AF503" s="5" t="s">
        <v>5923</v>
      </c>
      <c r="AG503" s="5" t="s">
        <v>5923</v>
      </c>
      <c r="AH503" s="5"/>
      <c r="AI503" s="5" t="s">
        <v>5684</v>
      </c>
      <c r="AJ503" s="5"/>
      <c r="AK503" s="5"/>
      <c r="AL503" s="5" t="s">
        <v>5923</v>
      </c>
      <c r="AM503" s="5"/>
      <c r="AN503" s="5"/>
      <c r="AO503" s="5"/>
      <c r="AP503" s="5"/>
      <c r="AQ503" s="5"/>
      <c r="AR503" s="5" t="s">
        <v>646</v>
      </c>
      <c r="AS503" s="5"/>
      <c r="AT503" s="5"/>
      <c r="AU503" s="5"/>
      <c r="AV503" s="5"/>
      <c r="AW503" s="5" t="s">
        <v>5828</v>
      </c>
    </row>
    <row r="504" customFormat="false" ht="135.8" hidden="false" customHeight="false" outlineLevel="0" collapsed="false">
      <c r="A504" s="5" t="s">
        <v>5924</v>
      </c>
      <c r="B504" s="5" t="s">
        <v>5925</v>
      </c>
      <c r="C504" s="5" t="s">
        <v>5640</v>
      </c>
      <c r="D504" s="5" t="s">
        <v>5641</v>
      </c>
      <c r="E504" s="5" t="s">
        <v>626</v>
      </c>
      <c r="F504" s="5" t="s">
        <v>5926</v>
      </c>
      <c r="G504" s="5" t="s">
        <v>5927</v>
      </c>
      <c r="H504" s="5" t="n">
        <v>7</v>
      </c>
      <c r="I504" s="5" t="s">
        <v>603</v>
      </c>
      <c r="J504" s="5" t="s">
        <v>153</v>
      </c>
      <c r="K504" s="5"/>
      <c r="L504" s="5" t="s">
        <v>30</v>
      </c>
      <c r="M504" s="5" t="s">
        <v>155</v>
      </c>
      <c r="N504" s="5" t="s">
        <v>450</v>
      </c>
      <c r="O504" s="5" t="s">
        <v>157</v>
      </c>
      <c r="P504" s="5" t="s">
        <v>215</v>
      </c>
      <c r="Q504" s="5" t="s">
        <v>519</v>
      </c>
      <c r="R504" s="5" t="s">
        <v>5646</v>
      </c>
      <c r="S504" s="5" t="s">
        <v>5647</v>
      </c>
      <c r="T504" s="5" t="s">
        <v>606</v>
      </c>
      <c r="U504" s="5" t="n">
        <v>365</v>
      </c>
      <c r="V504" s="5" t="s">
        <v>5648</v>
      </c>
      <c r="W504" s="5" t="s">
        <v>5649</v>
      </c>
      <c r="X504" s="5" t="s">
        <v>5928</v>
      </c>
      <c r="Y504" s="5" t="s">
        <v>5929</v>
      </c>
      <c r="Z504" s="5" t="s">
        <v>5930</v>
      </c>
      <c r="AA504" s="5"/>
      <c r="AB504" s="5"/>
      <c r="AC504" s="5"/>
      <c r="AD504" s="5"/>
      <c r="AE504" s="5" t="s">
        <v>5931</v>
      </c>
      <c r="AF504" s="5"/>
      <c r="AG504" s="5"/>
      <c r="AH504" s="5"/>
      <c r="AI504" s="5"/>
      <c r="AJ504" s="5"/>
      <c r="AK504" s="5"/>
      <c r="AL504" s="5"/>
      <c r="AM504" s="5"/>
      <c r="AN504" s="5"/>
      <c r="AO504" s="5"/>
      <c r="AP504" s="5"/>
      <c r="AQ504" s="5"/>
      <c r="AR504" s="5"/>
      <c r="AS504" s="5"/>
      <c r="AT504" s="5"/>
      <c r="AU504" s="5"/>
      <c r="AV504" s="5"/>
      <c r="AW504" s="5" t="s">
        <v>5932</v>
      </c>
    </row>
    <row r="505" customFormat="false" ht="214.15" hidden="false" customHeight="false" outlineLevel="0" collapsed="false">
      <c r="A505" s="5" t="s">
        <v>5933</v>
      </c>
      <c r="B505" s="5" t="s">
        <v>5934</v>
      </c>
      <c r="C505" s="5" t="s">
        <v>5640</v>
      </c>
      <c r="D505" s="5" t="s">
        <v>5641</v>
      </c>
      <c r="E505" s="5" t="s">
        <v>626</v>
      </c>
      <c r="F505" s="5" t="s">
        <v>5935</v>
      </c>
      <c r="G505" s="5" t="s">
        <v>5936</v>
      </c>
      <c r="H505" s="5" t="n">
        <v>8</v>
      </c>
      <c r="I505" s="5" t="s">
        <v>603</v>
      </c>
      <c r="J505" s="5" t="s">
        <v>153</v>
      </c>
      <c r="K505" s="5"/>
      <c r="L505" s="5" t="s">
        <v>30</v>
      </c>
      <c r="M505" s="5" t="s">
        <v>155</v>
      </c>
      <c r="N505" s="5" t="s">
        <v>5937</v>
      </c>
      <c r="O505" s="5" t="s">
        <v>570</v>
      </c>
      <c r="P505" s="5" t="s">
        <v>641</v>
      </c>
      <c r="Q505" s="5" t="s">
        <v>519</v>
      </c>
      <c r="R505" s="5" t="s">
        <v>5646</v>
      </c>
      <c r="S505" s="5" t="s">
        <v>5647</v>
      </c>
      <c r="T505" s="5" t="s">
        <v>606</v>
      </c>
      <c r="U505" s="5" t="n">
        <v>365</v>
      </c>
      <c r="V505" s="5" t="s">
        <v>5648</v>
      </c>
      <c r="W505" s="5" t="s">
        <v>5649</v>
      </c>
      <c r="X505" s="5" t="s">
        <v>5938</v>
      </c>
      <c r="Y505" s="5" t="s">
        <v>5939</v>
      </c>
      <c r="Z505" s="5" t="s">
        <v>5940</v>
      </c>
      <c r="AA505" s="5" t="s">
        <v>5941</v>
      </c>
      <c r="AB505" s="5"/>
      <c r="AC505" s="5"/>
      <c r="AD505" s="5" t="s">
        <v>5942</v>
      </c>
      <c r="AE505" s="5"/>
      <c r="AF505" s="5" t="s">
        <v>5943</v>
      </c>
      <c r="AG505" s="5"/>
      <c r="AH505" s="5"/>
      <c r="AI505" s="5"/>
      <c r="AJ505" s="5"/>
      <c r="AK505" s="5"/>
      <c r="AL505" s="5" t="s">
        <v>5943</v>
      </c>
      <c r="AM505" s="5" t="s">
        <v>5943</v>
      </c>
      <c r="AN505" s="5"/>
      <c r="AO505" s="5"/>
      <c r="AP505" s="5"/>
      <c r="AQ505" s="5"/>
      <c r="AR505" s="5" t="s">
        <v>646</v>
      </c>
      <c r="AS505" s="5"/>
      <c r="AT505" s="5"/>
      <c r="AU505" s="5"/>
      <c r="AV505" s="5" t="s">
        <v>178</v>
      </c>
      <c r="AW505" s="5" t="s">
        <v>5944</v>
      </c>
    </row>
    <row r="506" customFormat="false" ht="124.6" hidden="false" customHeight="false" outlineLevel="0" collapsed="false">
      <c r="A506" s="5" t="s">
        <v>5945</v>
      </c>
      <c r="B506" s="5" t="s">
        <v>5946</v>
      </c>
      <c r="C506" s="5" t="s">
        <v>5640</v>
      </c>
      <c r="D506" s="5" t="s">
        <v>5641</v>
      </c>
      <c r="E506" s="5" t="s">
        <v>626</v>
      </c>
      <c r="F506" s="5" t="s">
        <v>5947</v>
      </c>
      <c r="G506" s="5" t="s">
        <v>5948</v>
      </c>
      <c r="H506" s="5" t="n">
        <v>9</v>
      </c>
      <c r="I506" s="5" t="s">
        <v>603</v>
      </c>
      <c r="J506" s="5" t="s">
        <v>153</v>
      </c>
      <c r="K506" s="5"/>
      <c r="L506" s="5" t="s">
        <v>30</v>
      </c>
      <c r="M506" s="5" t="s">
        <v>155</v>
      </c>
      <c r="N506" s="5" t="s">
        <v>846</v>
      </c>
      <c r="O506" s="5" t="s">
        <v>157</v>
      </c>
      <c r="P506" s="5" t="s">
        <v>158</v>
      </c>
      <c r="Q506" s="5" t="s">
        <v>605</v>
      </c>
      <c r="R506" s="5" t="s">
        <v>5646</v>
      </c>
      <c r="S506" s="5" t="s">
        <v>5647</v>
      </c>
      <c r="T506" s="5" t="s">
        <v>606</v>
      </c>
      <c r="U506" s="5" t="n">
        <v>365</v>
      </c>
      <c r="V506" s="5" t="s">
        <v>5648</v>
      </c>
      <c r="W506" s="5" t="s">
        <v>5649</v>
      </c>
      <c r="X506" s="5" t="s">
        <v>5949</v>
      </c>
      <c r="Y506" s="5" t="s">
        <v>5950</v>
      </c>
      <c r="Z506" s="5" t="s">
        <v>5951</v>
      </c>
      <c r="AA506" s="5"/>
      <c r="AB506" s="5"/>
      <c r="AC506" s="5"/>
      <c r="AD506" s="5"/>
      <c r="AE506" s="5"/>
      <c r="AF506" s="5"/>
      <c r="AG506" s="5"/>
      <c r="AH506" s="5" t="s">
        <v>5716</v>
      </c>
      <c r="AI506" s="5"/>
      <c r="AJ506" s="5"/>
      <c r="AK506" s="5"/>
      <c r="AL506" s="5"/>
      <c r="AM506" s="5"/>
      <c r="AN506" s="5"/>
      <c r="AO506" s="5"/>
      <c r="AP506" s="5"/>
      <c r="AQ506" s="5"/>
      <c r="AR506" s="5"/>
      <c r="AS506" s="5"/>
      <c r="AT506" s="5" t="s">
        <v>5952</v>
      </c>
      <c r="AU506" s="5"/>
      <c r="AV506" s="5" t="s">
        <v>178</v>
      </c>
      <c r="AW506" s="5" t="s">
        <v>5953</v>
      </c>
    </row>
    <row r="507" customFormat="false" ht="124.6" hidden="false" customHeight="false" outlineLevel="0" collapsed="false">
      <c r="A507" s="5" t="s">
        <v>5954</v>
      </c>
      <c r="B507" s="5" t="s">
        <v>5955</v>
      </c>
      <c r="C507" s="5" t="s">
        <v>5640</v>
      </c>
      <c r="D507" s="5" t="s">
        <v>5641</v>
      </c>
      <c r="E507" s="5" t="s">
        <v>626</v>
      </c>
      <c r="F507" s="5" t="s">
        <v>5956</v>
      </c>
      <c r="G507" s="5" t="s">
        <v>5957</v>
      </c>
      <c r="H507" s="5" t="n">
        <v>8</v>
      </c>
      <c r="I507" s="5" t="s">
        <v>603</v>
      </c>
      <c r="J507" s="5" t="s">
        <v>153</v>
      </c>
      <c r="K507" s="5"/>
      <c r="L507" s="5" t="s">
        <v>30</v>
      </c>
      <c r="M507" s="5" t="s">
        <v>155</v>
      </c>
      <c r="N507" s="5" t="s">
        <v>125</v>
      </c>
      <c r="O507" s="5" t="s">
        <v>157</v>
      </c>
      <c r="P507" s="5" t="s">
        <v>158</v>
      </c>
      <c r="Q507" s="5" t="s">
        <v>519</v>
      </c>
      <c r="R507" s="5" t="s">
        <v>5646</v>
      </c>
      <c r="S507" s="5" t="s">
        <v>5647</v>
      </c>
      <c r="T507" s="5" t="s">
        <v>606</v>
      </c>
      <c r="U507" s="5" t="n">
        <v>365</v>
      </c>
      <c r="V507" s="5" t="s">
        <v>5648</v>
      </c>
      <c r="W507" s="5" t="s">
        <v>5649</v>
      </c>
      <c r="X507" s="5" t="s">
        <v>5958</v>
      </c>
      <c r="Y507" s="5" t="s">
        <v>5959</v>
      </c>
      <c r="Z507" s="5" t="s">
        <v>5960</v>
      </c>
      <c r="AA507" s="5"/>
      <c r="AB507" s="5" t="s">
        <v>5961</v>
      </c>
      <c r="AC507" s="5"/>
      <c r="AD507" s="5"/>
      <c r="AE507" s="5"/>
      <c r="AF507" s="5"/>
      <c r="AG507" s="5"/>
      <c r="AH507" s="5"/>
      <c r="AI507" s="5"/>
      <c r="AJ507" s="5"/>
      <c r="AK507" s="5"/>
      <c r="AL507" s="5"/>
      <c r="AM507" s="5"/>
      <c r="AN507" s="5"/>
      <c r="AO507" s="5"/>
      <c r="AP507" s="5"/>
      <c r="AQ507" s="5"/>
      <c r="AR507" s="5"/>
      <c r="AS507" s="5"/>
      <c r="AT507" s="5" t="s">
        <v>5688</v>
      </c>
      <c r="AU507" s="5"/>
      <c r="AV507" s="5" t="s">
        <v>178</v>
      </c>
      <c r="AW507" s="5" t="s">
        <v>5962</v>
      </c>
    </row>
    <row r="508" customFormat="false" ht="124.6" hidden="false" customHeight="false" outlineLevel="0" collapsed="false">
      <c r="A508" s="5" t="s">
        <v>5963</v>
      </c>
      <c r="B508" s="5" t="s">
        <v>5964</v>
      </c>
      <c r="C508" s="5" t="s">
        <v>5640</v>
      </c>
      <c r="D508" s="5" t="s">
        <v>5641</v>
      </c>
      <c r="E508" s="5" t="s">
        <v>626</v>
      </c>
      <c r="F508" s="5" t="s">
        <v>5965</v>
      </c>
      <c r="G508" s="5" t="s">
        <v>5966</v>
      </c>
      <c r="H508" s="5" t="n">
        <v>8</v>
      </c>
      <c r="I508" s="5" t="s">
        <v>603</v>
      </c>
      <c r="J508" s="5" t="s">
        <v>153</v>
      </c>
      <c r="K508" s="5"/>
      <c r="L508" s="5" t="s">
        <v>68</v>
      </c>
      <c r="M508" s="5" t="s">
        <v>185</v>
      </c>
      <c r="N508" s="5" t="s">
        <v>72</v>
      </c>
      <c r="O508" s="5" t="s">
        <v>666</v>
      </c>
      <c r="P508" s="5" t="s">
        <v>215</v>
      </c>
      <c r="Q508" s="5" t="s">
        <v>519</v>
      </c>
      <c r="R508" s="5" t="s">
        <v>5646</v>
      </c>
      <c r="S508" s="5" t="s">
        <v>5647</v>
      </c>
      <c r="T508" s="5" t="s">
        <v>606</v>
      </c>
      <c r="U508" s="5" t="n">
        <v>365</v>
      </c>
      <c r="V508" s="5" t="s">
        <v>5648</v>
      </c>
      <c r="W508" s="5" t="s">
        <v>5649</v>
      </c>
      <c r="X508" s="5" t="s">
        <v>5967</v>
      </c>
      <c r="Y508" s="5" t="s">
        <v>5968</v>
      </c>
      <c r="Z508" s="5" t="s">
        <v>5969</v>
      </c>
      <c r="AA508" s="5"/>
      <c r="AB508" s="5"/>
      <c r="AC508" s="5"/>
      <c r="AD508" s="5"/>
      <c r="AE508" s="5"/>
      <c r="AF508" s="5" t="s">
        <v>5970</v>
      </c>
      <c r="AG508" s="5"/>
      <c r="AH508" s="5"/>
      <c r="AI508" s="5"/>
      <c r="AJ508" s="5"/>
      <c r="AK508" s="5"/>
      <c r="AL508" s="5" t="s">
        <v>5970</v>
      </c>
      <c r="AM508" s="5"/>
      <c r="AN508" s="5"/>
      <c r="AO508" s="5" t="s">
        <v>2163</v>
      </c>
      <c r="AP508" s="5"/>
      <c r="AQ508" s="5"/>
      <c r="AR508" s="5" t="s">
        <v>1294</v>
      </c>
      <c r="AS508" s="5"/>
      <c r="AT508" s="5"/>
      <c r="AU508" s="5"/>
      <c r="AV508" s="5"/>
      <c r="AW508" s="5" t="s">
        <v>5971</v>
      </c>
    </row>
    <row r="509" customFormat="false" ht="147" hidden="false" customHeight="false" outlineLevel="0" collapsed="false">
      <c r="A509" s="5" t="s">
        <v>5972</v>
      </c>
      <c r="B509" s="5" t="s">
        <v>5973</v>
      </c>
      <c r="C509" s="5" t="s">
        <v>5640</v>
      </c>
      <c r="D509" s="5" t="s">
        <v>5641</v>
      </c>
      <c r="E509" s="5" t="s">
        <v>626</v>
      </c>
      <c r="F509" s="5" t="s">
        <v>5974</v>
      </c>
      <c r="G509" s="5" t="s">
        <v>5975</v>
      </c>
      <c r="H509" s="5" t="n">
        <v>8</v>
      </c>
      <c r="I509" s="5" t="s">
        <v>603</v>
      </c>
      <c r="J509" s="5" t="s">
        <v>153</v>
      </c>
      <c r="K509" s="5"/>
      <c r="L509" s="5" t="s">
        <v>30</v>
      </c>
      <c r="M509" s="5" t="s">
        <v>155</v>
      </c>
      <c r="N509" s="5" t="s">
        <v>4764</v>
      </c>
      <c r="O509" s="5" t="s">
        <v>570</v>
      </c>
      <c r="P509" s="5" t="s">
        <v>641</v>
      </c>
      <c r="Q509" s="5" t="s">
        <v>519</v>
      </c>
      <c r="R509" s="5" t="s">
        <v>5646</v>
      </c>
      <c r="S509" s="5" t="s">
        <v>5647</v>
      </c>
      <c r="T509" s="5" t="s">
        <v>606</v>
      </c>
      <c r="U509" s="5" t="n">
        <v>365</v>
      </c>
      <c r="V509" s="5" t="s">
        <v>5648</v>
      </c>
      <c r="W509" s="5" t="s">
        <v>5649</v>
      </c>
      <c r="X509" s="5" t="s">
        <v>5976</v>
      </c>
      <c r="Y509" s="5" t="s">
        <v>5977</v>
      </c>
      <c r="Z509" s="5" t="s">
        <v>5978</v>
      </c>
      <c r="AA509" s="5" t="s">
        <v>5979</v>
      </c>
      <c r="AB509" s="5" t="s">
        <v>5980</v>
      </c>
      <c r="AC509" s="5"/>
      <c r="AD509" s="5" t="s">
        <v>5981</v>
      </c>
      <c r="AE509" s="5"/>
      <c r="AF509" s="5" t="s">
        <v>5982</v>
      </c>
      <c r="AG509" s="5" t="s">
        <v>5982</v>
      </c>
      <c r="AH509" s="5"/>
      <c r="AI509" s="5"/>
      <c r="AJ509" s="5"/>
      <c r="AK509" s="5"/>
      <c r="AL509" s="5" t="s">
        <v>5982</v>
      </c>
      <c r="AM509" s="5" t="s">
        <v>5982</v>
      </c>
      <c r="AN509" s="5"/>
      <c r="AO509" s="5"/>
      <c r="AP509" s="5"/>
      <c r="AQ509" s="5"/>
      <c r="AR509" s="5" t="s">
        <v>646</v>
      </c>
      <c r="AS509" s="5"/>
      <c r="AT509" s="5"/>
      <c r="AU509" s="5"/>
      <c r="AV509" s="5" t="s">
        <v>178</v>
      </c>
      <c r="AW509" s="5" t="s">
        <v>5983</v>
      </c>
    </row>
    <row r="510" customFormat="false" ht="124.6" hidden="false" customHeight="false" outlineLevel="0" collapsed="false">
      <c r="A510" s="5" t="s">
        <v>5984</v>
      </c>
      <c r="B510" s="5" t="s">
        <v>5985</v>
      </c>
      <c r="C510" s="5" t="s">
        <v>5640</v>
      </c>
      <c r="D510" s="5" t="s">
        <v>5641</v>
      </c>
      <c r="E510" s="5" t="s">
        <v>626</v>
      </c>
      <c r="F510" s="5" t="s">
        <v>5986</v>
      </c>
      <c r="G510" s="5" t="s">
        <v>5987</v>
      </c>
      <c r="H510" s="5" t="n">
        <v>5</v>
      </c>
      <c r="I510" s="5" t="s">
        <v>603</v>
      </c>
      <c r="J510" s="5" t="s">
        <v>557</v>
      </c>
      <c r="K510" s="5"/>
      <c r="L510" s="5" t="s">
        <v>30</v>
      </c>
      <c r="M510" s="5" t="s">
        <v>155</v>
      </c>
      <c r="N510" s="5" t="s">
        <v>125</v>
      </c>
      <c r="O510" s="5" t="s">
        <v>157</v>
      </c>
      <c r="P510" s="5" t="s">
        <v>215</v>
      </c>
      <c r="Q510" s="5" t="s">
        <v>519</v>
      </c>
      <c r="R510" s="5" t="s">
        <v>5646</v>
      </c>
      <c r="S510" s="5" t="s">
        <v>5647</v>
      </c>
      <c r="T510" s="5" t="s">
        <v>606</v>
      </c>
      <c r="U510" s="5" t="n">
        <v>90</v>
      </c>
      <c r="V510" s="5" t="s">
        <v>5648</v>
      </c>
      <c r="W510" s="5" t="s">
        <v>5649</v>
      </c>
      <c r="X510" s="5" t="s">
        <v>5988</v>
      </c>
      <c r="Y510" s="5" t="s">
        <v>5989</v>
      </c>
      <c r="Z510" s="5" t="s">
        <v>5990</v>
      </c>
      <c r="AA510" s="5"/>
      <c r="AB510" s="5" t="s">
        <v>5991</v>
      </c>
      <c r="AC510" s="5"/>
      <c r="AD510" s="5"/>
      <c r="AE510" s="5"/>
      <c r="AF510" s="5" t="s">
        <v>5992</v>
      </c>
      <c r="AG510" s="5"/>
      <c r="AH510" s="5"/>
      <c r="AI510" s="5"/>
      <c r="AJ510" s="5"/>
      <c r="AK510" s="5"/>
      <c r="AL510" s="5" t="s">
        <v>5992</v>
      </c>
      <c r="AM510" s="5"/>
      <c r="AN510" s="5"/>
      <c r="AO510" s="5"/>
      <c r="AP510" s="5"/>
      <c r="AQ510" s="5"/>
      <c r="AR510" s="5" t="s">
        <v>646</v>
      </c>
      <c r="AS510" s="5"/>
      <c r="AT510" s="5"/>
      <c r="AU510" s="5"/>
      <c r="AV510" s="5"/>
      <c r="AW510" s="5" t="s">
        <v>5993</v>
      </c>
    </row>
    <row r="511" customFormat="false" ht="135.8" hidden="false" customHeight="false" outlineLevel="0" collapsed="false">
      <c r="A511" s="5" t="s">
        <v>5994</v>
      </c>
      <c r="B511" s="5" t="s">
        <v>5995</v>
      </c>
      <c r="C511" s="5" t="s">
        <v>5640</v>
      </c>
      <c r="D511" s="5" t="s">
        <v>5641</v>
      </c>
      <c r="E511" s="5" t="s">
        <v>626</v>
      </c>
      <c r="F511" s="5" t="s">
        <v>5996</v>
      </c>
      <c r="G511" s="5" t="s">
        <v>5997</v>
      </c>
      <c r="H511" s="5" t="n">
        <v>3</v>
      </c>
      <c r="I511" s="5" t="s">
        <v>603</v>
      </c>
      <c r="J511" s="5" t="s">
        <v>557</v>
      </c>
      <c r="K511" s="5"/>
      <c r="L511" s="5" t="s">
        <v>30</v>
      </c>
      <c r="M511" s="5" t="s">
        <v>155</v>
      </c>
      <c r="N511" s="5" t="s">
        <v>125</v>
      </c>
      <c r="O511" s="5" t="s">
        <v>157</v>
      </c>
      <c r="P511" s="5" t="s">
        <v>215</v>
      </c>
      <c r="Q511" s="5" t="s">
        <v>519</v>
      </c>
      <c r="R511" s="5" t="s">
        <v>5646</v>
      </c>
      <c r="S511" s="5" t="s">
        <v>5647</v>
      </c>
      <c r="T511" s="5" t="s">
        <v>606</v>
      </c>
      <c r="U511" s="5" t="n">
        <v>90</v>
      </c>
      <c r="V511" s="5" t="s">
        <v>5648</v>
      </c>
      <c r="W511" s="5" t="s">
        <v>5649</v>
      </c>
      <c r="X511" s="5" t="s">
        <v>5998</v>
      </c>
      <c r="Y511" s="5" t="s">
        <v>5999</v>
      </c>
      <c r="Z511" s="5" t="s">
        <v>6000</v>
      </c>
      <c r="AA511" s="5"/>
      <c r="AB511" s="5" t="s">
        <v>6001</v>
      </c>
      <c r="AC511" s="5"/>
      <c r="AD511" s="5"/>
      <c r="AE511" s="5"/>
      <c r="AF511" s="5" t="s">
        <v>6002</v>
      </c>
      <c r="AG511" s="5"/>
      <c r="AH511" s="5"/>
      <c r="AI511" s="5"/>
      <c r="AJ511" s="5"/>
      <c r="AK511" s="5"/>
      <c r="AL511" s="5" t="s">
        <v>6002</v>
      </c>
      <c r="AM511" s="5"/>
      <c r="AN511" s="5"/>
      <c r="AO511" s="5"/>
      <c r="AP511" s="5"/>
      <c r="AQ511" s="5"/>
      <c r="AR511" s="5" t="s">
        <v>646</v>
      </c>
      <c r="AS511" s="5"/>
      <c r="AT511" s="5"/>
      <c r="AU511" s="5"/>
      <c r="AV511" s="5"/>
      <c r="AW511" s="5" t="s">
        <v>6003</v>
      </c>
    </row>
    <row r="512" customFormat="false" ht="180.55" hidden="false" customHeight="false" outlineLevel="0" collapsed="false">
      <c r="A512" s="5" t="s">
        <v>6004</v>
      </c>
      <c r="B512" s="5" t="s">
        <v>6005</v>
      </c>
      <c r="C512" s="5" t="s">
        <v>5640</v>
      </c>
      <c r="D512" s="5" t="s">
        <v>5641</v>
      </c>
      <c r="E512" s="5" t="s">
        <v>626</v>
      </c>
      <c r="F512" s="5" t="s">
        <v>6006</v>
      </c>
      <c r="G512" s="5" t="s">
        <v>6007</v>
      </c>
      <c r="H512" s="5" t="n">
        <v>10</v>
      </c>
      <c r="I512" s="5" t="s">
        <v>603</v>
      </c>
      <c r="J512" s="5" t="s">
        <v>153</v>
      </c>
      <c r="K512" s="5"/>
      <c r="L512" s="5" t="s">
        <v>30</v>
      </c>
      <c r="M512" s="5" t="s">
        <v>155</v>
      </c>
      <c r="N512" s="5" t="s">
        <v>42</v>
      </c>
      <c r="O512" s="5" t="s">
        <v>157</v>
      </c>
      <c r="P512" s="5" t="s">
        <v>215</v>
      </c>
      <c r="Q512" s="5" t="s">
        <v>519</v>
      </c>
      <c r="R512" s="5" t="s">
        <v>5646</v>
      </c>
      <c r="S512" s="5" t="s">
        <v>5647</v>
      </c>
      <c r="T512" s="5" t="s">
        <v>606</v>
      </c>
      <c r="U512" s="5" t="n">
        <v>365</v>
      </c>
      <c r="V512" s="5" t="s">
        <v>5648</v>
      </c>
      <c r="W512" s="5" t="s">
        <v>5649</v>
      </c>
      <c r="X512" s="5" t="s">
        <v>6008</v>
      </c>
      <c r="Y512" s="5" t="s">
        <v>6009</v>
      </c>
      <c r="Z512" s="5" t="s">
        <v>6010</v>
      </c>
      <c r="AA512" s="5"/>
      <c r="AB512" s="5"/>
      <c r="AC512" s="5"/>
      <c r="AD512" s="5"/>
      <c r="AE512" s="5"/>
      <c r="AF512" s="5" t="s">
        <v>6011</v>
      </c>
      <c r="AG512" s="5" t="s">
        <v>6012</v>
      </c>
      <c r="AH512" s="5"/>
      <c r="AI512" s="5"/>
      <c r="AJ512" s="5"/>
      <c r="AK512" s="5"/>
      <c r="AL512" s="5" t="s">
        <v>6011</v>
      </c>
      <c r="AM512" s="5"/>
      <c r="AN512" s="5"/>
      <c r="AO512" s="5"/>
      <c r="AP512" s="5"/>
      <c r="AQ512" s="5"/>
      <c r="AR512" s="5" t="s">
        <v>646</v>
      </c>
      <c r="AS512" s="5"/>
      <c r="AT512" s="5"/>
      <c r="AU512" s="5"/>
      <c r="AV512" s="5"/>
      <c r="AW512" s="5" t="s">
        <v>1664</v>
      </c>
    </row>
    <row r="513" customFormat="false" ht="158.2" hidden="false" customHeight="false" outlineLevel="0" collapsed="false">
      <c r="A513" s="5" t="s">
        <v>6013</v>
      </c>
      <c r="B513" s="5" t="s">
        <v>6014</v>
      </c>
      <c r="C513" s="5" t="s">
        <v>5640</v>
      </c>
      <c r="D513" s="5" t="s">
        <v>5641</v>
      </c>
      <c r="E513" s="5" t="s">
        <v>626</v>
      </c>
      <c r="F513" s="5" t="s">
        <v>6015</v>
      </c>
      <c r="G513" s="5" t="s">
        <v>6016</v>
      </c>
      <c r="H513" s="5" t="n">
        <v>9</v>
      </c>
      <c r="I513" s="5" t="s">
        <v>603</v>
      </c>
      <c r="J513" s="5" t="s">
        <v>153</v>
      </c>
      <c r="K513" s="5"/>
      <c r="L513" s="5" t="s">
        <v>30</v>
      </c>
      <c r="M513" s="5" t="s">
        <v>155</v>
      </c>
      <c r="N513" s="5" t="s">
        <v>42</v>
      </c>
      <c r="O513" s="5" t="s">
        <v>157</v>
      </c>
      <c r="P513" s="5" t="s">
        <v>215</v>
      </c>
      <c r="Q513" s="5" t="s">
        <v>519</v>
      </c>
      <c r="R513" s="5" t="s">
        <v>5646</v>
      </c>
      <c r="S513" s="5" t="s">
        <v>5647</v>
      </c>
      <c r="T513" s="5" t="s">
        <v>606</v>
      </c>
      <c r="U513" s="5" t="n">
        <v>365</v>
      </c>
      <c r="V513" s="5" t="s">
        <v>5648</v>
      </c>
      <c r="W513" s="5" t="s">
        <v>5649</v>
      </c>
      <c r="X513" s="5" t="s">
        <v>6017</v>
      </c>
      <c r="Y513" s="5" t="s">
        <v>6018</v>
      </c>
      <c r="Z513" s="5" t="s">
        <v>6019</v>
      </c>
      <c r="AA513" s="5"/>
      <c r="AB513" s="5"/>
      <c r="AC513" s="5"/>
      <c r="AD513" s="5"/>
      <c r="AE513" s="5"/>
      <c r="AF513" s="5" t="s">
        <v>6020</v>
      </c>
      <c r="AG513" s="5" t="s">
        <v>6020</v>
      </c>
      <c r="AH513" s="5"/>
      <c r="AI513" s="5"/>
      <c r="AJ513" s="5"/>
      <c r="AK513" s="5"/>
      <c r="AL513" s="5" t="s">
        <v>6020</v>
      </c>
      <c r="AM513" s="5"/>
      <c r="AN513" s="5"/>
      <c r="AO513" s="5"/>
      <c r="AP513" s="5"/>
      <c r="AQ513" s="5"/>
      <c r="AR513" s="5" t="s">
        <v>646</v>
      </c>
      <c r="AS513" s="5"/>
      <c r="AT513" s="5"/>
      <c r="AU513" s="5"/>
      <c r="AV513" s="5"/>
      <c r="AW513" s="5" t="s">
        <v>6021</v>
      </c>
    </row>
    <row r="514" customFormat="false" ht="180.55" hidden="false" customHeight="false" outlineLevel="0" collapsed="false">
      <c r="A514" s="5" t="s">
        <v>6022</v>
      </c>
      <c r="B514" s="5" t="s">
        <v>6023</v>
      </c>
      <c r="C514" s="5" t="s">
        <v>5640</v>
      </c>
      <c r="D514" s="5" t="s">
        <v>5641</v>
      </c>
      <c r="E514" s="5" t="s">
        <v>626</v>
      </c>
      <c r="F514" s="5" t="s">
        <v>6024</v>
      </c>
      <c r="G514" s="5" t="s">
        <v>6025</v>
      </c>
      <c r="H514" s="5" t="n">
        <v>9</v>
      </c>
      <c r="I514" s="5" t="s">
        <v>603</v>
      </c>
      <c r="J514" s="5" t="s">
        <v>153</v>
      </c>
      <c r="K514" s="5"/>
      <c r="L514" s="5" t="s">
        <v>30</v>
      </c>
      <c r="M514" s="5" t="s">
        <v>155</v>
      </c>
      <c r="N514" s="5" t="s">
        <v>42</v>
      </c>
      <c r="O514" s="5" t="s">
        <v>157</v>
      </c>
      <c r="P514" s="5" t="s">
        <v>215</v>
      </c>
      <c r="Q514" s="5" t="s">
        <v>519</v>
      </c>
      <c r="R514" s="5" t="s">
        <v>5646</v>
      </c>
      <c r="S514" s="5" t="s">
        <v>5647</v>
      </c>
      <c r="T514" s="5" t="s">
        <v>606</v>
      </c>
      <c r="U514" s="5" t="n">
        <v>365</v>
      </c>
      <c r="V514" s="5" t="s">
        <v>5648</v>
      </c>
      <c r="W514" s="5" t="s">
        <v>5649</v>
      </c>
      <c r="X514" s="5" t="s">
        <v>6026</v>
      </c>
      <c r="Y514" s="5" t="s">
        <v>6027</v>
      </c>
      <c r="Z514" s="5" t="s">
        <v>6028</v>
      </c>
      <c r="AA514" s="5"/>
      <c r="AB514" s="5"/>
      <c r="AC514" s="5"/>
      <c r="AD514" s="5"/>
      <c r="AE514" s="5"/>
      <c r="AF514" s="5" t="s">
        <v>6029</v>
      </c>
      <c r="AG514" s="5" t="s">
        <v>6029</v>
      </c>
      <c r="AH514" s="5"/>
      <c r="AI514" s="5"/>
      <c r="AJ514" s="5"/>
      <c r="AK514" s="5"/>
      <c r="AL514" s="5" t="s">
        <v>6029</v>
      </c>
      <c r="AM514" s="5"/>
      <c r="AN514" s="5"/>
      <c r="AO514" s="5"/>
      <c r="AP514" s="5"/>
      <c r="AQ514" s="5"/>
      <c r="AR514" s="5" t="s">
        <v>646</v>
      </c>
      <c r="AS514" s="5"/>
      <c r="AT514" s="5"/>
      <c r="AU514" s="5"/>
      <c r="AV514" s="5" t="s">
        <v>178</v>
      </c>
      <c r="AW514" s="5" t="s">
        <v>6030</v>
      </c>
    </row>
    <row r="515" customFormat="false" ht="124.6" hidden="false" customHeight="false" outlineLevel="0" collapsed="false">
      <c r="A515" s="5" t="s">
        <v>6031</v>
      </c>
      <c r="B515" s="5" t="s">
        <v>6032</v>
      </c>
      <c r="C515" s="5" t="s">
        <v>5640</v>
      </c>
      <c r="D515" s="5" t="s">
        <v>5641</v>
      </c>
      <c r="E515" s="5" t="s">
        <v>626</v>
      </c>
      <c r="F515" s="5" t="s">
        <v>6033</v>
      </c>
      <c r="G515" s="5" t="s">
        <v>6034</v>
      </c>
      <c r="H515" s="5" t="n">
        <v>8</v>
      </c>
      <c r="I515" s="5" t="s">
        <v>603</v>
      </c>
      <c r="J515" s="5" t="s">
        <v>153</v>
      </c>
      <c r="K515" s="5"/>
      <c r="L515" s="5" t="s">
        <v>30</v>
      </c>
      <c r="M515" s="5" t="s">
        <v>155</v>
      </c>
      <c r="N515" s="5" t="s">
        <v>836</v>
      </c>
      <c r="O515" s="5" t="s">
        <v>157</v>
      </c>
      <c r="P515" s="5" t="s">
        <v>215</v>
      </c>
      <c r="Q515" s="5" t="s">
        <v>519</v>
      </c>
      <c r="R515" s="5" t="s">
        <v>5646</v>
      </c>
      <c r="S515" s="5" t="s">
        <v>5647</v>
      </c>
      <c r="T515" s="5" t="s">
        <v>606</v>
      </c>
      <c r="U515" s="5" t="n">
        <v>365</v>
      </c>
      <c r="V515" s="5" t="s">
        <v>5648</v>
      </c>
      <c r="W515" s="5" t="s">
        <v>5649</v>
      </c>
      <c r="X515" s="5" t="s">
        <v>6035</v>
      </c>
      <c r="Y515" s="5" t="s">
        <v>6036</v>
      </c>
      <c r="Z515" s="5" t="s">
        <v>6037</v>
      </c>
      <c r="AA515" s="5"/>
      <c r="AB515" s="5"/>
      <c r="AC515" s="5"/>
      <c r="AD515" s="5"/>
      <c r="AE515" s="5"/>
      <c r="AF515" s="5"/>
      <c r="AG515" s="5"/>
      <c r="AH515" s="5"/>
      <c r="AI515" s="5" t="s">
        <v>6038</v>
      </c>
      <c r="AJ515" s="5"/>
      <c r="AK515" s="5"/>
      <c r="AL515" s="5"/>
      <c r="AM515" s="5"/>
      <c r="AN515" s="5"/>
      <c r="AO515" s="5"/>
      <c r="AP515" s="5"/>
      <c r="AQ515" s="5"/>
      <c r="AR515" s="5"/>
      <c r="AS515" s="5"/>
      <c r="AT515" s="5"/>
      <c r="AU515" s="5"/>
      <c r="AV515" s="5"/>
      <c r="AW515" s="5" t="s">
        <v>1664</v>
      </c>
    </row>
    <row r="516" customFormat="false" ht="270.1" hidden="false" customHeight="false" outlineLevel="0" collapsed="false">
      <c r="A516" s="5" t="s">
        <v>6039</v>
      </c>
      <c r="B516" s="5" t="s">
        <v>6040</v>
      </c>
      <c r="C516" s="5" t="s">
        <v>5640</v>
      </c>
      <c r="D516" s="5" t="s">
        <v>5641</v>
      </c>
      <c r="E516" s="5" t="s">
        <v>626</v>
      </c>
      <c r="F516" s="5" t="s">
        <v>6041</v>
      </c>
      <c r="G516" s="5" t="s">
        <v>6042</v>
      </c>
      <c r="H516" s="5" t="n">
        <v>9</v>
      </c>
      <c r="I516" s="5" t="s">
        <v>603</v>
      </c>
      <c r="J516" s="5" t="s">
        <v>153</v>
      </c>
      <c r="K516" s="5"/>
      <c r="L516" s="5" t="s">
        <v>68</v>
      </c>
      <c r="M516" s="5" t="s">
        <v>185</v>
      </c>
      <c r="N516" s="5" t="s">
        <v>72</v>
      </c>
      <c r="O516" s="5" t="s">
        <v>666</v>
      </c>
      <c r="P516" s="5" t="s">
        <v>215</v>
      </c>
      <c r="Q516" s="5" t="s">
        <v>519</v>
      </c>
      <c r="R516" s="5" t="s">
        <v>5646</v>
      </c>
      <c r="S516" s="5" t="s">
        <v>5647</v>
      </c>
      <c r="T516" s="5" t="s">
        <v>606</v>
      </c>
      <c r="U516" s="5" t="n">
        <v>365</v>
      </c>
      <c r="V516" s="5" t="s">
        <v>5648</v>
      </c>
      <c r="W516" s="5" t="s">
        <v>5649</v>
      </c>
      <c r="X516" s="5" t="s">
        <v>6043</v>
      </c>
      <c r="Y516" s="5" t="s">
        <v>6044</v>
      </c>
      <c r="Z516" s="5" t="s">
        <v>6045</v>
      </c>
      <c r="AA516" s="5"/>
      <c r="AB516" s="5"/>
      <c r="AC516" s="5"/>
      <c r="AD516" s="5"/>
      <c r="AE516" s="5"/>
      <c r="AF516" s="5" t="s">
        <v>6046</v>
      </c>
      <c r="AG516" s="5"/>
      <c r="AH516" s="5"/>
      <c r="AI516" s="5"/>
      <c r="AJ516" s="5"/>
      <c r="AK516" s="5"/>
      <c r="AL516" s="5" t="s">
        <v>6046</v>
      </c>
      <c r="AM516" s="5"/>
      <c r="AN516" s="5"/>
      <c r="AO516" s="5" t="s">
        <v>6047</v>
      </c>
      <c r="AP516" s="5"/>
      <c r="AQ516" s="5"/>
      <c r="AR516" s="5" t="s">
        <v>646</v>
      </c>
      <c r="AS516" s="5"/>
      <c r="AT516" s="5"/>
      <c r="AU516" s="5"/>
      <c r="AV516" s="5"/>
      <c r="AW516" s="5" t="s">
        <v>6048</v>
      </c>
    </row>
    <row r="517" customFormat="false" ht="158.2" hidden="false" customHeight="false" outlineLevel="0" collapsed="false">
      <c r="A517" s="5" t="s">
        <v>6049</v>
      </c>
      <c r="B517" s="5" t="s">
        <v>6050</v>
      </c>
      <c r="C517" s="5" t="s">
        <v>5640</v>
      </c>
      <c r="D517" s="5" t="s">
        <v>5641</v>
      </c>
      <c r="E517" s="5" t="s">
        <v>626</v>
      </c>
      <c r="F517" s="5" t="s">
        <v>6051</v>
      </c>
      <c r="G517" s="5" t="s">
        <v>6052</v>
      </c>
      <c r="H517" s="5" t="n">
        <v>8</v>
      </c>
      <c r="I517" s="5" t="s">
        <v>603</v>
      </c>
      <c r="J517" s="5" t="s">
        <v>153</v>
      </c>
      <c r="K517" s="5"/>
      <c r="L517" s="5" t="s">
        <v>30</v>
      </c>
      <c r="M517" s="5" t="s">
        <v>155</v>
      </c>
      <c r="N517" s="5" t="s">
        <v>6053</v>
      </c>
      <c r="O517" s="5" t="s">
        <v>157</v>
      </c>
      <c r="P517" s="5" t="s">
        <v>158</v>
      </c>
      <c r="Q517" s="5" t="s">
        <v>519</v>
      </c>
      <c r="R517" s="5" t="s">
        <v>5646</v>
      </c>
      <c r="S517" s="5" t="s">
        <v>5647</v>
      </c>
      <c r="T517" s="5" t="s">
        <v>606</v>
      </c>
      <c r="U517" s="5" t="n">
        <v>365</v>
      </c>
      <c r="V517" s="5" t="s">
        <v>5648</v>
      </c>
      <c r="W517" s="5" t="s">
        <v>5649</v>
      </c>
      <c r="X517" s="5" t="s">
        <v>6054</v>
      </c>
      <c r="Y517" s="5" t="s">
        <v>6055</v>
      </c>
      <c r="Z517" s="5" t="s">
        <v>6056</v>
      </c>
      <c r="AA517" s="5"/>
      <c r="AB517" s="5"/>
      <c r="AC517" s="5"/>
      <c r="AD517" s="5"/>
      <c r="AE517" s="5"/>
      <c r="AF517" s="5" t="s">
        <v>6057</v>
      </c>
      <c r="AG517" s="5" t="s">
        <v>6057</v>
      </c>
      <c r="AH517" s="5"/>
      <c r="AI517" s="5"/>
      <c r="AJ517" s="5"/>
      <c r="AK517" s="5"/>
      <c r="AL517" s="5" t="s">
        <v>6057</v>
      </c>
      <c r="AM517" s="5" t="s">
        <v>6058</v>
      </c>
      <c r="AN517" s="5" t="s">
        <v>6059</v>
      </c>
      <c r="AO517" s="5"/>
      <c r="AP517" s="5"/>
      <c r="AQ517" s="5" t="s">
        <v>6057</v>
      </c>
      <c r="AR517" s="5" t="s">
        <v>6060</v>
      </c>
      <c r="AS517" s="5"/>
      <c r="AT517" s="5"/>
      <c r="AU517" s="5"/>
      <c r="AV517" s="5" t="s">
        <v>178</v>
      </c>
      <c r="AW517" s="5" t="s">
        <v>6061</v>
      </c>
    </row>
    <row r="518" customFormat="false" ht="225.35" hidden="false" customHeight="false" outlineLevel="0" collapsed="false">
      <c r="A518" s="5" t="s">
        <v>6062</v>
      </c>
      <c r="B518" s="5" t="s">
        <v>6063</v>
      </c>
      <c r="C518" s="5" t="s">
        <v>5640</v>
      </c>
      <c r="D518" s="5" t="s">
        <v>5641</v>
      </c>
      <c r="E518" s="5" t="s">
        <v>626</v>
      </c>
      <c r="F518" s="5" t="s">
        <v>6064</v>
      </c>
      <c r="G518" s="5" t="s">
        <v>6065</v>
      </c>
      <c r="H518" s="5" t="n">
        <v>8</v>
      </c>
      <c r="I518" s="5" t="s">
        <v>603</v>
      </c>
      <c r="J518" s="5" t="s">
        <v>153</v>
      </c>
      <c r="K518" s="5"/>
      <c r="L518" s="5" t="s">
        <v>68</v>
      </c>
      <c r="M518" s="5" t="s">
        <v>185</v>
      </c>
      <c r="N518" s="5" t="s">
        <v>2038</v>
      </c>
      <c r="O518" s="5" t="s">
        <v>666</v>
      </c>
      <c r="P518" s="5" t="s">
        <v>158</v>
      </c>
      <c r="Q518" s="5" t="s">
        <v>519</v>
      </c>
      <c r="R518" s="5" t="s">
        <v>5646</v>
      </c>
      <c r="S518" s="5" t="s">
        <v>5647</v>
      </c>
      <c r="T518" s="5" t="s">
        <v>606</v>
      </c>
      <c r="U518" s="5" t="n">
        <v>365</v>
      </c>
      <c r="V518" s="5" t="s">
        <v>5648</v>
      </c>
      <c r="W518" s="5" t="s">
        <v>5649</v>
      </c>
      <c r="X518" s="5" t="s">
        <v>6066</v>
      </c>
      <c r="Y518" s="5" t="s">
        <v>6067</v>
      </c>
      <c r="Z518" s="5" t="s">
        <v>6068</v>
      </c>
      <c r="AA518" s="5"/>
      <c r="AB518" s="5"/>
      <c r="AC518" s="5"/>
      <c r="AD518" s="5"/>
      <c r="AE518" s="5"/>
      <c r="AF518" s="5" t="s">
        <v>6069</v>
      </c>
      <c r="AG518" s="5"/>
      <c r="AH518" s="5"/>
      <c r="AI518" s="5"/>
      <c r="AJ518" s="5"/>
      <c r="AK518" s="5"/>
      <c r="AL518" s="5" t="s">
        <v>6069</v>
      </c>
      <c r="AM518" s="5"/>
      <c r="AN518" s="5"/>
      <c r="AO518" s="5" t="s">
        <v>2733</v>
      </c>
      <c r="AP518" s="5"/>
      <c r="AQ518" s="5" t="s">
        <v>6069</v>
      </c>
      <c r="AR518" s="5" t="s">
        <v>646</v>
      </c>
      <c r="AS518" s="5"/>
      <c r="AT518" s="5"/>
      <c r="AU518" s="5"/>
      <c r="AV518" s="5"/>
      <c r="AW518" s="5" t="s">
        <v>6070</v>
      </c>
    </row>
    <row r="519" customFormat="false" ht="124.6" hidden="false" customHeight="false" outlineLevel="0" collapsed="false">
      <c r="A519" s="5" t="s">
        <v>6071</v>
      </c>
      <c r="B519" s="5" t="s">
        <v>6072</v>
      </c>
      <c r="C519" s="5" t="s">
        <v>5640</v>
      </c>
      <c r="D519" s="5" t="s">
        <v>5641</v>
      </c>
      <c r="E519" s="5" t="s">
        <v>626</v>
      </c>
      <c r="F519" s="5" t="s">
        <v>6073</v>
      </c>
      <c r="G519" s="5" t="s">
        <v>6074</v>
      </c>
      <c r="H519" s="5" t="n">
        <v>9</v>
      </c>
      <c r="I519" s="5" t="s">
        <v>603</v>
      </c>
      <c r="J519" s="5" t="s">
        <v>153</v>
      </c>
      <c r="K519" s="5"/>
      <c r="L519" s="5" t="s">
        <v>30</v>
      </c>
      <c r="M519" s="5" t="s">
        <v>155</v>
      </c>
      <c r="N519" s="5" t="s">
        <v>124</v>
      </c>
      <c r="O519" s="5" t="s">
        <v>157</v>
      </c>
      <c r="P519" s="5" t="s">
        <v>158</v>
      </c>
      <c r="Q519" s="5" t="s">
        <v>519</v>
      </c>
      <c r="R519" s="5" t="s">
        <v>5646</v>
      </c>
      <c r="S519" s="5" t="s">
        <v>5647</v>
      </c>
      <c r="T519" s="5" t="s">
        <v>606</v>
      </c>
      <c r="U519" s="5" t="n">
        <v>365</v>
      </c>
      <c r="V519" s="5" t="s">
        <v>5648</v>
      </c>
      <c r="W519" s="5" t="s">
        <v>5649</v>
      </c>
      <c r="X519" s="5" t="s">
        <v>6075</v>
      </c>
      <c r="Y519" s="5" t="s">
        <v>6076</v>
      </c>
      <c r="Z519" s="5" t="s">
        <v>6077</v>
      </c>
      <c r="AA519" s="5" t="s">
        <v>6078</v>
      </c>
      <c r="AB519" s="5"/>
      <c r="AC519" s="5"/>
      <c r="AD519" s="5"/>
      <c r="AE519" s="5"/>
      <c r="AF519" s="5"/>
      <c r="AG519" s="5"/>
      <c r="AH519" s="5"/>
      <c r="AI519" s="5"/>
      <c r="AJ519" s="5"/>
      <c r="AK519" s="5"/>
      <c r="AL519" s="5"/>
      <c r="AM519" s="5"/>
      <c r="AN519" s="5"/>
      <c r="AO519" s="5"/>
      <c r="AP519" s="5"/>
      <c r="AQ519" s="5"/>
      <c r="AR519" s="5"/>
      <c r="AS519" s="5"/>
      <c r="AT519" s="5"/>
      <c r="AU519" s="5"/>
      <c r="AV519" s="5"/>
      <c r="AW519" s="5" t="s">
        <v>6079</v>
      </c>
    </row>
    <row r="520" customFormat="false" ht="147" hidden="false" customHeight="false" outlineLevel="0" collapsed="false">
      <c r="A520" s="5" t="s">
        <v>6080</v>
      </c>
      <c r="B520" s="5" t="s">
        <v>6081</v>
      </c>
      <c r="C520" s="5" t="s">
        <v>5640</v>
      </c>
      <c r="D520" s="5" t="s">
        <v>5641</v>
      </c>
      <c r="E520" s="5" t="s">
        <v>626</v>
      </c>
      <c r="F520" s="5" t="s">
        <v>6082</v>
      </c>
      <c r="G520" s="5" t="s">
        <v>6083</v>
      </c>
      <c r="H520" s="5" t="n">
        <v>10</v>
      </c>
      <c r="I520" s="5" t="s">
        <v>603</v>
      </c>
      <c r="J520" s="5" t="s">
        <v>153</v>
      </c>
      <c r="K520" s="5"/>
      <c r="L520" s="5" t="s">
        <v>30</v>
      </c>
      <c r="M520" s="5" t="s">
        <v>155</v>
      </c>
      <c r="N520" s="5" t="s">
        <v>836</v>
      </c>
      <c r="O520" s="5" t="s">
        <v>157</v>
      </c>
      <c r="P520" s="5" t="s">
        <v>158</v>
      </c>
      <c r="Q520" s="5" t="s">
        <v>519</v>
      </c>
      <c r="R520" s="5" t="s">
        <v>5646</v>
      </c>
      <c r="S520" s="5" t="s">
        <v>5647</v>
      </c>
      <c r="T520" s="5" t="s">
        <v>606</v>
      </c>
      <c r="U520" s="5" t="n">
        <v>365</v>
      </c>
      <c r="V520" s="5" t="s">
        <v>5648</v>
      </c>
      <c r="W520" s="5" t="s">
        <v>5649</v>
      </c>
      <c r="X520" s="5" t="s">
        <v>6084</v>
      </c>
      <c r="Y520" s="5" t="s">
        <v>6085</v>
      </c>
      <c r="Z520" s="5" t="s">
        <v>6086</v>
      </c>
      <c r="AA520" s="5"/>
      <c r="AB520" s="5"/>
      <c r="AC520" s="5"/>
      <c r="AD520" s="5"/>
      <c r="AE520" s="5"/>
      <c r="AF520" s="5" t="s">
        <v>6087</v>
      </c>
      <c r="AG520" s="5"/>
      <c r="AH520" s="5"/>
      <c r="AI520" s="5" t="s">
        <v>6038</v>
      </c>
      <c r="AJ520" s="5"/>
      <c r="AK520" s="5"/>
      <c r="AL520" s="5" t="s">
        <v>6087</v>
      </c>
      <c r="AM520" s="5"/>
      <c r="AN520" s="5"/>
      <c r="AO520" s="5"/>
      <c r="AP520" s="5"/>
      <c r="AQ520" s="5"/>
      <c r="AR520" s="5" t="s">
        <v>646</v>
      </c>
      <c r="AS520" s="5"/>
      <c r="AT520" s="5" t="s">
        <v>3093</v>
      </c>
      <c r="AU520" s="5"/>
      <c r="AV520" s="5"/>
      <c r="AW520" s="5" t="s">
        <v>6079</v>
      </c>
    </row>
    <row r="521" customFormat="false" ht="158.2" hidden="false" customHeight="false" outlineLevel="0" collapsed="false">
      <c r="A521" s="5" t="s">
        <v>6088</v>
      </c>
      <c r="B521" s="5" t="s">
        <v>6089</v>
      </c>
      <c r="C521" s="5" t="s">
        <v>5640</v>
      </c>
      <c r="D521" s="5" t="s">
        <v>5641</v>
      </c>
      <c r="E521" s="5" t="s">
        <v>626</v>
      </c>
      <c r="F521" s="5" t="s">
        <v>6090</v>
      </c>
      <c r="G521" s="5" t="s">
        <v>6091</v>
      </c>
      <c r="H521" s="5" t="n">
        <v>10</v>
      </c>
      <c r="I521" s="5" t="s">
        <v>603</v>
      </c>
      <c r="J521" s="5" t="s">
        <v>153</v>
      </c>
      <c r="K521" s="5" t="s">
        <v>6092</v>
      </c>
      <c r="L521" s="5" t="s">
        <v>30</v>
      </c>
      <c r="M521" s="5" t="s">
        <v>155</v>
      </c>
      <c r="N521" s="5" t="s">
        <v>6093</v>
      </c>
      <c r="O521" s="5" t="s">
        <v>157</v>
      </c>
      <c r="P521" s="5" t="s">
        <v>158</v>
      </c>
      <c r="Q521" s="5" t="s">
        <v>519</v>
      </c>
      <c r="R521" s="5" t="s">
        <v>5646</v>
      </c>
      <c r="S521" s="5" t="s">
        <v>5647</v>
      </c>
      <c r="T521" s="5" t="s">
        <v>606</v>
      </c>
      <c r="U521" s="5" t="n">
        <v>365</v>
      </c>
      <c r="V521" s="5" t="s">
        <v>5648</v>
      </c>
      <c r="W521" s="5" t="s">
        <v>6094</v>
      </c>
      <c r="X521" s="5" t="s">
        <v>6095</v>
      </c>
      <c r="Y521" s="5" t="s">
        <v>6096</v>
      </c>
      <c r="Z521" s="5" t="s">
        <v>6097</v>
      </c>
      <c r="AA521" s="5" t="s">
        <v>6098</v>
      </c>
      <c r="AB521" s="5"/>
      <c r="AC521" s="5"/>
      <c r="AD521" s="5"/>
      <c r="AE521" s="5" t="s">
        <v>5518</v>
      </c>
      <c r="AF521" s="5" t="s">
        <v>6099</v>
      </c>
      <c r="AG521" s="5" t="s">
        <v>6100</v>
      </c>
      <c r="AH521" s="5" t="s">
        <v>6101</v>
      </c>
      <c r="AI521" s="5"/>
      <c r="AJ521" s="5"/>
      <c r="AK521" s="5"/>
      <c r="AL521" s="5" t="s">
        <v>6099</v>
      </c>
      <c r="AM521" s="5"/>
      <c r="AN521" s="5" t="s">
        <v>6100</v>
      </c>
      <c r="AO521" s="5"/>
      <c r="AP521" s="5" t="s">
        <v>6102</v>
      </c>
      <c r="AQ521" s="5"/>
      <c r="AR521" s="5" t="s">
        <v>2921</v>
      </c>
      <c r="AS521" s="5"/>
      <c r="AT521" s="5" t="s">
        <v>6103</v>
      </c>
      <c r="AU521" s="5"/>
      <c r="AV521" s="5" t="s">
        <v>178</v>
      </c>
      <c r="AW521" s="5" t="s">
        <v>6104</v>
      </c>
    </row>
    <row r="522" customFormat="false" ht="135.8" hidden="false" customHeight="false" outlineLevel="0" collapsed="false">
      <c r="A522" s="5" t="s">
        <v>6105</v>
      </c>
      <c r="B522" s="5" t="s">
        <v>6106</v>
      </c>
      <c r="C522" s="5" t="s">
        <v>5640</v>
      </c>
      <c r="D522" s="5" t="s">
        <v>5641</v>
      </c>
      <c r="E522" s="5" t="s">
        <v>600</v>
      </c>
      <c r="F522" s="5" t="s">
        <v>6107</v>
      </c>
      <c r="G522" s="5" t="s">
        <v>6108</v>
      </c>
      <c r="H522" s="5" t="n">
        <v>1</v>
      </c>
      <c r="I522" s="5" t="s">
        <v>603</v>
      </c>
      <c r="J522" s="5" t="s">
        <v>557</v>
      </c>
      <c r="K522" s="5"/>
      <c r="L522" s="5" t="s">
        <v>30</v>
      </c>
      <c r="M522" s="5" t="s">
        <v>155</v>
      </c>
      <c r="N522" s="5" t="s">
        <v>1030</v>
      </c>
      <c r="O522" s="5" t="s">
        <v>157</v>
      </c>
      <c r="P522" s="5" t="s">
        <v>641</v>
      </c>
      <c r="Q522" s="5" t="s">
        <v>519</v>
      </c>
      <c r="R522" s="5" t="s">
        <v>5646</v>
      </c>
      <c r="S522" s="5" t="s">
        <v>5647</v>
      </c>
      <c r="T522" s="5" t="s">
        <v>606</v>
      </c>
      <c r="U522" s="5" t="n">
        <v>90</v>
      </c>
      <c r="V522" s="5" t="s">
        <v>5648</v>
      </c>
      <c r="W522" s="5" t="s">
        <v>6094</v>
      </c>
      <c r="X522" s="5" t="s">
        <v>6109</v>
      </c>
      <c r="Y522" s="5" t="s">
        <v>6110</v>
      </c>
      <c r="Z522" s="5" t="s">
        <v>6111</v>
      </c>
      <c r="AA522" s="5"/>
      <c r="AB522" s="5"/>
      <c r="AC522" s="5"/>
      <c r="AD522" s="5"/>
      <c r="AE522" s="5"/>
      <c r="AF522" s="5" t="s">
        <v>6112</v>
      </c>
      <c r="AG522" s="5" t="s">
        <v>6112</v>
      </c>
      <c r="AH522" s="5"/>
      <c r="AI522" s="5"/>
      <c r="AJ522" s="5"/>
      <c r="AK522" s="5"/>
      <c r="AL522" s="5" t="s">
        <v>6112</v>
      </c>
      <c r="AM522" s="5" t="s">
        <v>6112</v>
      </c>
      <c r="AN522" s="5"/>
      <c r="AO522" s="5"/>
      <c r="AP522" s="5"/>
      <c r="AQ522" s="5"/>
      <c r="AR522" s="5" t="s">
        <v>2921</v>
      </c>
      <c r="AS522" s="5"/>
      <c r="AT522" s="5"/>
      <c r="AU522" s="5" t="s">
        <v>1430</v>
      </c>
      <c r="AV522" s="5" t="s">
        <v>178</v>
      </c>
      <c r="AW522" s="5" t="s">
        <v>6113</v>
      </c>
    </row>
    <row r="523" customFormat="false" ht="135.8" hidden="false" customHeight="false" outlineLevel="0" collapsed="false">
      <c r="A523" s="5" t="s">
        <v>6114</v>
      </c>
      <c r="B523" s="5" t="s">
        <v>6115</v>
      </c>
      <c r="C523" s="5" t="s">
        <v>5640</v>
      </c>
      <c r="D523" s="5" t="s">
        <v>5641</v>
      </c>
      <c r="E523" s="5" t="s">
        <v>626</v>
      </c>
      <c r="F523" s="5" t="s">
        <v>6116</v>
      </c>
      <c r="G523" s="5" t="s">
        <v>6117</v>
      </c>
      <c r="H523" s="5" t="n">
        <v>9</v>
      </c>
      <c r="I523" s="5" t="s">
        <v>603</v>
      </c>
      <c r="J523" s="5" t="s">
        <v>153</v>
      </c>
      <c r="K523" s="5"/>
      <c r="L523" s="5" t="s">
        <v>30</v>
      </c>
      <c r="M523" s="5" t="s">
        <v>155</v>
      </c>
      <c r="N523" s="5" t="s">
        <v>6118</v>
      </c>
      <c r="O523" s="5" t="s">
        <v>157</v>
      </c>
      <c r="P523" s="5" t="s">
        <v>641</v>
      </c>
      <c r="Q523" s="5" t="s">
        <v>519</v>
      </c>
      <c r="R523" s="5" t="s">
        <v>5646</v>
      </c>
      <c r="S523" s="5" t="s">
        <v>5647</v>
      </c>
      <c r="T523" s="5" t="s">
        <v>606</v>
      </c>
      <c r="U523" s="5" t="n">
        <v>365</v>
      </c>
      <c r="V523" s="5" t="s">
        <v>5648</v>
      </c>
      <c r="W523" s="5" t="s">
        <v>6094</v>
      </c>
      <c r="X523" s="5" t="s">
        <v>6119</v>
      </c>
      <c r="Y523" s="5" t="s">
        <v>6120</v>
      </c>
      <c r="Z523" s="5" t="s">
        <v>6121</v>
      </c>
      <c r="AA523" s="5"/>
      <c r="AB523" s="5"/>
      <c r="AC523" s="5"/>
      <c r="AD523" s="5"/>
      <c r="AE523" s="5"/>
      <c r="AF523" s="5" t="s">
        <v>6122</v>
      </c>
      <c r="AG523" s="5" t="s">
        <v>6122</v>
      </c>
      <c r="AH523" s="5" t="s">
        <v>6123</v>
      </c>
      <c r="AI523" s="5"/>
      <c r="AJ523" s="5"/>
      <c r="AK523" s="5"/>
      <c r="AL523" s="5" t="s">
        <v>6122</v>
      </c>
      <c r="AM523" s="5" t="s">
        <v>6122</v>
      </c>
      <c r="AN523" s="5"/>
      <c r="AO523" s="5"/>
      <c r="AP523" s="5"/>
      <c r="AQ523" s="5"/>
      <c r="AR523" s="5" t="s">
        <v>2921</v>
      </c>
      <c r="AS523" s="5"/>
      <c r="AT523" s="5"/>
      <c r="AU523" s="5" t="s">
        <v>2628</v>
      </c>
      <c r="AV523" s="5" t="s">
        <v>178</v>
      </c>
      <c r="AW523" s="5" t="s">
        <v>6124</v>
      </c>
    </row>
    <row r="524" customFormat="false" ht="135.8" hidden="false" customHeight="false" outlineLevel="0" collapsed="false">
      <c r="A524" s="5" t="s">
        <v>6125</v>
      </c>
      <c r="B524" s="5" t="s">
        <v>6126</v>
      </c>
      <c r="C524" s="5" t="s">
        <v>5640</v>
      </c>
      <c r="D524" s="5" t="s">
        <v>5641</v>
      </c>
      <c r="E524" s="5" t="s">
        <v>626</v>
      </c>
      <c r="F524" s="5" t="s">
        <v>6127</v>
      </c>
      <c r="G524" s="5" t="s">
        <v>6128</v>
      </c>
      <c r="H524" s="5" t="n">
        <v>9</v>
      </c>
      <c r="I524" s="5" t="s">
        <v>603</v>
      </c>
      <c r="J524" s="5" t="s">
        <v>153</v>
      </c>
      <c r="K524" s="5" t="s">
        <v>6129</v>
      </c>
      <c r="L524" s="5" t="s">
        <v>30</v>
      </c>
      <c r="M524" s="5" t="s">
        <v>155</v>
      </c>
      <c r="N524" s="5" t="s">
        <v>5479</v>
      </c>
      <c r="O524" s="5" t="s">
        <v>157</v>
      </c>
      <c r="P524" s="5" t="s">
        <v>158</v>
      </c>
      <c r="Q524" s="5" t="s">
        <v>519</v>
      </c>
      <c r="R524" s="5" t="s">
        <v>5646</v>
      </c>
      <c r="S524" s="5" t="s">
        <v>5647</v>
      </c>
      <c r="T524" s="5" t="s">
        <v>606</v>
      </c>
      <c r="U524" s="5" t="n">
        <v>365</v>
      </c>
      <c r="V524" s="5" t="s">
        <v>5648</v>
      </c>
      <c r="W524" s="5" t="s">
        <v>6094</v>
      </c>
      <c r="X524" s="5" t="s">
        <v>6130</v>
      </c>
      <c r="Y524" s="5" t="s">
        <v>6131</v>
      </c>
      <c r="Z524" s="5" t="s">
        <v>6132</v>
      </c>
      <c r="AA524" s="5"/>
      <c r="AB524" s="5"/>
      <c r="AC524" s="5"/>
      <c r="AD524" s="5"/>
      <c r="AE524" s="5" t="s">
        <v>5518</v>
      </c>
      <c r="AF524" s="5" t="s">
        <v>6133</v>
      </c>
      <c r="AG524" s="5" t="s">
        <v>6133</v>
      </c>
      <c r="AH524" s="5"/>
      <c r="AI524" s="5"/>
      <c r="AJ524" s="5"/>
      <c r="AK524" s="5"/>
      <c r="AL524" s="5" t="s">
        <v>6133</v>
      </c>
      <c r="AM524" s="5" t="s">
        <v>6133</v>
      </c>
      <c r="AN524" s="5"/>
      <c r="AO524" s="5"/>
      <c r="AP524" s="5"/>
      <c r="AQ524" s="5"/>
      <c r="AR524" s="5" t="s">
        <v>2921</v>
      </c>
      <c r="AS524" s="5"/>
      <c r="AT524" s="5"/>
      <c r="AU524" s="5"/>
      <c r="AV524" s="5" t="s">
        <v>178</v>
      </c>
      <c r="AW524" s="5" t="s">
        <v>6134</v>
      </c>
    </row>
    <row r="525" customFormat="false" ht="169.4" hidden="false" customHeight="false" outlineLevel="0" collapsed="false">
      <c r="A525" s="5" t="s">
        <v>6135</v>
      </c>
      <c r="B525" s="5" t="s">
        <v>6136</v>
      </c>
      <c r="C525" s="5" t="s">
        <v>5640</v>
      </c>
      <c r="D525" s="5" t="s">
        <v>5641</v>
      </c>
      <c r="E525" s="5" t="s">
        <v>626</v>
      </c>
      <c r="F525" s="5" t="s">
        <v>6137</v>
      </c>
      <c r="G525" s="5" t="s">
        <v>6138</v>
      </c>
      <c r="H525" s="5" t="n">
        <v>8</v>
      </c>
      <c r="I525" s="5" t="s">
        <v>603</v>
      </c>
      <c r="J525" s="5" t="s">
        <v>153</v>
      </c>
      <c r="K525" s="5"/>
      <c r="L525" s="5" t="s">
        <v>30</v>
      </c>
      <c r="M525" s="5" t="s">
        <v>155</v>
      </c>
      <c r="N525" s="5" t="s">
        <v>1030</v>
      </c>
      <c r="O525" s="5" t="s">
        <v>157</v>
      </c>
      <c r="P525" s="5" t="s">
        <v>641</v>
      </c>
      <c r="Q525" s="5" t="s">
        <v>519</v>
      </c>
      <c r="R525" s="5" t="s">
        <v>5646</v>
      </c>
      <c r="S525" s="5" t="s">
        <v>5647</v>
      </c>
      <c r="T525" s="5" t="s">
        <v>606</v>
      </c>
      <c r="U525" s="5" t="n">
        <v>365</v>
      </c>
      <c r="V525" s="5" t="s">
        <v>5648</v>
      </c>
      <c r="W525" s="5" t="s">
        <v>6094</v>
      </c>
      <c r="X525" s="5" t="s">
        <v>6139</v>
      </c>
      <c r="Y525" s="5" t="s">
        <v>6140</v>
      </c>
      <c r="Z525" s="5" t="s">
        <v>6141</v>
      </c>
      <c r="AA525" s="5"/>
      <c r="AB525" s="5"/>
      <c r="AC525" s="5"/>
      <c r="AD525" s="5"/>
      <c r="AE525" s="5"/>
      <c r="AF525" s="5" t="s">
        <v>6142</v>
      </c>
      <c r="AG525" s="5" t="s">
        <v>6142</v>
      </c>
      <c r="AH525" s="5"/>
      <c r="AI525" s="5"/>
      <c r="AJ525" s="5"/>
      <c r="AK525" s="5"/>
      <c r="AL525" s="5" t="s">
        <v>6142</v>
      </c>
      <c r="AM525" s="5" t="s">
        <v>6142</v>
      </c>
      <c r="AN525" s="5"/>
      <c r="AO525" s="5"/>
      <c r="AP525" s="5"/>
      <c r="AQ525" s="5"/>
      <c r="AR525" s="5" t="s">
        <v>2921</v>
      </c>
      <c r="AS525" s="5"/>
      <c r="AT525" s="5"/>
      <c r="AU525" s="5"/>
      <c r="AV525" s="5" t="s">
        <v>178</v>
      </c>
      <c r="AW525" s="5" t="s">
        <v>6143</v>
      </c>
    </row>
    <row r="526" customFormat="false" ht="147" hidden="false" customHeight="false" outlineLevel="0" collapsed="false">
      <c r="A526" s="5" t="s">
        <v>6144</v>
      </c>
      <c r="B526" s="5" t="s">
        <v>6145</v>
      </c>
      <c r="C526" s="5" t="s">
        <v>5640</v>
      </c>
      <c r="D526" s="5" t="s">
        <v>5641</v>
      </c>
      <c r="E526" s="5" t="s">
        <v>626</v>
      </c>
      <c r="F526" s="5" t="s">
        <v>6146</v>
      </c>
      <c r="G526" s="5" t="s">
        <v>6147</v>
      </c>
      <c r="H526" s="5" t="n">
        <v>10</v>
      </c>
      <c r="I526" s="5" t="s">
        <v>152</v>
      </c>
      <c r="J526" s="5" t="s">
        <v>153</v>
      </c>
      <c r="K526" s="5" t="s">
        <v>6092</v>
      </c>
      <c r="L526" s="5" t="s">
        <v>85</v>
      </c>
      <c r="M526" s="5" t="s">
        <v>185</v>
      </c>
      <c r="N526" s="5" t="s">
        <v>84</v>
      </c>
      <c r="O526" s="5" t="s">
        <v>214</v>
      </c>
      <c r="P526" s="5" t="s">
        <v>641</v>
      </c>
      <c r="Q526" s="5" t="s">
        <v>519</v>
      </c>
      <c r="R526" s="5" t="s">
        <v>5646</v>
      </c>
      <c r="S526" s="5" t="s">
        <v>5647</v>
      </c>
      <c r="T526" s="5" t="s">
        <v>162</v>
      </c>
      <c r="U526" s="5" t="n">
        <v>365</v>
      </c>
      <c r="V526" s="5" t="s">
        <v>5648</v>
      </c>
      <c r="W526" s="5" t="s">
        <v>6094</v>
      </c>
      <c r="X526" s="5" t="s">
        <v>6148</v>
      </c>
      <c r="Y526" s="5" t="s">
        <v>6149</v>
      </c>
      <c r="Z526" s="5" t="s">
        <v>6150</v>
      </c>
      <c r="AA526" s="5"/>
      <c r="AB526" s="5"/>
      <c r="AC526" s="5"/>
      <c r="AD526" s="5"/>
      <c r="AE526" s="5"/>
      <c r="AF526" s="5"/>
      <c r="AG526" s="5"/>
      <c r="AH526" s="5"/>
      <c r="AI526" s="5"/>
      <c r="AJ526" s="5"/>
      <c r="AK526" s="5"/>
      <c r="AL526" s="5"/>
      <c r="AM526" s="5"/>
      <c r="AN526" s="5"/>
      <c r="AO526" s="5"/>
      <c r="AP526" s="5" t="s">
        <v>6102</v>
      </c>
      <c r="AQ526" s="5"/>
      <c r="AR526" s="5"/>
      <c r="AS526" s="5"/>
      <c r="AT526" s="5" t="s">
        <v>6151</v>
      </c>
      <c r="AU526" s="5" t="s">
        <v>2628</v>
      </c>
      <c r="AV526" s="5" t="s">
        <v>178</v>
      </c>
      <c r="AW526" s="5" t="s">
        <v>6152</v>
      </c>
    </row>
    <row r="527" customFormat="false" ht="135.8" hidden="false" customHeight="false" outlineLevel="0" collapsed="false">
      <c r="A527" s="5" t="s">
        <v>6153</v>
      </c>
      <c r="B527" s="5" t="s">
        <v>6154</v>
      </c>
      <c r="C527" s="5" t="s">
        <v>5640</v>
      </c>
      <c r="D527" s="5" t="s">
        <v>5641</v>
      </c>
      <c r="E527" s="5" t="s">
        <v>626</v>
      </c>
      <c r="F527" s="5" t="s">
        <v>6155</v>
      </c>
      <c r="G527" s="5" t="s">
        <v>6156</v>
      </c>
      <c r="H527" s="5" t="n">
        <v>8</v>
      </c>
      <c r="I527" s="5" t="s">
        <v>152</v>
      </c>
      <c r="J527" s="5" t="s">
        <v>557</v>
      </c>
      <c r="K527" s="5" t="s">
        <v>6157</v>
      </c>
      <c r="L527" s="5" t="s">
        <v>30</v>
      </c>
      <c r="M527" s="5" t="s">
        <v>155</v>
      </c>
      <c r="N527" s="5" t="s">
        <v>6158</v>
      </c>
      <c r="O527" s="5" t="s">
        <v>157</v>
      </c>
      <c r="P527" s="5" t="s">
        <v>215</v>
      </c>
      <c r="Q527" s="5" t="s">
        <v>519</v>
      </c>
      <c r="R527" s="5" t="s">
        <v>5646</v>
      </c>
      <c r="S527" s="5" t="s">
        <v>5647</v>
      </c>
      <c r="T527" s="5" t="s">
        <v>162</v>
      </c>
      <c r="U527" s="5" t="n">
        <v>90</v>
      </c>
      <c r="V527" s="5" t="s">
        <v>5648</v>
      </c>
      <c r="W527" s="5" t="s">
        <v>6094</v>
      </c>
      <c r="X527" s="5" t="s">
        <v>6159</v>
      </c>
      <c r="Y527" s="5" t="s">
        <v>6160</v>
      </c>
      <c r="Z527" s="5" t="s">
        <v>6161</v>
      </c>
      <c r="AA527" s="5"/>
      <c r="AB527" s="5"/>
      <c r="AC527" s="5"/>
      <c r="AD527" s="5"/>
      <c r="AE527" s="5" t="s">
        <v>5518</v>
      </c>
      <c r="AF527" s="5"/>
      <c r="AG527" s="5"/>
      <c r="AH527" s="5" t="s">
        <v>6162</v>
      </c>
      <c r="AI527" s="5"/>
      <c r="AJ527" s="5"/>
      <c r="AK527" s="5"/>
      <c r="AL527" s="5"/>
      <c r="AM527" s="5"/>
      <c r="AN527" s="5"/>
      <c r="AO527" s="5"/>
      <c r="AP527" s="5"/>
      <c r="AQ527" s="5"/>
      <c r="AR527" s="5"/>
      <c r="AS527" s="5"/>
      <c r="AT527" s="5"/>
      <c r="AU527" s="5"/>
      <c r="AV527" s="5" t="s">
        <v>178</v>
      </c>
      <c r="AW527" s="5" t="s">
        <v>6163</v>
      </c>
    </row>
    <row r="528" customFormat="false" ht="135.8" hidden="false" customHeight="false" outlineLevel="0" collapsed="false">
      <c r="A528" s="5" t="s">
        <v>6164</v>
      </c>
      <c r="B528" s="5" t="s">
        <v>6165</v>
      </c>
      <c r="C528" s="5" t="s">
        <v>5640</v>
      </c>
      <c r="D528" s="5" t="s">
        <v>5641</v>
      </c>
      <c r="E528" s="5" t="s">
        <v>626</v>
      </c>
      <c r="F528" s="5" t="s">
        <v>6166</v>
      </c>
      <c r="G528" s="5" t="s">
        <v>6167</v>
      </c>
      <c r="H528" s="5" t="n">
        <v>8</v>
      </c>
      <c r="I528" s="5" t="s">
        <v>603</v>
      </c>
      <c r="J528" s="5" t="s">
        <v>153</v>
      </c>
      <c r="K528" s="5"/>
      <c r="L528" s="5" t="s">
        <v>30</v>
      </c>
      <c r="M528" s="5" t="s">
        <v>155</v>
      </c>
      <c r="N528" s="5" t="s">
        <v>3676</v>
      </c>
      <c r="O528" s="5" t="s">
        <v>157</v>
      </c>
      <c r="P528" s="5" t="s">
        <v>215</v>
      </c>
      <c r="Q528" s="5" t="s">
        <v>519</v>
      </c>
      <c r="R528" s="5" t="s">
        <v>5646</v>
      </c>
      <c r="S528" s="5" t="s">
        <v>5647</v>
      </c>
      <c r="T528" s="5" t="s">
        <v>606</v>
      </c>
      <c r="U528" s="5" t="n">
        <v>365</v>
      </c>
      <c r="V528" s="5" t="s">
        <v>5648</v>
      </c>
      <c r="W528" s="5" t="s">
        <v>6094</v>
      </c>
      <c r="X528" s="5" t="s">
        <v>6168</v>
      </c>
      <c r="Y528" s="5" t="s">
        <v>6169</v>
      </c>
      <c r="Z528" s="5" t="s">
        <v>6170</v>
      </c>
      <c r="AA528" s="5"/>
      <c r="AB528" s="5"/>
      <c r="AC528" s="5"/>
      <c r="AD528" s="5"/>
      <c r="AE528" s="5"/>
      <c r="AF528" s="5" t="s">
        <v>6171</v>
      </c>
      <c r="AG528" s="5" t="s">
        <v>6171</v>
      </c>
      <c r="AH528" s="5" t="s">
        <v>4790</v>
      </c>
      <c r="AI528" s="5"/>
      <c r="AJ528" s="5"/>
      <c r="AK528" s="5"/>
      <c r="AL528" s="5" t="s">
        <v>6171</v>
      </c>
      <c r="AM528" s="5"/>
      <c r="AN528" s="5"/>
      <c r="AO528" s="5"/>
      <c r="AP528" s="5"/>
      <c r="AQ528" s="5"/>
      <c r="AR528" s="5" t="s">
        <v>2921</v>
      </c>
      <c r="AS528" s="5"/>
      <c r="AT528" s="5"/>
      <c r="AU528" s="5"/>
      <c r="AV528" s="5"/>
      <c r="AW528" s="5" t="s">
        <v>6172</v>
      </c>
    </row>
    <row r="529" customFormat="false" ht="113.4" hidden="false" customHeight="false" outlineLevel="0" collapsed="false">
      <c r="A529" s="5" t="s">
        <v>6173</v>
      </c>
      <c r="B529" s="5" t="s">
        <v>6174</v>
      </c>
      <c r="C529" s="5" t="s">
        <v>5640</v>
      </c>
      <c r="D529" s="5" t="s">
        <v>5641</v>
      </c>
      <c r="E529" s="5" t="s">
        <v>626</v>
      </c>
      <c r="F529" s="5" t="s">
        <v>6175</v>
      </c>
      <c r="G529" s="5" t="s">
        <v>6176</v>
      </c>
      <c r="H529" s="5" t="n">
        <v>9</v>
      </c>
      <c r="I529" s="5" t="s">
        <v>603</v>
      </c>
      <c r="J529" s="5" t="s">
        <v>153</v>
      </c>
      <c r="K529" s="5"/>
      <c r="L529" s="5" t="s">
        <v>30</v>
      </c>
      <c r="M529" s="5" t="s">
        <v>155</v>
      </c>
      <c r="N529" s="5" t="s">
        <v>6177</v>
      </c>
      <c r="O529" s="5" t="s">
        <v>570</v>
      </c>
      <c r="P529" s="5" t="s">
        <v>641</v>
      </c>
      <c r="Q529" s="5" t="s">
        <v>519</v>
      </c>
      <c r="R529" s="5" t="s">
        <v>5646</v>
      </c>
      <c r="S529" s="5" t="s">
        <v>5647</v>
      </c>
      <c r="T529" s="5" t="s">
        <v>606</v>
      </c>
      <c r="U529" s="5" t="n">
        <v>365</v>
      </c>
      <c r="V529" s="5" t="s">
        <v>5648</v>
      </c>
      <c r="W529" s="5" t="s">
        <v>6178</v>
      </c>
      <c r="X529" s="5" t="s">
        <v>6179</v>
      </c>
      <c r="Y529" s="5" t="s">
        <v>6180</v>
      </c>
      <c r="Z529" s="5" t="s">
        <v>6181</v>
      </c>
      <c r="AA529" s="5" t="s">
        <v>6182</v>
      </c>
      <c r="AB529" s="5" t="s">
        <v>6183</v>
      </c>
      <c r="AC529" s="5"/>
      <c r="AD529" s="5" t="s">
        <v>6184</v>
      </c>
      <c r="AE529" s="5" t="s">
        <v>2730</v>
      </c>
      <c r="AF529" s="5" t="s">
        <v>2732</v>
      </c>
      <c r="AG529" s="5" t="s">
        <v>2732</v>
      </c>
      <c r="AH529" s="5"/>
      <c r="AI529" s="5"/>
      <c r="AJ529" s="5"/>
      <c r="AK529" s="5"/>
      <c r="AL529" s="5" t="s">
        <v>2732</v>
      </c>
      <c r="AM529" s="5"/>
      <c r="AN529" s="5" t="s">
        <v>2732</v>
      </c>
      <c r="AO529" s="5"/>
      <c r="AP529" s="5"/>
      <c r="AQ529" s="5" t="s">
        <v>2732</v>
      </c>
      <c r="AR529" s="5" t="s">
        <v>2921</v>
      </c>
      <c r="AS529" s="5"/>
      <c r="AT529" s="5" t="s">
        <v>5952</v>
      </c>
      <c r="AU529" s="5" t="s">
        <v>2628</v>
      </c>
      <c r="AV529" s="5" t="s">
        <v>178</v>
      </c>
      <c r="AW529" s="5" t="s">
        <v>1664</v>
      </c>
    </row>
    <row r="530" customFormat="false" ht="135.8" hidden="false" customHeight="false" outlineLevel="0" collapsed="false">
      <c r="A530" s="5" t="s">
        <v>6185</v>
      </c>
      <c r="B530" s="5" t="s">
        <v>6186</v>
      </c>
      <c r="C530" s="5" t="s">
        <v>5640</v>
      </c>
      <c r="D530" s="5" t="s">
        <v>5641</v>
      </c>
      <c r="E530" s="5" t="s">
        <v>626</v>
      </c>
      <c r="F530" s="5" t="s">
        <v>6187</v>
      </c>
      <c r="G530" s="5" t="s">
        <v>6188</v>
      </c>
      <c r="H530" s="5" t="n">
        <v>9</v>
      </c>
      <c r="I530" s="5" t="s">
        <v>603</v>
      </c>
      <c r="J530" s="5" t="s">
        <v>153</v>
      </c>
      <c r="K530" s="5"/>
      <c r="L530" s="5" t="s">
        <v>30</v>
      </c>
      <c r="M530" s="5" t="s">
        <v>155</v>
      </c>
      <c r="N530" s="5" t="s">
        <v>6189</v>
      </c>
      <c r="O530" s="5" t="s">
        <v>570</v>
      </c>
      <c r="P530" s="5" t="s">
        <v>641</v>
      </c>
      <c r="Q530" s="5" t="s">
        <v>519</v>
      </c>
      <c r="R530" s="5" t="s">
        <v>5646</v>
      </c>
      <c r="S530" s="5" t="s">
        <v>5647</v>
      </c>
      <c r="T530" s="5" t="s">
        <v>606</v>
      </c>
      <c r="U530" s="5" t="n">
        <v>365</v>
      </c>
      <c r="V530" s="5" t="s">
        <v>5648</v>
      </c>
      <c r="W530" s="5" t="s">
        <v>6178</v>
      </c>
      <c r="X530" s="5" t="s">
        <v>6190</v>
      </c>
      <c r="Y530" s="5" t="s">
        <v>6191</v>
      </c>
      <c r="Z530" s="5" t="s">
        <v>6192</v>
      </c>
      <c r="AA530" s="5"/>
      <c r="AB530" s="5"/>
      <c r="AC530" s="5"/>
      <c r="AD530" s="5" t="s">
        <v>6193</v>
      </c>
      <c r="AE530" s="5" t="s">
        <v>2730</v>
      </c>
      <c r="AF530" s="5" t="s">
        <v>6194</v>
      </c>
      <c r="AG530" s="5" t="s">
        <v>6194</v>
      </c>
      <c r="AH530" s="5"/>
      <c r="AI530" s="5"/>
      <c r="AJ530" s="5"/>
      <c r="AK530" s="5"/>
      <c r="AL530" s="5" t="s">
        <v>6194</v>
      </c>
      <c r="AM530" s="5" t="s">
        <v>6194</v>
      </c>
      <c r="AN530" s="5"/>
      <c r="AO530" s="5"/>
      <c r="AP530" s="5"/>
      <c r="AQ530" s="5"/>
      <c r="AR530" s="5" t="s">
        <v>2921</v>
      </c>
      <c r="AS530" s="5"/>
      <c r="AT530" s="5"/>
      <c r="AU530" s="5"/>
      <c r="AV530" s="5" t="s">
        <v>178</v>
      </c>
      <c r="AW530" s="5" t="s">
        <v>1664</v>
      </c>
    </row>
    <row r="531" customFormat="false" ht="124.6" hidden="false" customHeight="false" outlineLevel="0" collapsed="false">
      <c r="A531" s="5" t="s">
        <v>6195</v>
      </c>
      <c r="B531" s="5" t="s">
        <v>6196</v>
      </c>
      <c r="C531" s="5" t="s">
        <v>5640</v>
      </c>
      <c r="D531" s="5" t="s">
        <v>5641</v>
      </c>
      <c r="E531" s="5" t="s">
        <v>626</v>
      </c>
      <c r="F531" s="5" t="s">
        <v>6197</v>
      </c>
      <c r="G531" s="5" t="s">
        <v>6198</v>
      </c>
      <c r="H531" s="5" t="n">
        <v>5</v>
      </c>
      <c r="I531" s="5" t="s">
        <v>603</v>
      </c>
      <c r="J531" s="5" t="s">
        <v>153</v>
      </c>
      <c r="K531" s="5"/>
      <c r="L531" s="5" t="s">
        <v>30</v>
      </c>
      <c r="M531" s="5" t="s">
        <v>155</v>
      </c>
      <c r="N531" s="5" t="s">
        <v>1030</v>
      </c>
      <c r="O531" s="5" t="s">
        <v>157</v>
      </c>
      <c r="P531" s="5" t="s">
        <v>215</v>
      </c>
      <c r="Q531" s="5" t="s">
        <v>519</v>
      </c>
      <c r="R531" s="5" t="s">
        <v>5646</v>
      </c>
      <c r="S531" s="5" t="s">
        <v>5647</v>
      </c>
      <c r="T531" s="5" t="s">
        <v>606</v>
      </c>
      <c r="U531" s="5" t="n">
        <v>365</v>
      </c>
      <c r="V531" s="5" t="s">
        <v>5648</v>
      </c>
      <c r="W531" s="5" t="s">
        <v>6178</v>
      </c>
      <c r="X531" s="5" t="s">
        <v>6199</v>
      </c>
      <c r="Y531" s="5" t="s">
        <v>6200</v>
      </c>
      <c r="Z531" s="5" t="s">
        <v>6201</v>
      </c>
      <c r="AA531" s="5"/>
      <c r="AB531" s="5"/>
      <c r="AC531" s="5"/>
      <c r="AD531" s="5"/>
      <c r="AE531" s="5"/>
      <c r="AF531" s="5" t="s">
        <v>6202</v>
      </c>
      <c r="AG531" s="5" t="s">
        <v>6202</v>
      </c>
      <c r="AH531" s="5"/>
      <c r="AI531" s="5"/>
      <c r="AJ531" s="5"/>
      <c r="AK531" s="5"/>
      <c r="AL531" s="5" t="s">
        <v>6202</v>
      </c>
      <c r="AM531" s="5" t="s">
        <v>6202</v>
      </c>
      <c r="AN531" s="5"/>
      <c r="AO531" s="5"/>
      <c r="AP531" s="5"/>
      <c r="AQ531" s="5"/>
      <c r="AR531" s="5" t="s">
        <v>2921</v>
      </c>
      <c r="AS531" s="5"/>
      <c r="AT531" s="5"/>
      <c r="AU531" s="5"/>
      <c r="AV531" s="5" t="s">
        <v>178</v>
      </c>
      <c r="AW531" s="5" t="s">
        <v>1664</v>
      </c>
    </row>
    <row r="532" customFormat="false" ht="124.6" hidden="false" customHeight="false" outlineLevel="0" collapsed="false">
      <c r="A532" s="5" t="s">
        <v>6203</v>
      </c>
      <c r="B532" s="5" t="s">
        <v>6204</v>
      </c>
      <c r="C532" s="5" t="s">
        <v>5640</v>
      </c>
      <c r="D532" s="5" t="s">
        <v>5641</v>
      </c>
      <c r="E532" s="5" t="s">
        <v>626</v>
      </c>
      <c r="F532" s="5" t="s">
        <v>6205</v>
      </c>
      <c r="G532" s="5" t="s">
        <v>6206</v>
      </c>
      <c r="H532" s="5" t="n">
        <v>5</v>
      </c>
      <c r="I532" s="5" t="s">
        <v>603</v>
      </c>
      <c r="J532" s="5" t="s">
        <v>153</v>
      </c>
      <c r="K532" s="5"/>
      <c r="L532" s="5" t="s">
        <v>30</v>
      </c>
      <c r="M532" s="5" t="s">
        <v>155</v>
      </c>
      <c r="N532" s="5" t="s">
        <v>450</v>
      </c>
      <c r="O532" s="5" t="s">
        <v>157</v>
      </c>
      <c r="P532" s="5" t="s">
        <v>215</v>
      </c>
      <c r="Q532" s="5" t="s">
        <v>519</v>
      </c>
      <c r="R532" s="5" t="s">
        <v>5646</v>
      </c>
      <c r="S532" s="5" t="s">
        <v>5647</v>
      </c>
      <c r="T532" s="5" t="s">
        <v>606</v>
      </c>
      <c r="U532" s="5" t="n">
        <v>365</v>
      </c>
      <c r="V532" s="5" t="s">
        <v>5648</v>
      </c>
      <c r="W532" s="5" t="s">
        <v>6178</v>
      </c>
      <c r="X532" s="5" t="s">
        <v>6207</v>
      </c>
      <c r="Y532" s="5" t="s">
        <v>6208</v>
      </c>
      <c r="Z532" s="5" t="s">
        <v>6209</v>
      </c>
      <c r="AA532" s="5"/>
      <c r="AB532" s="5"/>
      <c r="AC532" s="5"/>
      <c r="AD532" s="5"/>
      <c r="AE532" s="5" t="s">
        <v>2730</v>
      </c>
      <c r="AF532" s="5" t="s">
        <v>6210</v>
      </c>
      <c r="AG532" s="5"/>
      <c r="AH532" s="5"/>
      <c r="AI532" s="5"/>
      <c r="AJ532" s="5"/>
      <c r="AK532" s="5"/>
      <c r="AL532" s="5" t="s">
        <v>6210</v>
      </c>
      <c r="AM532" s="5"/>
      <c r="AN532" s="5"/>
      <c r="AO532" s="5"/>
      <c r="AP532" s="5"/>
      <c r="AQ532" s="5"/>
      <c r="AR532" s="5" t="s">
        <v>2921</v>
      </c>
      <c r="AS532" s="5"/>
      <c r="AT532" s="5"/>
      <c r="AU532" s="5"/>
      <c r="AV532" s="5"/>
      <c r="AW532" s="5" t="s">
        <v>6211</v>
      </c>
    </row>
    <row r="533" customFormat="false" ht="124.6" hidden="false" customHeight="false" outlineLevel="0" collapsed="false">
      <c r="A533" s="5" t="s">
        <v>6212</v>
      </c>
      <c r="B533" s="5" t="s">
        <v>6213</v>
      </c>
      <c r="C533" s="5" t="s">
        <v>5640</v>
      </c>
      <c r="D533" s="5" t="s">
        <v>5641</v>
      </c>
      <c r="E533" s="5" t="s">
        <v>600</v>
      </c>
      <c r="F533" s="5" t="s">
        <v>6214</v>
      </c>
      <c r="G533" s="5" t="s">
        <v>6215</v>
      </c>
      <c r="H533" s="5" t="n">
        <v>8</v>
      </c>
      <c r="I533" s="5" t="s">
        <v>603</v>
      </c>
      <c r="J533" s="5" t="s">
        <v>153</v>
      </c>
      <c r="K533" s="5" t="s">
        <v>6216</v>
      </c>
      <c r="L533" s="5" t="s">
        <v>68</v>
      </c>
      <c r="M533" s="5" t="s">
        <v>185</v>
      </c>
      <c r="N533" s="5" t="s">
        <v>72</v>
      </c>
      <c r="O533" s="5" t="s">
        <v>666</v>
      </c>
      <c r="P533" s="5" t="s">
        <v>215</v>
      </c>
      <c r="Q533" s="5" t="s">
        <v>519</v>
      </c>
      <c r="R533" s="5" t="s">
        <v>5646</v>
      </c>
      <c r="S533" s="5" t="s">
        <v>5647</v>
      </c>
      <c r="T533" s="5" t="s">
        <v>606</v>
      </c>
      <c r="U533" s="5" t="n">
        <v>365</v>
      </c>
      <c r="V533" s="5" t="s">
        <v>5648</v>
      </c>
      <c r="W533" s="5" t="s">
        <v>6178</v>
      </c>
      <c r="X533" s="5" t="s">
        <v>6217</v>
      </c>
      <c r="Y533" s="5" t="s">
        <v>6218</v>
      </c>
      <c r="Z533" s="5" t="s">
        <v>6219</v>
      </c>
      <c r="AA533" s="5"/>
      <c r="AB533" s="5"/>
      <c r="AC533" s="5"/>
      <c r="AD533" s="5"/>
      <c r="AE533" s="5"/>
      <c r="AF533" s="5"/>
      <c r="AG533" s="5"/>
      <c r="AH533" s="5"/>
      <c r="AI533" s="5"/>
      <c r="AJ533" s="5"/>
      <c r="AK533" s="5"/>
      <c r="AL533" s="5"/>
      <c r="AM533" s="5"/>
      <c r="AN533" s="5"/>
      <c r="AO533" s="5" t="s">
        <v>6220</v>
      </c>
      <c r="AP533" s="5"/>
      <c r="AQ533" s="5"/>
      <c r="AR533" s="5"/>
      <c r="AS533" s="5"/>
      <c r="AT533" s="5"/>
      <c r="AU533" s="5"/>
      <c r="AV533" s="5"/>
      <c r="AW533" s="5" t="s">
        <v>6221</v>
      </c>
    </row>
    <row r="534" customFormat="false" ht="147" hidden="false" customHeight="false" outlineLevel="0" collapsed="false">
      <c r="A534" s="5" t="s">
        <v>6222</v>
      </c>
      <c r="B534" s="5" t="s">
        <v>6223</v>
      </c>
      <c r="C534" s="5" t="s">
        <v>5640</v>
      </c>
      <c r="D534" s="5" t="s">
        <v>5641</v>
      </c>
      <c r="E534" s="5" t="s">
        <v>626</v>
      </c>
      <c r="F534" s="5" t="s">
        <v>6224</v>
      </c>
      <c r="G534" s="5" t="s">
        <v>6225</v>
      </c>
      <c r="H534" s="5" t="n">
        <v>8</v>
      </c>
      <c r="I534" s="5" t="s">
        <v>603</v>
      </c>
      <c r="J534" s="5" t="s">
        <v>557</v>
      </c>
      <c r="K534" s="5"/>
      <c r="L534" s="5" t="s">
        <v>55</v>
      </c>
      <c r="M534" s="5" t="s">
        <v>185</v>
      </c>
      <c r="N534" s="5" t="s">
        <v>6226</v>
      </c>
      <c r="O534" s="5" t="s">
        <v>666</v>
      </c>
      <c r="P534" s="5" t="s">
        <v>158</v>
      </c>
      <c r="Q534" s="5" t="s">
        <v>519</v>
      </c>
      <c r="R534" s="5" t="s">
        <v>5646</v>
      </c>
      <c r="S534" s="5" t="s">
        <v>5647</v>
      </c>
      <c r="T534" s="5" t="s">
        <v>606</v>
      </c>
      <c r="U534" s="5" t="n">
        <v>90</v>
      </c>
      <c r="V534" s="5" t="s">
        <v>5648</v>
      </c>
      <c r="W534" s="5" t="s">
        <v>5649</v>
      </c>
      <c r="X534" s="5" t="s">
        <v>6227</v>
      </c>
      <c r="Y534" s="5" t="s">
        <v>6228</v>
      </c>
      <c r="Z534" s="5" t="s">
        <v>6229</v>
      </c>
      <c r="AA534" s="5"/>
      <c r="AB534" s="5"/>
      <c r="AC534" s="5"/>
      <c r="AD534" s="5"/>
      <c r="AE534" s="5"/>
      <c r="AF534" s="5" t="s">
        <v>6230</v>
      </c>
      <c r="AG534" s="5"/>
      <c r="AH534" s="5"/>
      <c r="AI534" s="5"/>
      <c r="AJ534" s="5" t="s">
        <v>5762</v>
      </c>
      <c r="AK534" s="5"/>
      <c r="AL534" s="5" t="s">
        <v>6230</v>
      </c>
      <c r="AM534" s="5"/>
      <c r="AN534" s="5"/>
      <c r="AO534" s="5" t="s">
        <v>6231</v>
      </c>
      <c r="AP534" s="5"/>
      <c r="AQ534" s="5" t="s">
        <v>6230</v>
      </c>
      <c r="AR534" s="5" t="s">
        <v>2117</v>
      </c>
      <c r="AS534" s="5"/>
      <c r="AT534" s="5"/>
      <c r="AU534" s="5"/>
      <c r="AV534" s="5" t="s">
        <v>178</v>
      </c>
      <c r="AW534" s="5" t="s">
        <v>5752</v>
      </c>
    </row>
    <row r="535" customFormat="false" ht="135.8" hidden="false" customHeight="false" outlineLevel="0" collapsed="false">
      <c r="A535" s="5" t="s">
        <v>6232</v>
      </c>
      <c r="B535" s="5" t="s">
        <v>6233</v>
      </c>
      <c r="C535" s="5" t="s">
        <v>5640</v>
      </c>
      <c r="D535" s="5" t="s">
        <v>5641</v>
      </c>
      <c r="E535" s="5" t="s">
        <v>626</v>
      </c>
      <c r="F535" s="5" t="s">
        <v>6234</v>
      </c>
      <c r="G535" s="5" t="s">
        <v>6235</v>
      </c>
      <c r="H535" s="5" t="n">
        <v>9</v>
      </c>
      <c r="I535" s="5" t="s">
        <v>603</v>
      </c>
      <c r="J535" s="5" t="s">
        <v>153</v>
      </c>
      <c r="K535" s="5" t="s">
        <v>6236</v>
      </c>
      <c r="L535" s="5" t="s">
        <v>30</v>
      </c>
      <c r="M535" s="5" t="s">
        <v>155</v>
      </c>
      <c r="N535" s="5" t="s">
        <v>2262</v>
      </c>
      <c r="O535" s="5" t="s">
        <v>157</v>
      </c>
      <c r="P535" s="5" t="s">
        <v>641</v>
      </c>
      <c r="Q535" s="5" t="s">
        <v>605</v>
      </c>
      <c r="R535" s="5" t="s">
        <v>5646</v>
      </c>
      <c r="S535" s="5" t="s">
        <v>5647</v>
      </c>
      <c r="T535" s="5" t="s">
        <v>606</v>
      </c>
      <c r="U535" s="5" t="n">
        <v>365</v>
      </c>
      <c r="V535" s="5" t="s">
        <v>5648</v>
      </c>
      <c r="W535" s="5" t="s">
        <v>5649</v>
      </c>
      <c r="X535" s="5" t="s">
        <v>6237</v>
      </c>
      <c r="Y535" s="5" t="s">
        <v>6238</v>
      </c>
      <c r="Z535" s="5" t="s">
        <v>6239</v>
      </c>
      <c r="AA535" s="5"/>
      <c r="AB535" s="5"/>
      <c r="AC535" s="5"/>
      <c r="AD535" s="5"/>
      <c r="AE535" s="5"/>
      <c r="AF535" s="5" t="s">
        <v>6240</v>
      </c>
      <c r="AG535" s="5" t="s">
        <v>6241</v>
      </c>
      <c r="AH535" s="5"/>
      <c r="AI535" s="5" t="s">
        <v>6038</v>
      </c>
      <c r="AJ535" s="5" t="s">
        <v>6242</v>
      </c>
      <c r="AK535" s="5" t="s">
        <v>2554</v>
      </c>
      <c r="AL535" s="5" t="s">
        <v>6240</v>
      </c>
      <c r="AM535" s="5" t="s">
        <v>6241</v>
      </c>
      <c r="AN535" s="5"/>
      <c r="AO535" s="5"/>
      <c r="AP535" s="5"/>
      <c r="AQ535" s="5" t="s">
        <v>6240</v>
      </c>
      <c r="AR535" s="5" t="s">
        <v>646</v>
      </c>
      <c r="AS535" s="5"/>
      <c r="AT535" s="5" t="s">
        <v>6243</v>
      </c>
      <c r="AU535" s="5"/>
      <c r="AV535" s="5" t="s">
        <v>178</v>
      </c>
      <c r="AW535" s="5" t="s">
        <v>1664</v>
      </c>
    </row>
    <row r="536" customFormat="false" ht="135.8" hidden="false" customHeight="false" outlineLevel="0" collapsed="false">
      <c r="A536" s="5" t="s">
        <v>6244</v>
      </c>
      <c r="B536" s="5" t="s">
        <v>6245</v>
      </c>
      <c r="C536" s="5" t="s">
        <v>5640</v>
      </c>
      <c r="D536" s="5" t="s">
        <v>5641</v>
      </c>
      <c r="E536" s="5" t="s">
        <v>626</v>
      </c>
      <c r="F536" s="5" t="s">
        <v>6246</v>
      </c>
      <c r="G536" s="5" t="s">
        <v>6247</v>
      </c>
      <c r="H536" s="5" t="n">
        <v>9</v>
      </c>
      <c r="I536" s="5" t="s">
        <v>603</v>
      </c>
      <c r="J536" s="5" t="s">
        <v>153</v>
      </c>
      <c r="K536" s="5" t="s">
        <v>6236</v>
      </c>
      <c r="L536" s="5" t="s">
        <v>30</v>
      </c>
      <c r="M536" s="5" t="s">
        <v>155</v>
      </c>
      <c r="N536" s="5" t="s">
        <v>994</v>
      </c>
      <c r="O536" s="5" t="s">
        <v>157</v>
      </c>
      <c r="P536" s="5" t="s">
        <v>215</v>
      </c>
      <c r="Q536" s="5" t="s">
        <v>519</v>
      </c>
      <c r="R536" s="5" t="s">
        <v>5646</v>
      </c>
      <c r="S536" s="5" t="s">
        <v>5647</v>
      </c>
      <c r="T536" s="5" t="s">
        <v>606</v>
      </c>
      <c r="U536" s="5" t="n">
        <v>365</v>
      </c>
      <c r="V536" s="5" t="s">
        <v>5648</v>
      </c>
      <c r="W536" s="5" t="s">
        <v>5649</v>
      </c>
      <c r="X536" s="5" t="s">
        <v>6248</v>
      </c>
      <c r="Y536" s="5" t="s">
        <v>6249</v>
      </c>
      <c r="Z536" s="5" t="s">
        <v>6250</v>
      </c>
      <c r="AA536" s="5"/>
      <c r="AB536" s="5"/>
      <c r="AC536" s="5"/>
      <c r="AD536" s="5"/>
      <c r="AE536" s="5"/>
      <c r="AF536" s="5" t="s">
        <v>6241</v>
      </c>
      <c r="AG536" s="5" t="s">
        <v>6241</v>
      </c>
      <c r="AH536" s="5"/>
      <c r="AI536" s="5"/>
      <c r="AJ536" s="5"/>
      <c r="AK536" s="5"/>
      <c r="AL536" s="5" t="s">
        <v>6241</v>
      </c>
      <c r="AM536" s="5" t="s">
        <v>6241</v>
      </c>
      <c r="AN536" s="5"/>
      <c r="AO536" s="5"/>
      <c r="AP536" s="5"/>
      <c r="AQ536" s="5" t="s">
        <v>6241</v>
      </c>
      <c r="AR536" s="5" t="s">
        <v>646</v>
      </c>
      <c r="AS536" s="5"/>
      <c r="AT536" s="5"/>
      <c r="AU536" s="5"/>
      <c r="AV536" s="5"/>
      <c r="AW536" s="5" t="s">
        <v>6251</v>
      </c>
    </row>
    <row r="537" customFormat="false" ht="202.95" hidden="false" customHeight="false" outlineLevel="0" collapsed="false">
      <c r="A537" s="5" t="s">
        <v>6252</v>
      </c>
      <c r="B537" s="5" t="s">
        <v>6253</v>
      </c>
      <c r="C537" s="5" t="s">
        <v>6254</v>
      </c>
      <c r="D537" s="5" t="s">
        <v>6255</v>
      </c>
      <c r="E537" s="5" t="s">
        <v>149</v>
      </c>
      <c r="F537" s="5" t="s">
        <v>6256</v>
      </c>
      <c r="G537" s="5" t="s">
        <v>6257</v>
      </c>
      <c r="H537" s="5" t="n">
        <v>9</v>
      </c>
      <c r="I537" s="5" t="s">
        <v>152</v>
      </c>
      <c r="J537" s="5" t="s">
        <v>153</v>
      </c>
      <c r="K537" s="5" t="s">
        <v>6258</v>
      </c>
      <c r="L537" s="5" t="s">
        <v>30</v>
      </c>
      <c r="M537" s="5" t="s">
        <v>155</v>
      </c>
      <c r="N537" s="5" t="s">
        <v>6259</v>
      </c>
      <c r="O537" s="5" t="s">
        <v>157</v>
      </c>
      <c r="P537" s="5" t="s">
        <v>158</v>
      </c>
      <c r="Q537" s="5" t="s">
        <v>159</v>
      </c>
      <c r="R537" s="5" t="s">
        <v>6260</v>
      </c>
      <c r="S537" s="5" t="s">
        <v>6261</v>
      </c>
      <c r="T537" s="5" t="s">
        <v>162</v>
      </c>
      <c r="U537" s="5" t="n">
        <v>365</v>
      </c>
      <c r="V537" s="5" t="s">
        <v>6262</v>
      </c>
      <c r="W537" s="5" t="s">
        <v>6263</v>
      </c>
      <c r="X537" s="5" t="s">
        <v>6264</v>
      </c>
      <c r="Y537" s="5" t="s">
        <v>6265</v>
      </c>
      <c r="Z537" s="5" t="s">
        <v>6266</v>
      </c>
      <c r="AA537" s="5" t="s">
        <v>6267</v>
      </c>
      <c r="AB537" s="5"/>
      <c r="AC537" s="5"/>
      <c r="AD537" s="5"/>
      <c r="AE537" s="5" t="s">
        <v>6268</v>
      </c>
      <c r="AF537" s="5" t="s">
        <v>6269</v>
      </c>
      <c r="AG537" s="5" t="s">
        <v>6270</v>
      </c>
      <c r="AH537" s="5" t="s">
        <v>6271</v>
      </c>
      <c r="AI537" s="5"/>
      <c r="AJ537" s="5" t="s">
        <v>6272</v>
      </c>
      <c r="AK537" s="5" t="s">
        <v>6273</v>
      </c>
      <c r="AL537" s="5" t="s">
        <v>6269</v>
      </c>
      <c r="AM537" s="5"/>
      <c r="AN537" s="5" t="s">
        <v>6274</v>
      </c>
      <c r="AO537" s="5" t="s">
        <v>762</v>
      </c>
      <c r="AP537" s="5" t="s">
        <v>6275</v>
      </c>
      <c r="AQ537" s="5" t="s">
        <v>6269</v>
      </c>
      <c r="AR537" s="5" t="s">
        <v>6276</v>
      </c>
      <c r="AS537" s="5"/>
      <c r="AT537" s="5" t="s">
        <v>6277</v>
      </c>
      <c r="AU537" s="5"/>
      <c r="AV537" s="5" t="s">
        <v>178</v>
      </c>
      <c r="AW537" s="5" t="s">
        <v>6278</v>
      </c>
    </row>
    <row r="538" customFormat="false" ht="102.2" hidden="false" customHeight="false" outlineLevel="0" collapsed="false">
      <c r="A538" s="5" t="s">
        <v>6279</v>
      </c>
      <c r="B538" s="5" t="s">
        <v>6280</v>
      </c>
      <c r="C538" s="5" t="s">
        <v>6254</v>
      </c>
      <c r="D538" s="5" t="s">
        <v>6255</v>
      </c>
      <c r="E538" s="5" t="s">
        <v>514</v>
      </c>
      <c r="F538" s="5" t="s">
        <v>6281</v>
      </c>
      <c r="G538" s="5" t="s">
        <v>6282</v>
      </c>
      <c r="H538" s="5" t="n">
        <v>4</v>
      </c>
      <c r="I538" s="5" t="s">
        <v>152</v>
      </c>
      <c r="J538" s="5" t="s">
        <v>153</v>
      </c>
      <c r="K538" s="5" t="s">
        <v>6283</v>
      </c>
      <c r="L538" s="5" t="s">
        <v>30</v>
      </c>
      <c r="M538" s="5" t="s">
        <v>155</v>
      </c>
      <c r="N538" s="5" t="s">
        <v>846</v>
      </c>
      <c r="O538" s="5" t="s">
        <v>157</v>
      </c>
      <c r="P538" s="5" t="s">
        <v>215</v>
      </c>
      <c r="Q538" s="5" t="s">
        <v>6284</v>
      </c>
      <c r="R538" s="5" t="s">
        <v>6260</v>
      </c>
      <c r="S538" s="5" t="s">
        <v>6261</v>
      </c>
      <c r="T538" s="5" t="s">
        <v>162</v>
      </c>
      <c r="U538" s="5" t="n">
        <v>365</v>
      </c>
      <c r="V538" s="5" t="s">
        <v>6262</v>
      </c>
      <c r="W538" s="5" t="s">
        <v>6263</v>
      </c>
      <c r="X538" s="5" t="s">
        <v>6285</v>
      </c>
      <c r="Y538" s="5" t="s">
        <v>6286</v>
      </c>
      <c r="Z538" s="5" t="s">
        <v>6287</v>
      </c>
      <c r="AA538" s="5"/>
      <c r="AB538" s="5"/>
      <c r="AC538" s="5"/>
      <c r="AD538" s="5"/>
      <c r="AE538" s="5"/>
      <c r="AF538" s="5"/>
      <c r="AG538" s="5"/>
      <c r="AH538" s="5" t="s">
        <v>6288</v>
      </c>
      <c r="AI538" s="5"/>
      <c r="AJ538" s="5"/>
      <c r="AK538" s="5"/>
      <c r="AL538" s="5"/>
      <c r="AM538" s="5"/>
      <c r="AN538" s="5"/>
      <c r="AO538" s="5"/>
      <c r="AP538" s="5"/>
      <c r="AQ538" s="5"/>
      <c r="AR538" s="5"/>
      <c r="AS538" s="5"/>
      <c r="AT538" s="5"/>
      <c r="AU538" s="5"/>
      <c r="AV538" s="5"/>
      <c r="AW538" s="5" t="s">
        <v>6289</v>
      </c>
    </row>
    <row r="539" customFormat="false" ht="113.4" hidden="false" customHeight="false" outlineLevel="0" collapsed="false">
      <c r="A539" s="5" t="s">
        <v>6290</v>
      </c>
      <c r="B539" s="5" t="s">
        <v>6291</v>
      </c>
      <c r="C539" s="5" t="s">
        <v>6254</v>
      </c>
      <c r="D539" s="5" t="s">
        <v>6255</v>
      </c>
      <c r="E539" s="5" t="s">
        <v>626</v>
      </c>
      <c r="F539" s="5" t="s">
        <v>6292</v>
      </c>
      <c r="G539" s="5" t="s">
        <v>6293</v>
      </c>
      <c r="H539" s="5" t="n">
        <v>3</v>
      </c>
      <c r="I539" s="5" t="s">
        <v>152</v>
      </c>
      <c r="J539" s="5" t="s">
        <v>153</v>
      </c>
      <c r="K539" s="5" t="s">
        <v>6294</v>
      </c>
      <c r="L539" s="5" t="s">
        <v>30</v>
      </c>
      <c r="M539" s="5" t="s">
        <v>155</v>
      </c>
      <c r="N539" s="5" t="s">
        <v>846</v>
      </c>
      <c r="O539" s="5" t="s">
        <v>157</v>
      </c>
      <c r="P539" s="5" t="s">
        <v>215</v>
      </c>
      <c r="Q539" s="5" t="s">
        <v>6284</v>
      </c>
      <c r="R539" s="5" t="s">
        <v>6260</v>
      </c>
      <c r="S539" s="5" t="s">
        <v>6261</v>
      </c>
      <c r="T539" s="5" t="s">
        <v>162</v>
      </c>
      <c r="U539" s="5" t="n">
        <v>365</v>
      </c>
      <c r="V539" s="5" t="s">
        <v>6262</v>
      </c>
      <c r="W539" s="5" t="s">
        <v>6263</v>
      </c>
      <c r="X539" s="5" t="s">
        <v>6295</v>
      </c>
      <c r="Y539" s="5" t="s">
        <v>6296</v>
      </c>
      <c r="Z539" s="5" t="s">
        <v>6297</v>
      </c>
      <c r="AA539" s="5"/>
      <c r="AB539" s="5"/>
      <c r="AC539" s="5"/>
      <c r="AD539" s="5"/>
      <c r="AE539" s="5"/>
      <c r="AF539" s="5"/>
      <c r="AG539" s="5"/>
      <c r="AH539" s="5" t="s">
        <v>6298</v>
      </c>
      <c r="AI539" s="5"/>
      <c r="AJ539" s="5"/>
      <c r="AK539" s="5"/>
      <c r="AL539" s="5"/>
      <c r="AM539" s="5"/>
      <c r="AN539" s="5"/>
      <c r="AO539" s="5"/>
      <c r="AP539" s="5"/>
      <c r="AQ539" s="5"/>
      <c r="AR539" s="5"/>
      <c r="AS539" s="5"/>
      <c r="AT539" s="5"/>
      <c r="AU539" s="5"/>
      <c r="AV539" s="5"/>
      <c r="AW539" s="5" t="s">
        <v>6299</v>
      </c>
    </row>
    <row r="540" customFormat="false" ht="158.2" hidden="false" customHeight="false" outlineLevel="0" collapsed="false">
      <c r="A540" s="5" t="s">
        <v>6300</v>
      </c>
      <c r="B540" s="5" t="s">
        <v>6301</v>
      </c>
      <c r="C540" s="5" t="s">
        <v>6254</v>
      </c>
      <c r="D540" s="5" t="s">
        <v>6255</v>
      </c>
      <c r="E540" s="5" t="s">
        <v>626</v>
      </c>
      <c r="F540" s="5" t="s">
        <v>6302</v>
      </c>
      <c r="G540" s="5" t="s">
        <v>6303</v>
      </c>
      <c r="H540" s="5" t="n">
        <v>7</v>
      </c>
      <c r="I540" s="5" t="s">
        <v>152</v>
      </c>
      <c r="J540" s="5" t="s">
        <v>153</v>
      </c>
      <c r="K540" s="5" t="s">
        <v>6304</v>
      </c>
      <c r="L540" s="5" t="s">
        <v>30</v>
      </c>
      <c r="M540" s="5" t="s">
        <v>155</v>
      </c>
      <c r="N540" s="5" t="s">
        <v>6305</v>
      </c>
      <c r="O540" s="5" t="s">
        <v>157</v>
      </c>
      <c r="P540" s="5" t="s">
        <v>158</v>
      </c>
      <c r="Q540" s="5" t="s">
        <v>519</v>
      </c>
      <c r="R540" s="5" t="s">
        <v>6260</v>
      </c>
      <c r="S540" s="5" t="s">
        <v>6261</v>
      </c>
      <c r="T540" s="5" t="s">
        <v>162</v>
      </c>
      <c r="U540" s="5" t="n">
        <v>365</v>
      </c>
      <c r="V540" s="5" t="s">
        <v>6262</v>
      </c>
      <c r="W540" s="5" t="s">
        <v>6263</v>
      </c>
      <c r="X540" s="5" t="s">
        <v>6306</v>
      </c>
      <c r="Y540" s="5" t="s">
        <v>6307</v>
      </c>
      <c r="Z540" s="5" t="s">
        <v>6308</v>
      </c>
      <c r="AA540" s="5"/>
      <c r="AB540" s="5"/>
      <c r="AC540" s="5"/>
      <c r="AD540" s="5"/>
      <c r="AE540" s="5"/>
      <c r="AF540" s="5" t="s">
        <v>6309</v>
      </c>
      <c r="AG540" s="5" t="s">
        <v>6309</v>
      </c>
      <c r="AH540" s="5" t="s">
        <v>6310</v>
      </c>
      <c r="AI540" s="5"/>
      <c r="AJ540" s="5" t="s">
        <v>6311</v>
      </c>
      <c r="AK540" s="5" t="s">
        <v>6312</v>
      </c>
      <c r="AL540" s="5" t="s">
        <v>6309</v>
      </c>
      <c r="AM540" s="5"/>
      <c r="AN540" s="5" t="s">
        <v>6313</v>
      </c>
      <c r="AO540" s="5"/>
      <c r="AP540" s="5"/>
      <c r="AQ540" s="5"/>
      <c r="AR540" s="5" t="s">
        <v>6276</v>
      </c>
      <c r="AS540" s="5"/>
      <c r="AT540" s="5" t="s">
        <v>6314</v>
      </c>
      <c r="AU540" s="5"/>
      <c r="AV540" s="5" t="s">
        <v>178</v>
      </c>
      <c r="AW540" s="5" t="s">
        <v>6315</v>
      </c>
    </row>
    <row r="541" customFormat="false" ht="135.8" hidden="false" customHeight="false" outlineLevel="0" collapsed="false">
      <c r="A541" s="5" t="s">
        <v>6316</v>
      </c>
      <c r="B541" s="5" t="s">
        <v>6317</v>
      </c>
      <c r="C541" s="5" t="s">
        <v>6254</v>
      </c>
      <c r="D541" s="5" t="s">
        <v>6255</v>
      </c>
      <c r="E541" s="5" t="s">
        <v>626</v>
      </c>
      <c r="F541" s="5" t="s">
        <v>6318</v>
      </c>
      <c r="G541" s="5" t="s">
        <v>6319</v>
      </c>
      <c r="H541" s="5" t="n">
        <v>9</v>
      </c>
      <c r="I541" s="5" t="s">
        <v>1084</v>
      </c>
      <c r="J541" s="5" t="s">
        <v>153</v>
      </c>
      <c r="K541" s="5" t="s">
        <v>6320</v>
      </c>
      <c r="L541" s="5" t="s">
        <v>30</v>
      </c>
      <c r="M541" s="5" t="s">
        <v>155</v>
      </c>
      <c r="N541" s="5" t="s">
        <v>933</v>
      </c>
      <c r="O541" s="5" t="s">
        <v>157</v>
      </c>
      <c r="P541" s="5" t="s">
        <v>158</v>
      </c>
      <c r="Q541" s="5" t="s">
        <v>519</v>
      </c>
      <c r="R541" s="5" t="s">
        <v>6260</v>
      </c>
      <c r="S541" s="5" t="s">
        <v>6261</v>
      </c>
      <c r="T541" s="5" t="s">
        <v>606</v>
      </c>
      <c r="U541" s="5" t="n">
        <v>365</v>
      </c>
      <c r="V541" s="5" t="s">
        <v>6262</v>
      </c>
      <c r="W541" s="5" t="s">
        <v>6263</v>
      </c>
      <c r="X541" s="5" t="s">
        <v>6321</v>
      </c>
      <c r="Y541" s="5" t="s">
        <v>6322</v>
      </c>
      <c r="Z541" s="5" t="s">
        <v>6323</v>
      </c>
      <c r="AA541" s="5"/>
      <c r="AB541" s="5"/>
      <c r="AC541" s="5"/>
      <c r="AD541" s="5"/>
      <c r="AE541" s="5"/>
      <c r="AF541" s="5" t="s">
        <v>6324</v>
      </c>
      <c r="AG541" s="5"/>
      <c r="AH541" s="5" t="s">
        <v>6298</v>
      </c>
      <c r="AI541" s="5"/>
      <c r="AJ541" s="5" t="s">
        <v>6325</v>
      </c>
      <c r="AK541" s="5" t="s">
        <v>6326</v>
      </c>
      <c r="AL541" s="5" t="s">
        <v>6324</v>
      </c>
      <c r="AM541" s="5"/>
      <c r="AN541" s="5"/>
      <c r="AO541" s="5"/>
      <c r="AP541" s="5"/>
      <c r="AQ541" s="5"/>
      <c r="AR541" s="5" t="s">
        <v>6276</v>
      </c>
      <c r="AS541" s="5"/>
      <c r="AT541" s="5" t="s">
        <v>4066</v>
      </c>
      <c r="AU541" s="5"/>
      <c r="AV541" s="5" t="s">
        <v>178</v>
      </c>
      <c r="AW541" s="5" t="s">
        <v>6327</v>
      </c>
    </row>
    <row r="542" customFormat="false" ht="113.4" hidden="false" customHeight="false" outlineLevel="0" collapsed="false">
      <c r="A542" s="5" t="s">
        <v>6328</v>
      </c>
      <c r="B542" s="5" t="s">
        <v>6329</v>
      </c>
      <c r="C542" s="5" t="s">
        <v>6254</v>
      </c>
      <c r="D542" s="5" t="s">
        <v>6255</v>
      </c>
      <c r="E542" s="5" t="s">
        <v>626</v>
      </c>
      <c r="F542" s="5" t="s">
        <v>6330</v>
      </c>
      <c r="G542" s="5" t="s">
        <v>6331</v>
      </c>
      <c r="H542" s="5" t="n">
        <v>2</v>
      </c>
      <c r="I542" s="5" t="s">
        <v>152</v>
      </c>
      <c r="J542" s="5" t="s">
        <v>153</v>
      </c>
      <c r="K542" s="5"/>
      <c r="L542" s="5" t="s">
        <v>55</v>
      </c>
      <c r="M542" s="5" t="s">
        <v>185</v>
      </c>
      <c r="N542" s="5" t="s">
        <v>439</v>
      </c>
      <c r="O542" s="5" t="s">
        <v>187</v>
      </c>
      <c r="P542" s="5" t="s">
        <v>215</v>
      </c>
      <c r="Q542" s="5" t="s">
        <v>6284</v>
      </c>
      <c r="R542" s="5" t="s">
        <v>6260</v>
      </c>
      <c r="S542" s="5" t="s">
        <v>6261</v>
      </c>
      <c r="T542" s="5" t="s">
        <v>162</v>
      </c>
      <c r="U542" s="5" t="n">
        <v>365</v>
      </c>
      <c r="V542" s="5" t="s">
        <v>6262</v>
      </c>
      <c r="W542" s="5" t="s">
        <v>6263</v>
      </c>
      <c r="X542" s="5" t="s">
        <v>6332</v>
      </c>
      <c r="Y542" s="5" t="s">
        <v>6333</v>
      </c>
      <c r="Z542" s="5" t="s">
        <v>6334</v>
      </c>
      <c r="AA542" s="5"/>
      <c r="AB542" s="5"/>
      <c r="AC542" s="5"/>
      <c r="AD542" s="5"/>
      <c r="AE542" s="5"/>
      <c r="AF542" s="5"/>
      <c r="AG542" s="5"/>
      <c r="AH542" s="5"/>
      <c r="AI542" s="5"/>
      <c r="AJ542" s="5" t="s">
        <v>6335</v>
      </c>
      <c r="AK542" s="5"/>
      <c r="AL542" s="5"/>
      <c r="AM542" s="5"/>
      <c r="AN542" s="5"/>
      <c r="AO542" s="5"/>
      <c r="AP542" s="5"/>
      <c r="AQ542" s="5"/>
      <c r="AR542" s="5"/>
      <c r="AS542" s="5"/>
      <c r="AT542" s="5"/>
      <c r="AU542" s="5"/>
      <c r="AV542" s="5"/>
      <c r="AW542" s="5" t="s">
        <v>6336</v>
      </c>
    </row>
    <row r="543" customFormat="false" ht="191.75" hidden="false" customHeight="false" outlineLevel="0" collapsed="false">
      <c r="A543" s="5" t="s">
        <v>6337</v>
      </c>
      <c r="B543" s="5" t="s">
        <v>6338</v>
      </c>
      <c r="C543" s="5" t="s">
        <v>6254</v>
      </c>
      <c r="D543" s="5" t="s">
        <v>6255</v>
      </c>
      <c r="E543" s="5" t="s">
        <v>626</v>
      </c>
      <c r="F543" s="5" t="s">
        <v>6339</v>
      </c>
      <c r="G543" s="5" t="s">
        <v>6340</v>
      </c>
      <c r="H543" s="5" t="n">
        <v>10</v>
      </c>
      <c r="I543" s="5" t="s">
        <v>1084</v>
      </c>
      <c r="J543" s="5" t="s">
        <v>153</v>
      </c>
      <c r="K543" s="5" t="s">
        <v>6341</v>
      </c>
      <c r="L543" s="5" t="s">
        <v>30</v>
      </c>
      <c r="M543" s="5" t="s">
        <v>155</v>
      </c>
      <c r="N543" s="5" t="s">
        <v>6342</v>
      </c>
      <c r="O543" s="5" t="s">
        <v>157</v>
      </c>
      <c r="P543" s="5" t="s">
        <v>158</v>
      </c>
      <c r="Q543" s="5" t="s">
        <v>519</v>
      </c>
      <c r="R543" s="5" t="s">
        <v>6260</v>
      </c>
      <c r="S543" s="5" t="s">
        <v>6261</v>
      </c>
      <c r="T543" s="5" t="s">
        <v>606</v>
      </c>
      <c r="U543" s="5" t="n">
        <v>365</v>
      </c>
      <c r="V543" s="5" t="s">
        <v>6262</v>
      </c>
      <c r="W543" s="5" t="s">
        <v>6263</v>
      </c>
      <c r="X543" s="5" t="s">
        <v>6343</v>
      </c>
      <c r="Y543" s="5" t="s">
        <v>6344</v>
      </c>
      <c r="Z543" s="5" t="s">
        <v>6345</v>
      </c>
      <c r="AA543" s="5"/>
      <c r="AB543" s="5"/>
      <c r="AC543" s="5"/>
      <c r="AD543" s="5"/>
      <c r="AE543" s="5"/>
      <c r="AF543" s="5" t="s">
        <v>6346</v>
      </c>
      <c r="AG543" s="5" t="s">
        <v>6347</v>
      </c>
      <c r="AH543" s="5" t="s">
        <v>6348</v>
      </c>
      <c r="AI543" s="5"/>
      <c r="AJ543" s="5" t="s">
        <v>6349</v>
      </c>
      <c r="AK543" s="5" t="s">
        <v>6350</v>
      </c>
      <c r="AL543" s="5" t="s">
        <v>6346</v>
      </c>
      <c r="AM543" s="5"/>
      <c r="AN543" s="5" t="s">
        <v>6351</v>
      </c>
      <c r="AO543" s="5" t="s">
        <v>762</v>
      </c>
      <c r="AP543" s="5" t="s">
        <v>6352</v>
      </c>
      <c r="AQ543" s="5"/>
      <c r="AR543" s="5" t="s">
        <v>6276</v>
      </c>
      <c r="AS543" s="5"/>
      <c r="AT543" s="5" t="s">
        <v>6353</v>
      </c>
      <c r="AU543" s="5"/>
      <c r="AV543" s="5" t="s">
        <v>178</v>
      </c>
      <c r="AW543" s="5" t="s">
        <v>6354</v>
      </c>
    </row>
    <row r="544" customFormat="false" ht="124.6" hidden="false" customHeight="false" outlineLevel="0" collapsed="false">
      <c r="A544" s="5" t="s">
        <v>6355</v>
      </c>
      <c r="B544" s="5" t="s">
        <v>6356</v>
      </c>
      <c r="C544" s="5" t="s">
        <v>6254</v>
      </c>
      <c r="D544" s="5" t="s">
        <v>6255</v>
      </c>
      <c r="E544" s="5" t="s">
        <v>626</v>
      </c>
      <c r="F544" s="5" t="s">
        <v>6357</v>
      </c>
      <c r="G544" s="5" t="s">
        <v>6358</v>
      </c>
      <c r="H544" s="5" t="n">
        <v>9</v>
      </c>
      <c r="I544" s="5" t="s">
        <v>1084</v>
      </c>
      <c r="J544" s="5" t="s">
        <v>153</v>
      </c>
      <c r="K544" s="5" t="s">
        <v>6359</v>
      </c>
      <c r="L544" s="5" t="s">
        <v>30</v>
      </c>
      <c r="M544" s="5" t="s">
        <v>155</v>
      </c>
      <c r="N544" s="5" t="s">
        <v>846</v>
      </c>
      <c r="O544" s="5" t="s">
        <v>157</v>
      </c>
      <c r="P544" s="5" t="s">
        <v>215</v>
      </c>
      <c r="Q544" s="5" t="s">
        <v>6284</v>
      </c>
      <c r="R544" s="5" t="s">
        <v>6260</v>
      </c>
      <c r="S544" s="5" t="s">
        <v>6261</v>
      </c>
      <c r="T544" s="5" t="s">
        <v>606</v>
      </c>
      <c r="U544" s="5" t="n">
        <v>365</v>
      </c>
      <c r="V544" s="5" t="s">
        <v>6262</v>
      </c>
      <c r="W544" s="5" t="s">
        <v>6263</v>
      </c>
      <c r="X544" s="5" t="s">
        <v>6360</v>
      </c>
      <c r="Y544" s="5" t="s">
        <v>6361</v>
      </c>
      <c r="Z544" s="5" t="s">
        <v>6362</v>
      </c>
      <c r="AA544" s="5"/>
      <c r="AB544" s="5"/>
      <c r="AC544" s="5"/>
      <c r="AD544" s="5"/>
      <c r="AE544" s="5"/>
      <c r="AF544" s="5"/>
      <c r="AG544" s="5"/>
      <c r="AH544" s="5" t="s">
        <v>6363</v>
      </c>
      <c r="AI544" s="5"/>
      <c r="AJ544" s="5"/>
      <c r="AK544" s="5"/>
      <c r="AL544" s="5"/>
      <c r="AM544" s="5"/>
      <c r="AN544" s="5"/>
      <c r="AO544" s="5"/>
      <c r="AP544" s="5"/>
      <c r="AQ544" s="5"/>
      <c r="AR544" s="5"/>
      <c r="AS544" s="5"/>
      <c r="AT544" s="5" t="s">
        <v>6364</v>
      </c>
      <c r="AU544" s="5"/>
      <c r="AV544" s="5" t="s">
        <v>178</v>
      </c>
      <c r="AW544" s="5" t="s">
        <v>6365</v>
      </c>
    </row>
    <row r="545" customFormat="false" ht="113.4" hidden="false" customHeight="false" outlineLevel="0" collapsed="false">
      <c r="A545" s="5" t="s">
        <v>6366</v>
      </c>
      <c r="B545" s="5" t="s">
        <v>6367</v>
      </c>
      <c r="C545" s="5" t="s">
        <v>6254</v>
      </c>
      <c r="D545" s="5" t="s">
        <v>6255</v>
      </c>
      <c r="E545" s="5" t="s">
        <v>626</v>
      </c>
      <c r="F545" s="5" t="s">
        <v>6368</v>
      </c>
      <c r="G545" s="5" t="s">
        <v>6369</v>
      </c>
      <c r="H545" s="5" t="n">
        <v>5</v>
      </c>
      <c r="I545" s="5" t="s">
        <v>1084</v>
      </c>
      <c r="J545" s="5" t="s">
        <v>153</v>
      </c>
      <c r="K545" s="5"/>
      <c r="L545" s="5" t="s">
        <v>85</v>
      </c>
      <c r="M545" s="5" t="s">
        <v>185</v>
      </c>
      <c r="N545" s="5" t="s">
        <v>88</v>
      </c>
      <c r="O545" s="5" t="s">
        <v>214</v>
      </c>
      <c r="P545" s="5" t="s">
        <v>215</v>
      </c>
      <c r="Q545" s="5" t="s">
        <v>6284</v>
      </c>
      <c r="R545" s="5" t="s">
        <v>6260</v>
      </c>
      <c r="S545" s="5" t="s">
        <v>6261</v>
      </c>
      <c r="T545" s="5" t="s">
        <v>606</v>
      </c>
      <c r="U545" s="5" t="n">
        <v>365</v>
      </c>
      <c r="V545" s="5" t="s">
        <v>6262</v>
      </c>
      <c r="W545" s="5" t="s">
        <v>6263</v>
      </c>
      <c r="X545" s="5" t="s">
        <v>6370</v>
      </c>
      <c r="Y545" s="5" t="s">
        <v>6371</v>
      </c>
      <c r="Z545" s="5" t="s">
        <v>6372</v>
      </c>
      <c r="AA545" s="5"/>
      <c r="AB545" s="5"/>
      <c r="AC545" s="5"/>
      <c r="AD545" s="5"/>
      <c r="AE545" s="5"/>
      <c r="AF545" s="5" t="s">
        <v>6373</v>
      </c>
      <c r="AG545" s="5"/>
      <c r="AH545" s="5"/>
      <c r="AI545" s="5"/>
      <c r="AJ545" s="5"/>
      <c r="AK545" s="5"/>
      <c r="AL545" s="5" t="s">
        <v>6373</v>
      </c>
      <c r="AM545" s="5"/>
      <c r="AN545" s="5"/>
      <c r="AO545" s="5"/>
      <c r="AP545" s="5"/>
      <c r="AQ545" s="5" t="s">
        <v>6374</v>
      </c>
      <c r="AR545" s="5" t="s">
        <v>6375</v>
      </c>
      <c r="AS545" s="5"/>
      <c r="AT545" s="5"/>
      <c r="AU545" s="5"/>
      <c r="AV545" s="5"/>
      <c r="AW545" s="5" t="s">
        <v>6376</v>
      </c>
    </row>
    <row r="546" customFormat="false" ht="158.2" hidden="false" customHeight="false" outlineLevel="0" collapsed="false">
      <c r="A546" s="5" t="s">
        <v>6377</v>
      </c>
      <c r="B546" s="5" t="s">
        <v>6378</v>
      </c>
      <c r="C546" s="5" t="s">
        <v>6254</v>
      </c>
      <c r="D546" s="5" t="s">
        <v>6255</v>
      </c>
      <c r="E546" s="5" t="s">
        <v>626</v>
      </c>
      <c r="F546" s="5" t="s">
        <v>6379</v>
      </c>
      <c r="G546" s="5" t="s">
        <v>6380</v>
      </c>
      <c r="H546" s="5" t="n">
        <v>6</v>
      </c>
      <c r="I546" s="5" t="s">
        <v>1084</v>
      </c>
      <c r="J546" s="5" t="s">
        <v>153</v>
      </c>
      <c r="K546" s="5" t="s">
        <v>6381</v>
      </c>
      <c r="L546" s="5" t="s">
        <v>30</v>
      </c>
      <c r="M546" s="5" t="s">
        <v>155</v>
      </c>
      <c r="N546" s="5" t="s">
        <v>6382</v>
      </c>
      <c r="O546" s="5" t="s">
        <v>157</v>
      </c>
      <c r="P546" s="5" t="s">
        <v>158</v>
      </c>
      <c r="Q546" s="5" t="s">
        <v>519</v>
      </c>
      <c r="R546" s="5" t="s">
        <v>6260</v>
      </c>
      <c r="S546" s="5" t="s">
        <v>6261</v>
      </c>
      <c r="T546" s="5" t="s">
        <v>606</v>
      </c>
      <c r="U546" s="5" t="n">
        <v>365</v>
      </c>
      <c r="V546" s="5" t="s">
        <v>6262</v>
      </c>
      <c r="W546" s="5" t="s">
        <v>6263</v>
      </c>
      <c r="X546" s="5" t="s">
        <v>6383</v>
      </c>
      <c r="Y546" s="5" t="s">
        <v>6384</v>
      </c>
      <c r="Z546" s="5" t="s">
        <v>6385</v>
      </c>
      <c r="AA546" s="5"/>
      <c r="AB546" s="5"/>
      <c r="AC546" s="5"/>
      <c r="AD546" s="5"/>
      <c r="AE546" s="5"/>
      <c r="AF546" s="5" t="s">
        <v>6386</v>
      </c>
      <c r="AG546" s="5" t="s">
        <v>6386</v>
      </c>
      <c r="AH546" s="5" t="s">
        <v>6387</v>
      </c>
      <c r="AI546" s="5"/>
      <c r="AJ546" s="5" t="s">
        <v>6388</v>
      </c>
      <c r="AK546" s="5" t="s">
        <v>6389</v>
      </c>
      <c r="AL546" s="5" t="s">
        <v>6386</v>
      </c>
      <c r="AM546" s="5"/>
      <c r="AN546" s="5"/>
      <c r="AO546" s="5"/>
      <c r="AP546" s="5"/>
      <c r="AQ546" s="5"/>
      <c r="AR546" s="5" t="s">
        <v>6276</v>
      </c>
      <c r="AS546" s="5"/>
      <c r="AT546" s="5" t="s">
        <v>6390</v>
      </c>
      <c r="AU546" s="5"/>
      <c r="AV546" s="5" t="s">
        <v>178</v>
      </c>
      <c r="AW546" s="5" t="s">
        <v>6391</v>
      </c>
    </row>
    <row r="547" customFormat="false" ht="113.4" hidden="false" customHeight="false" outlineLevel="0" collapsed="false">
      <c r="A547" s="5" t="s">
        <v>6392</v>
      </c>
      <c r="B547" s="5" t="s">
        <v>6393</v>
      </c>
      <c r="C547" s="5" t="s">
        <v>6254</v>
      </c>
      <c r="D547" s="5" t="s">
        <v>6255</v>
      </c>
      <c r="E547" s="5" t="s">
        <v>626</v>
      </c>
      <c r="F547" s="5" t="s">
        <v>6394</v>
      </c>
      <c r="G547" s="5" t="s">
        <v>6395</v>
      </c>
      <c r="H547" s="5" t="n">
        <v>5</v>
      </c>
      <c r="I547" s="5" t="s">
        <v>1084</v>
      </c>
      <c r="J547" s="5" t="s">
        <v>153</v>
      </c>
      <c r="K547" s="5"/>
      <c r="L547" s="5" t="s">
        <v>85</v>
      </c>
      <c r="M547" s="5" t="s">
        <v>185</v>
      </c>
      <c r="N547" s="5" t="s">
        <v>84</v>
      </c>
      <c r="O547" s="5" t="s">
        <v>214</v>
      </c>
      <c r="P547" s="5" t="s">
        <v>158</v>
      </c>
      <c r="Q547" s="5" t="s">
        <v>519</v>
      </c>
      <c r="R547" s="5" t="s">
        <v>6260</v>
      </c>
      <c r="S547" s="5" t="s">
        <v>6261</v>
      </c>
      <c r="T547" s="5" t="s">
        <v>606</v>
      </c>
      <c r="U547" s="5" t="n">
        <v>365</v>
      </c>
      <c r="V547" s="5" t="s">
        <v>6262</v>
      </c>
      <c r="W547" s="5" t="s">
        <v>6263</v>
      </c>
      <c r="X547" s="5" t="s">
        <v>6396</v>
      </c>
      <c r="Y547" s="5" t="s">
        <v>6397</v>
      </c>
      <c r="Z547" s="5" t="s">
        <v>6398</v>
      </c>
      <c r="AA547" s="5"/>
      <c r="AB547" s="5"/>
      <c r="AC547" s="5"/>
      <c r="AD547" s="5"/>
      <c r="AE547" s="5"/>
      <c r="AF547" s="5" t="s">
        <v>6399</v>
      </c>
      <c r="AG547" s="5"/>
      <c r="AH547" s="5"/>
      <c r="AI547" s="5"/>
      <c r="AJ547" s="5"/>
      <c r="AK547" s="5"/>
      <c r="AL547" s="5" t="s">
        <v>6399</v>
      </c>
      <c r="AM547" s="5"/>
      <c r="AN547" s="5"/>
      <c r="AO547" s="5"/>
      <c r="AP547" s="5" t="s">
        <v>6352</v>
      </c>
      <c r="AQ547" s="5"/>
      <c r="AR547" s="5" t="s">
        <v>6276</v>
      </c>
      <c r="AS547" s="5"/>
      <c r="AT547" s="5"/>
      <c r="AU547" s="5"/>
      <c r="AV547" s="5" t="s">
        <v>178</v>
      </c>
      <c r="AW547" s="5" t="s">
        <v>6400</v>
      </c>
    </row>
    <row r="548" customFormat="false" ht="113.4" hidden="false" customHeight="false" outlineLevel="0" collapsed="false">
      <c r="A548" s="5" t="s">
        <v>6401</v>
      </c>
      <c r="B548" s="5" t="s">
        <v>6402</v>
      </c>
      <c r="C548" s="5" t="s">
        <v>6254</v>
      </c>
      <c r="D548" s="5" t="s">
        <v>6255</v>
      </c>
      <c r="E548" s="5" t="s">
        <v>626</v>
      </c>
      <c r="F548" s="5" t="s">
        <v>6403</v>
      </c>
      <c r="G548" s="5" t="s">
        <v>6404</v>
      </c>
      <c r="H548" s="5" t="n">
        <v>10</v>
      </c>
      <c r="I548" s="5" t="s">
        <v>1084</v>
      </c>
      <c r="J548" s="5" t="s">
        <v>153</v>
      </c>
      <c r="K548" s="5"/>
      <c r="L548" s="5" t="s">
        <v>85</v>
      </c>
      <c r="M548" s="5" t="s">
        <v>185</v>
      </c>
      <c r="N548" s="5" t="s">
        <v>84</v>
      </c>
      <c r="O548" s="5" t="s">
        <v>214</v>
      </c>
      <c r="P548" s="5" t="s">
        <v>158</v>
      </c>
      <c r="Q548" s="5" t="s">
        <v>519</v>
      </c>
      <c r="R548" s="5" t="s">
        <v>6260</v>
      </c>
      <c r="S548" s="5" t="s">
        <v>6261</v>
      </c>
      <c r="T548" s="5" t="s">
        <v>606</v>
      </c>
      <c r="U548" s="5" t="n">
        <v>365</v>
      </c>
      <c r="V548" s="5" t="s">
        <v>6262</v>
      </c>
      <c r="W548" s="5" t="s">
        <v>6263</v>
      </c>
      <c r="X548" s="5" t="s">
        <v>6405</v>
      </c>
      <c r="Y548" s="5" t="s">
        <v>6406</v>
      </c>
      <c r="Z548" s="5" t="s">
        <v>6407</v>
      </c>
      <c r="AA548" s="5"/>
      <c r="AB548" s="5"/>
      <c r="AC548" s="5"/>
      <c r="AD548" s="5"/>
      <c r="AE548" s="5"/>
      <c r="AF548" s="5"/>
      <c r="AG548" s="5"/>
      <c r="AH548" s="5"/>
      <c r="AI548" s="5"/>
      <c r="AJ548" s="5"/>
      <c r="AK548" s="5"/>
      <c r="AL548" s="5"/>
      <c r="AM548" s="5"/>
      <c r="AN548" s="5"/>
      <c r="AO548" s="5"/>
      <c r="AP548" s="5" t="s">
        <v>6352</v>
      </c>
      <c r="AQ548" s="5"/>
      <c r="AR548" s="5"/>
      <c r="AS548" s="5"/>
      <c r="AT548" s="5" t="s">
        <v>6408</v>
      </c>
      <c r="AU548" s="5"/>
      <c r="AV548" s="5" t="s">
        <v>178</v>
      </c>
      <c r="AW548" s="5" t="s">
        <v>6409</v>
      </c>
    </row>
    <row r="549" customFormat="false" ht="102.2" hidden="false" customHeight="false" outlineLevel="0" collapsed="false">
      <c r="A549" s="5" t="s">
        <v>6410</v>
      </c>
      <c r="B549" s="5" t="s">
        <v>6411</v>
      </c>
      <c r="C549" s="5" t="s">
        <v>6254</v>
      </c>
      <c r="D549" s="5" t="s">
        <v>6255</v>
      </c>
      <c r="E549" s="5" t="s">
        <v>626</v>
      </c>
      <c r="F549" s="5" t="s">
        <v>6412</v>
      </c>
      <c r="G549" s="5" t="s">
        <v>6413</v>
      </c>
      <c r="H549" s="5" t="n">
        <v>10</v>
      </c>
      <c r="I549" s="5" t="s">
        <v>1084</v>
      </c>
      <c r="J549" s="5" t="s">
        <v>153</v>
      </c>
      <c r="K549" s="5"/>
      <c r="L549" s="5" t="s">
        <v>85</v>
      </c>
      <c r="M549" s="5" t="s">
        <v>185</v>
      </c>
      <c r="N549" s="5" t="s">
        <v>84</v>
      </c>
      <c r="O549" s="5" t="s">
        <v>214</v>
      </c>
      <c r="P549" s="5" t="s">
        <v>158</v>
      </c>
      <c r="Q549" s="5" t="s">
        <v>519</v>
      </c>
      <c r="R549" s="5" t="s">
        <v>6260</v>
      </c>
      <c r="S549" s="5" t="s">
        <v>6261</v>
      </c>
      <c r="T549" s="5" t="s">
        <v>606</v>
      </c>
      <c r="U549" s="5" t="n">
        <v>365</v>
      </c>
      <c r="V549" s="5" t="s">
        <v>6262</v>
      </c>
      <c r="W549" s="5" t="s">
        <v>6263</v>
      </c>
      <c r="X549" s="5" t="s">
        <v>6414</v>
      </c>
      <c r="Y549" s="5" t="s">
        <v>6415</v>
      </c>
      <c r="Z549" s="5" t="s">
        <v>6416</v>
      </c>
      <c r="AA549" s="5"/>
      <c r="AB549" s="5"/>
      <c r="AC549" s="5"/>
      <c r="AD549" s="5"/>
      <c r="AE549" s="5"/>
      <c r="AF549" s="5"/>
      <c r="AG549" s="5"/>
      <c r="AH549" s="5"/>
      <c r="AI549" s="5"/>
      <c r="AJ549" s="5"/>
      <c r="AK549" s="5"/>
      <c r="AL549" s="5"/>
      <c r="AM549" s="5"/>
      <c r="AN549" s="5"/>
      <c r="AO549" s="5"/>
      <c r="AP549" s="5" t="s">
        <v>6352</v>
      </c>
      <c r="AQ549" s="5"/>
      <c r="AR549" s="5"/>
      <c r="AS549" s="5"/>
      <c r="AT549" s="5" t="s">
        <v>6417</v>
      </c>
      <c r="AU549" s="5"/>
      <c r="AV549" s="5" t="s">
        <v>178</v>
      </c>
      <c r="AW549" s="5" t="s">
        <v>6418</v>
      </c>
    </row>
    <row r="550" customFormat="false" ht="180.55" hidden="false" customHeight="false" outlineLevel="0" collapsed="false">
      <c r="A550" s="5" t="s">
        <v>6419</v>
      </c>
      <c r="B550" s="5" t="s">
        <v>6420</v>
      </c>
      <c r="C550" s="5" t="s">
        <v>6254</v>
      </c>
      <c r="D550" s="5" t="s">
        <v>6255</v>
      </c>
      <c r="E550" s="5" t="s">
        <v>600</v>
      </c>
      <c r="F550" s="5" t="s">
        <v>6421</v>
      </c>
      <c r="G550" s="5" t="s">
        <v>6422</v>
      </c>
      <c r="H550" s="5" t="n">
        <v>7</v>
      </c>
      <c r="I550" s="5" t="s">
        <v>152</v>
      </c>
      <c r="J550" s="5" t="s">
        <v>652</v>
      </c>
      <c r="K550" s="5" t="s">
        <v>6423</v>
      </c>
      <c r="L550" s="5" t="s">
        <v>30</v>
      </c>
      <c r="M550" s="5" t="s">
        <v>155</v>
      </c>
      <c r="N550" s="5" t="s">
        <v>6424</v>
      </c>
      <c r="O550" s="5" t="s">
        <v>157</v>
      </c>
      <c r="P550" s="5" t="s">
        <v>158</v>
      </c>
      <c r="Q550" s="5" t="s">
        <v>519</v>
      </c>
      <c r="R550" s="5" t="s">
        <v>6260</v>
      </c>
      <c r="S550" s="5" t="s">
        <v>6261</v>
      </c>
      <c r="T550" s="5" t="s">
        <v>162</v>
      </c>
      <c r="U550" s="5" t="n">
        <v>180</v>
      </c>
      <c r="V550" s="5" t="s">
        <v>6262</v>
      </c>
      <c r="W550" s="5" t="s">
        <v>6263</v>
      </c>
      <c r="X550" s="5" t="s">
        <v>6425</v>
      </c>
      <c r="Y550" s="5" t="s">
        <v>6426</v>
      </c>
      <c r="Z550" s="5" t="s">
        <v>6427</v>
      </c>
      <c r="AA550" s="5"/>
      <c r="AB550" s="5"/>
      <c r="AC550" s="5"/>
      <c r="AD550" s="5"/>
      <c r="AE550" s="5"/>
      <c r="AF550" s="5" t="s">
        <v>6428</v>
      </c>
      <c r="AG550" s="5" t="s">
        <v>6428</v>
      </c>
      <c r="AH550" s="5" t="s">
        <v>6429</v>
      </c>
      <c r="AI550" s="5"/>
      <c r="AJ550" s="5"/>
      <c r="AK550" s="5" t="s">
        <v>6389</v>
      </c>
      <c r="AL550" s="5" t="s">
        <v>6428</v>
      </c>
      <c r="AM550" s="5"/>
      <c r="AN550" s="5" t="s">
        <v>6430</v>
      </c>
      <c r="AO550" s="5" t="s">
        <v>762</v>
      </c>
      <c r="AP550" s="5"/>
      <c r="AQ550" s="5"/>
      <c r="AR550" s="5" t="s">
        <v>6276</v>
      </c>
      <c r="AS550" s="5"/>
      <c r="AT550" s="5" t="s">
        <v>6431</v>
      </c>
      <c r="AU550" s="5"/>
      <c r="AV550" s="5" t="s">
        <v>178</v>
      </c>
      <c r="AW550" s="5" t="s">
        <v>6432</v>
      </c>
    </row>
    <row r="551" customFormat="false" ht="124.6" hidden="false" customHeight="false" outlineLevel="0" collapsed="false">
      <c r="A551" s="5" t="s">
        <v>6433</v>
      </c>
      <c r="B551" s="5" t="s">
        <v>6434</v>
      </c>
      <c r="C551" s="5" t="s">
        <v>6254</v>
      </c>
      <c r="D551" s="5" t="s">
        <v>6255</v>
      </c>
      <c r="E551" s="5" t="s">
        <v>600</v>
      </c>
      <c r="F551" s="5" t="s">
        <v>6435</v>
      </c>
      <c r="G551" s="5" t="s">
        <v>6436</v>
      </c>
      <c r="H551" s="5" t="n">
        <v>9</v>
      </c>
      <c r="I551" s="5" t="s">
        <v>1084</v>
      </c>
      <c r="J551" s="5" t="s">
        <v>153</v>
      </c>
      <c r="K551" s="5"/>
      <c r="L551" s="5" t="s">
        <v>30</v>
      </c>
      <c r="M551" s="5" t="s">
        <v>155</v>
      </c>
      <c r="N551" s="5" t="s">
        <v>6437</v>
      </c>
      <c r="O551" s="5" t="s">
        <v>157</v>
      </c>
      <c r="P551" s="5" t="s">
        <v>641</v>
      </c>
      <c r="Q551" s="5" t="s">
        <v>519</v>
      </c>
      <c r="R551" s="5" t="s">
        <v>6260</v>
      </c>
      <c r="S551" s="5" t="s">
        <v>6261</v>
      </c>
      <c r="T551" s="5" t="s">
        <v>606</v>
      </c>
      <c r="U551" s="5" t="n">
        <v>365</v>
      </c>
      <c r="V551" s="5" t="s">
        <v>6262</v>
      </c>
      <c r="W551" s="5" t="s">
        <v>6263</v>
      </c>
      <c r="X551" s="5" t="s">
        <v>6438</v>
      </c>
      <c r="Y551" s="5" t="s">
        <v>6439</v>
      </c>
      <c r="Z551" s="5" t="s">
        <v>6440</v>
      </c>
      <c r="AA551" s="5"/>
      <c r="AB551" s="5"/>
      <c r="AC551" s="5"/>
      <c r="AD551" s="5"/>
      <c r="AE551" s="5"/>
      <c r="AF551" s="5" t="s">
        <v>6441</v>
      </c>
      <c r="AG551" s="5" t="s">
        <v>6441</v>
      </c>
      <c r="AH551" s="5" t="s">
        <v>6442</v>
      </c>
      <c r="AI551" s="5"/>
      <c r="AJ551" s="5"/>
      <c r="AK551" s="5"/>
      <c r="AL551" s="5" t="s">
        <v>6441</v>
      </c>
      <c r="AM551" s="5" t="s">
        <v>6441</v>
      </c>
      <c r="AN551" s="5"/>
      <c r="AO551" s="5" t="s">
        <v>762</v>
      </c>
      <c r="AP551" s="5"/>
      <c r="AQ551" s="5"/>
      <c r="AR551" s="5" t="s">
        <v>6276</v>
      </c>
      <c r="AS551" s="5"/>
      <c r="AT551" s="5" t="s">
        <v>6431</v>
      </c>
      <c r="AU551" s="5"/>
      <c r="AV551" s="5" t="s">
        <v>178</v>
      </c>
      <c r="AW551" s="5" t="s">
        <v>6443</v>
      </c>
    </row>
    <row r="552" customFormat="false" ht="113.4" hidden="false" customHeight="false" outlineLevel="0" collapsed="false">
      <c r="A552" s="5" t="s">
        <v>6444</v>
      </c>
      <c r="B552" s="5" t="s">
        <v>6445</v>
      </c>
      <c r="C552" s="5" t="s">
        <v>6254</v>
      </c>
      <c r="D552" s="5" t="s">
        <v>6255</v>
      </c>
      <c r="E552" s="5" t="s">
        <v>600</v>
      </c>
      <c r="F552" s="5" t="s">
        <v>6446</v>
      </c>
      <c r="G552" s="5" t="s">
        <v>6447</v>
      </c>
      <c r="H552" s="5" t="n">
        <v>5</v>
      </c>
      <c r="I552" s="5" t="s">
        <v>152</v>
      </c>
      <c r="J552" s="5" t="s">
        <v>153</v>
      </c>
      <c r="K552" s="5"/>
      <c r="L552" s="5" t="s">
        <v>30</v>
      </c>
      <c r="M552" s="5" t="s">
        <v>155</v>
      </c>
      <c r="N552" s="5" t="s">
        <v>6448</v>
      </c>
      <c r="O552" s="5" t="s">
        <v>157</v>
      </c>
      <c r="P552" s="5" t="s">
        <v>641</v>
      </c>
      <c r="Q552" s="5" t="s">
        <v>519</v>
      </c>
      <c r="R552" s="5" t="s">
        <v>6260</v>
      </c>
      <c r="S552" s="5" t="s">
        <v>6261</v>
      </c>
      <c r="T552" s="5" t="s">
        <v>162</v>
      </c>
      <c r="U552" s="5" t="n">
        <v>365</v>
      </c>
      <c r="V552" s="5" t="s">
        <v>6262</v>
      </c>
      <c r="W552" s="5" t="s">
        <v>6263</v>
      </c>
      <c r="X552" s="5" t="s">
        <v>6449</v>
      </c>
      <c r="Y552" s="5" t="s">
        <v>6450</v>
      </c>
      <c r="Z552" s="5" t="s">
        <v>6451</v>
      </c>
      <c r="AA552" s="5"/>
      <c r="AB552" s="5"/>
      <c r="AC552" s="5"/>
      <c r="AD552" s="5"/>
      <c r="AE552" s="5"/>
      <c r="AF552" s="5" t="s">
        <v>6452</v>
      </c>
      <c r="AG552" s="5" t="s">
        <v>6452</v>
      </c>
      <c r="AH552" s="5"/>
      <c r="AI552" s="5"/>
      <c r="AJ552" s="5"/>
      <c r="AK552" s="5"/>
      <c r="AL552" s="5" t="s">
        <v>6452</v>
      </c>
      <c r="AM552" s="5"/>
      <c r="AN552" s="5"/>
      <c r="AO552" s="5" t="s">
        <v>762</v>
      </c>
      <c r="AP552" s="5"/>
      <c r="AQ552" s="5"/>
      <c r="AR552" s="5" t="s">
        <v>6276</v>
      </c>
      <c r="AS552" s="5"/>
      <c r="AT552" s="5" t="s">
        <v>6431</v>
      </c>
      <c r="AU552" s="5"/>
      <c r="AV552" s="5" t="s">
        <v>178</v>
      </c>
      <c r="AW552" s="5" t="s">
        <v>6453</v>
      </c>
    </row>
    <row r="553" customFormat="false" ht="113.4" hidden="false" customHeight="false" outlineLevel="0" collapsed="false">
      <c r="A553" s="5" t="s">
        <v>6454</v>
      </c>
      <c r="B553" s="5" t="s">
        <v>6455</v>
      </c>
      <c r="C553" s="5" t="s">
        <v>6254</v>
      </c>
      <c r="D553" s="5" t="s">
        <v>6255</v>
      </c>
      <c r="E553" s="5" t="s">
        <v>626</v>
      </c>
      <c r="F553" s="5" t="s">
        <v>6456</v>
      </c>
      <c r="G553" s="5" t="s">
        <v>6457</v>
      </c>
      <c r="H553" s="5" t="n">
        <v>9</v>
      </c>
      <c r="I553" s="5" t="s">
        <v>1084</v>
      </c>
      <c r="J553" s="5" t="s">
        <v>153</v>
      </c>
      <c r="K553" s="5" t="s">
        <v>6381</v>
      </c>
      <c r="L553" s="5" t="s">
        <v>30</v>
      </c>
      <c r="M553" s="5" t="s">
        <v>155</v>
      </c>
      <c r="N553" s="5" t="s">
        <v>846</v>
      </c>
      <c r="O553" s="5" t="s">
        <v>157</v>
      </c>
      <c r="P553" s="5" t="s">
        <v>158</v>
      </c>
      <c r="Q553" s="5" t="s">
        <v>519</v>
      </c>
      <c r="R553" s="5" t="s">
        <v>6260</v>
      </c>
      <c r="S553" s="5" t="s">
        <v>6261</v>
      </c>
      <c r="T553" s="5" t="s">
        <v>606</v>
      </c>
      <c r="U553" s="5" t="n">
        <v>365</v>
      </c>
      <c r="V553" s="5" t="s">
        <v>6262</v>
      </c>
      <c r="W553" s="5" t="s">
        <v>6263</v>
      </c>
      <c r="X553" s="5" t="s">
        <v>6458</v>
      </c>
      <c r="Y553" s="5" t="s">
        <v>6459</v>
      </c>
      <c r="Z553" s="5" t="s">
        <v>6460</v>
      </c>
      <c r="AA553" s="5"/>
      <c r="AB553" s="5"/>
      <c r="AC553" s="5"/>
      <c r="AD553" s="5"/>
      <c r="AE553" s="5"/>
      <c r="AF553" s="5"/>
      <c r="AG553" s="5"/>
      <c r="AH553" s="5" t="s">
        <v>6461</v>
      </c>
      <c r="AI553" s="5"/>
      <c r="AJ553" s="5"/>
      <c r="AK553" s="5"/>
      <c r="AL553" s="5"/>
      <c r="AM553" s="5"/>
      <c r="AN553" s="5"/>
      <c r="AO553" s="5"/>
      <c r="AP553" s="5"/>
      <c r="AQ553" s="5"/>
      <c r="AR553" s="5"/>
      <c r="AS553" s="5"/>
      <c r="AT553" s="5" t="s">
        <v>6390</v>
      </c>
      <c r="AU553" s="5"/>
      <c r="AV553" s="5" t="s">
        <v>178</v>
      </c>
      <c r="AW553" s="5" t="s">
        <v>6391</v>
      </c>
    </row>
    <row r="554" customFormat="false" ht="113.4" hidden="false" customHeight="false" outlineLevel="0" collapsed="false">
      <c r="A554" s="5" t="s">
        <v>6462</v>
      </c>
      <c r="B554" s="5" t="s">
        <v>6463</v>
      </c>
      <c r="C554" s="5" t="s">
        <v>6254</v>
      </c>
      <c r="D554" s="5" t="s">
        <v>6255</v>
      </c>
      <c r="E554" s="5" t="s">
        <v>626</v>
      </c>
      <c r="F554" s="5" t="s">
        <v>6464</v>
      </c>
      <c r="G554" s="5" t="s">
        <v>6465</v>
      </c>
      <c r="H554" s="5" t="n">
        <v>8</v>
      </c>
      <c r="I554" s="5" t="s">
        <v>1084</v>
      </c>
      <c r="J554" s="5" t="s">
        <v>153</v>
      </c>
      <c r="K554" s="5"/>
      <c r="L554" s="5" t="s">
        <v>30</v>
      </c>
      <c r="M554" s="5" t="s">
        <v>155</v>
      </c>
      <c r="N554" s="5" t="s">
        <v>846</v>
      </c>
      <c r="O554" s="5" t="s">
        <v>157</v>
      </c>
      <c r="P554" s="5" t="s">
        <v>215</v>
      </c>
      <c r="Q554" s="5" t="s">
        <v>6284</v>
      </c>
      <c r="R554" s="5" t="s">
        <v>6260</v>
      </c>
      <c r="S554" s="5" t="s">
        <v>6261</v>
      </c>
      <c r="T554" s="5" t="s">
        <v>606</v>
      </c>
      <c r="U554" s="5" t="n">
        <v>365</v>
      </c>
      <c r="V554" s="5" t="s">
        <v>6262</v>
      </c>
      <c r="W554" s="5" t="s">
        <v>6263</v>
      </c>
      <c r="X554" s="5" t="s">
        <v>6466</v>
      </c>
      <c r="Y554" s="5" t="s">
        <v>6467</v>
      </c>
      <c r="Z554" s="5" t="s">
        <v>6468</v>
      </c>
      <c r="AA554" s="5"/>
      <c r="AB554" s="5"/>
      <c r="AC554" s="5"/>
      <c r="AD554" s="5"/>
      <c r="AE554" s="5"/>
      <c r="AF554" s="5" t="s">
        <v>6469</v>
      </c>
      <c r="AG554" s="5"/>
      <c r="AH554" s="5" t="s">
        <v>6470</v>
      </c>
      <c r="AI554" s="5"/>
      <c r="AJ554" s="5"/>
      <c r="AK554" s="5"/>
      <c r="AL554" s="5" t="s">
        <v>6469</v>
      </c>
      <c r="AM554" s="5"/>
      <c r="AN554" s="5"/>
      <c r="AO554" s="5"/>
      <c r="AP554" s="5"/>
      <c r="AQ554" s="5"/>
      <c r="AR554" s="5" t="s">
        <v>6276</v>
      </c>
      <c r="AS554" s="5"/>
      <c r="AT554" s="5"/>
      <c r="AU554" s="5"/>
      <c r="AV554" s="5" t="s">
        <v>178</v>
      </c>
      <c r="AW554" s="5" t="s">
        <v>6471</v>
      </c>
    </row>
    <row r="555" customFormat="false" ht="124.6" hidden="false" customHeight="false" outlineLevel="0" collapsed="false">
      <c r="A555" s="5" t="s">
        <v>6472</v>
      </c>
      <c r="B555" s="5" t="s">
        <v>6473</v>
      </c>
      <c r="C555" s="5" t="s">
        <v>6254</v>
      </c>
      <c r="D555" s="5" t="s">
        <v>6255</v>
      </c>
      <c r="E555" s="5" t="s">
        <v>626</v>
      </c>
      <c r="F555" s="5" t="s">
        <v>6474</v>
      </c>
      <c r="G555" s="5" t="s">
        <v>6475</v>
      </c>
      <c r="H555" s="5" t="n">
        <v>10</v>
      </c>
      <c r="I555" s="5" t="s">
        <v>274</v>
      </c>
      <c r="J555" s="5" t="s">
        <v>153</v>
      </c>
      <c r="K555" s="5"/>
      <c r="L555" s="5" t="s">
        <v>30</v>
      </c>
      <c r="M555" s="5" t="s">
        <v>155</v>
      </c>
      <c r="N555" s="5" t="s">
        <v>846</v>
      </c>
      <c r="O555" s="5" t="s">
        <v>157</v>
      </c>
      <c r="P555" s="5" t="s">
        <v>641</v>
      </c>
      <c r="Q555" s="5" t="s">
        <v>519</v>
      </c>
      <c r="R555" s="5" t="s">
        <v>6260</v>
      </c>
      <c r="S555" s="5" t="s">
        <v>6261</v>
      </c>
      <c r="T555" s="5" t="s">
        <v>277</v>
      </c>
      <c r="U555" s="5" t="n">
        <v>365</v>
      </c>
      <c r="V555" s="5" t="s">
        <v>6262</v>
      </c>
      <c r="W555" s="5" t="s">
        <v>6263</v>
      </c>
      <c r="X555" s="5" t="s">
        <v>6476</v>
      </c>
      <c r="Y555" s="5" t="s">
        <v>6477</v>
      </c>
      <c r="Z555" s="5" t="s">
        <v>6478</v>
      </c>
      <c r="AA555" s="5"/>
      <c r="AB555" s="5"/>
      <c r="AC555" s="5"/>
      <c r="AD555" s="5"/>
      <c r="AE555" s="5"/>
      <c r="AF555" s="5" t="s">
        <v>6479</v>
      </c>
      <c r="AG555" s="5"/>
      <c r="AH555" s="5" t="s">
        <v>6480</v>
      </c>
      <c r="AI555" s="5"/>
      <c r="AJ555" s="5"/>
      <c r="AK555" s="5"/>
      <c r="AL555" s="5" t="s">
        <v>6479</v>
      </c>
      <c r="AM555" s="5"/>
      <c r="AN555" s="5"/>
      <c r="AO555" s="5"/>
      <c r="AP555" s="5"/>
      <c r="AQ555" s="5"/>
      <c r="AR555" s="5" t="s">
        <v>6276</v>
      </c>
      <c r="AS555" s="5"/>
      <c r="AT555" s="5"/>
      <c r="AU555" s="5"/>
      <c r="AV555" s="5" t="s">
        <v>178</v>
      </c>
      <c r="AW555" s="5" t="s">
        <v>6481</v>
      </c>
    </row>
    <row r="556" customFormat="false" ht="124.6" hidden="false" customHeight="false" outlineLevel="0" collapsed="false">
      <c r="A556" s="5" t="s">
        <v>6482</v>
      </c>
      <c r="B556" s="5" t="s">
        <v>6483</v>
      </c>
      <c r="C556" s="5" t="s">
        <v>6254</v>
      </c>
      <c r="D556" s="5" t="s">
        <v>6255</v>
      </c>
      <c r="E556" s="5" t="s">
        <v>626</v>
      </c>
      <c r="F556" s="5" t="s">
        <v>6484</v>
      </c>
      <c r="G556" s="5" t="s">
        <v>6485</v>
      </c>
      <c r="H556" s="5" t="n">
        <v>3</v>
      </c>
      <c r="I556" s="5" t="s">
        <v>1221</v>
      </c>
      <c r="J556" s="5" t="s">
        <v>153</v>
      </c>
      <c r="K556" s="5"/>
      <c r="L556" s="5" t="s">
        <v>30</v>
      </c>
      <c r="M556" s="5" t="s">
        <v>155</v>
      </c>
      <c r="N556" s="5" t="s">
        <v>398</v>
      </c>
      <c r="O556" s="5" t="s">
        <v>157</v>
      </c>
      <c r="P556" s="5" t="s">
        <v>215</v>
      </c>
      <c r="Q556" s="5" t="s">
        <v>6284</v>
      </c>
      <c r="R556" s="5" t="s">
        <v>6260</v>
      </c>
      <c r="S556" s="5" t="s">
        <v>6261</v>
      </c>
      <c r="T556" s="5" t="s">
        <v>277</v>
      </c>
      <c r="U556" s="5" t="n">
        <v>365</v>
      </c>
      <c r="V556" s="5" t="s">
        <v>6262</v>
      </c>
      <c r="W556" s="5" t="s">
        <v>6263</v>
      </c>
      <c r="X556" s="5" t="s">
        <v>6486</v>
      </c>
      <c r="Y556" s="5" t="s">
        <v>6487</v>
      </c>
      <c r="Z556" s="5" t="s">
        <v>6488</v>
      </c>
      <c r="AA556" s="5"/>
      <c r="AB556" s="5"/>
      <c r="AC556" s="5"/>
      <c r="AD556" s="5"/>
      <c r="AE556" s="5"/>
      <c r="AF556" s="5" t="s">
        <v>6489</v>
      </c>
      <c r="AG556" s="5" t="s">
        <v>3147</v>
      </c>
      <c r="AH556" s="5"/>
      <c r="AI556" s="5"/>
      <c r="AJ556" s="5"/>
      <c r="AK556" s="5"/>
      <c r="AL556" s="5" t="s">
        <v>6489</v>
      </c>
      <c r="AM556" s="5"/>
      <c r="AN556" s="5"/>
      <c r="AO556" s="5"/>
      <c r="AP556" s="5"/>
      <c r="AQ556" s="5" t="s">
        <v>6489</v>
      </c>
      <c r="AR556" s="5" t="s">
        <v>6490</v>
      </c>
      <c r="AS556" s="5"/>
      <c r="AT556" s="5"/>
      <c r="AU556" s="5"/>
      <c r="AV556" s="5"/>
      <c r="AW556" s="5" t="s">
        <v>6491</v>
      </c>
    </row>
    <row r="557" customFormat="false" ht="124.6" hidden="false" customHeight="false" outlineLevel="0" collapsed="false">
      <c r="A557" s="5" t="s">
        <v>6492</v>
      </c>
      <c r="B557" s="5" t="s">
        <v>6493</v>
      </c>
      <c r="C557" s="5" t="s">
        <v>6254</v>
      </c>
      <c r="D557" s="5" t="s">
        <v>6255</v>
      </c>
      <c r="E557" s="5" t="s">
        <v>626</v>
      </c>
      <c r="F557" s="5" t="s">
        <v>6494</v>
      </c>
      <c r="G557" s="5" t="s">
        <v>6495</v>
      </c>
      <c r="H557" s="5" t="n">
        <v>9</v>
      </c>
      <c r="I557" s="5" t="s">
        <v>1084</v>
      </c>
      <c r="J557" s="5" t="s">
        <v>153</v>
      </c>
      <c r="K557" s="5" t="s">
        <v>6496</v>
      </c>
      <c r="L557" s="5" t="s">
        <v>30</v>
      </c>
      <c r="M557" s="5" t="s">
        <v>155</v>
      </c>
      <c r="N557" s="5" t="s">
        <v>895</v>
      </c>
      <c r="O557" s="5" t="s">
        <v>157</v>
      </c>
      <c r="P557" s="5" t="s">
        <v>158</v>
      </c>
      <c r="Q557" s="5" t="s">
        <v>6284</v>
      </c>
      <c r="R557" s="5" t="s">
        <v>6260</v>
      </c>
      <c r="S557" s="5" t="s">
        <v>6261</v>
      </c>
      <c r="T557" s="5" t="s">
        <v>606</v>
      </c>
      <c r="U557" s="5" t="n">
        <v>365</v>
      </c>
      <c r="V557" s="5" t="s">
        <v>6262</v>
      </c>
      <c r="W557" s="5" t="s">
        <v>6497</v>
      </c>
      <c r="X557" s="5" t="s">
        <v>6498</v>
      </c>
      <c r="Y557" s="5" t="s">
        <v>6499</v>
      </c>
      <c r="Z557" s="5" t="s">
        <v>6500</v>
      </c>
      <c r="AA557" s="5"/>
      <c r="AB557" s="5"/>
      <c r="AC557" s="5"/>
      <c r="AD557" s="5"/>
      <c r="AE557" s="5"/>
      <c r="AF557" s="5" t="s">
        <v>6501</v>
      </c>
      <c r="AG557" s="5" t="s">
        <v>6501</v>
      </c>
      <c r="AH557" s="5"/>
      <c r="AI557" s="5"/>
      <c r="AJ557" s="5"/>
      <c r="AK557" s="5" t="s">
        <v>6502</v>
      </c>
      <c r="AL557" s="5" t="s">
        <v>6501</v>
      </c>
      <c r="AM557" s="5" t="s">
        <v>6501</v>
      </c>
      <c r="AN557" s="5"/>
      <c r="AO557" s="5"/>
      <c r="AP557" s="5"/>
      <c r="AQ557" s="5"/>
      <c r="AR557" s="5" t="s">
        <v>6276</v>
      </c>
      <c r="AS557" s="5"/>
      <c r="AT557" s="5" t="s">
        <v>6503</v>
      </c>
      <c r="AU557" s="5"/>
      <c r="AV557" s="5" t="s">
        <v>178</v>
      </c>
      <c r="AW557" s="5" t="s">
        <v>6504</v>
      </c>
    </row>
    <row r="558" customFormat="false" ht="147" hidden="false" customHeight="false" outlineLevel="0" collapsed="false">
      <c r="A558" s="5" t="s">
        <v>6505</v>
      </c>
      <c r="B558" s="5" t="s">
        <v>6506</v>
      </c>
      <c r="C558" s="5" t="s">
        <v>6254</v>
      </c>
      <c r="D558" s="5" t="s">
        <v>6255</v>
      </c>
      <c r="E558" s="5" t="s">
        <v>626</v>
      </c>
      <c r="F558" s="5" t="s">
        <v>6507</v>
      </c>
      <c r="G558" s="5" t="s">
        <v>6508</v>
      </c>
      <c r="H558" s="5" t="n">
        <v>8</v>
      </c>
      <c r="I558" s="5" t="s">
        <v>1084</v>
      </c>
      <c r="J558" s="5" t="s">
        <v>153</v>
      </c>
      <c r="K558" s="5"/>
      <c r="L558" s="5" t="s">
        <v>30</v>
      </c>
      <c r="M558" s="5" t="s">
        <v>155</v>
      </c>
      <c r="N558" s="5" t="s">
        <v>1030</v>
      </c>
      <c r="O558" s="5" t="s">
        <v>157</v>
      </c>
      <c r="P558" s="5" t="s">
        <v>158</v>
      </c>
      <c r="Q558" s="5" t="s">
        <v>6284</v>
      </c>
      <c r="R558" s="5" t="s">
        <v>6260</v>
      </c>
      <c r="S558" s="5" t="s">
        <v>6261</v>
      </c>
      <c r="T558" s="5" t="s">
        <v>606</v>
      </c>
      <c r="U558" s="5" t="n">
        <v>365</v>
      </c>
      <c r="V558" s="5" t="s">
        <v>6262</v>
      </c>
      <c r="W558" s="5" t="s">
        <v>6497</v>
      </c>
      <c r="X558" s="5" t="s">
        <v>6509</v>
      </c>
      <c r="Y558" s="5" t="s">
        <v>6510</v>
      </c>
      <c r="Z558" s="5" t="s">
        <v>6511</v>
      </c>
      <c r="AA558" s="5"/>
      <c r="AB558" s="5"/>
      <c r="AC558" s="5"/>
      <c r="AD558" s="5"/>
      <c r="AE558" s="5"/>
      <c r="AF558" s="5" t="s">
        <v>6512</v>
      </c>
      <c r="AG558" s="5" t="s">
        <v>6512</v>
      </c>
      <c r="AH558" s="5"/>
      <c r="AI558" s="5"/>
      <c r="AJ558" s="5"/>
      <c r="AK558" s="5"/>
      <c r="AL558" s="5" t="s">
        <v>6512</v>
      </c>
      <c r="AM558" s="5" t="s">
        <v>6512</v>
      </c>
      <c r="AN558" s="5"/>
      <c r="AO558" s="5"/>
      <c r="AP558" s="5"/>
      <c r="AQ558" s="5"/>
      <c r="AR558" s="5" t="s">
        <v>6276</v>
      </c>
      <c r="AS558" s="5"/>
      <c r="AT558" s="5" t="s">
        <v>6513</v>
      </c>
      <c r="AU558" s="5"/>
      <c r="AV558" s="5"/>
      <c r="AW558" s="5" t="s">
        <v>6514</v>
      </c>
    </row>
    <row r="559" customFormat="false" ht="124.6" hidden="false" customHeight="false" outlineLevel="0" collapsed="false">
      <c r="A559" s="5" t="s">
        <v>6515</v>
      </c>
      <c r="B559" s="5" t="s">
        <v>6516</v>
      </c>
      <c r="C559" s="5" t="s">
        <v>6254</v>
      </c>
      <c r="D559" s="5" t="s">
        <v>6255</v>
      </c>
      <c r="E559" s="5" t="s">
        <v>626</v>
      </c>
      <c r="F559" s="5" t="s">
        <v>6517</v>
      </c>
      <c r="G559" s="5" t="s">
        <v>6518</v>
      </c>
      <c r="H559" s="5" t="n">
        <v>8</v>
      </c>
      <c r="I559" s="5" t="s">
        <v>1084</v>
      </c>
      <c r="J559" s="5" t="s">
        <v>153</v>
      </c>
      <c r="K559" s="5"/>
      <c r="L559" s="5" t="s">
        <v>30</v>
      </c>
      <c r="M559" s="5" t="s">
        <v>155</v>
      </c>
      <c r="N559" s="5" t="s">
        <v>6519</v>
      </c>
      <c r="O559" s="5" t="s">
        <v>157</v>
      </c>
      <c r="P559" s="5" t="s">
        <v>158</v>
      </c>
      <c r="Q559" s="5" t="s">
        <v>6284</v>
      </c>
      <c r="R559" s="5" t="s">
        <v>6260</v>
      </c>
      <c r="S559" s="5" t="s">
        <v>6261</v>
      </c>
      <c r="T559" s="5" t="s">
        <v>606</v>
      </c>
      <c r="U559" s="5" t="n">
        <v>365</v>
      </c>
      <c r="V559" s="5" t="s">
        <v>6262</v>
      </c>
      <c r="W559" s="5" t="s">
        <v>6497</v>
      </c>
      <c r="X559" s="5" t="s">
        <v>6520</v>
      </c>
      <c r="Y559" s="5" t="s">
        <v>6521</v>
      </c>
      <c r="Z559" s="5" t="s">
        <v>6522</v>
      </c>
      <c r="AA559" s="5"/>
      <c r="AB559" s="5" t="s">
        <v>6523</v>
      </c>
      <c r="AC559" s="5"/>
      <c r="AD559" s="5"/>
      <c r="AE559" s="5"/>
      <c r="AF559" s="5" t="s">
        <v>6524</v>
      </c>
      <c r="AG559" s="5" t="s">
        <v>6525</v>
      </c>
      <c r="AH559" s="5"/>
      <c r="AI559" s="5"/>
      <c r="AJ559" s="5"/>
      <c r="AK559" s="5"/>
      <c r="AL559" s="5" t="s">
        <v>6524</v>
      </c>
      <c r="AM559" s="5" t="s">
        <v>6525</v>
      </c>
      <c r="AN559" s="5"/>
      <c r="AO559" s="5"/>
      <c r="AP559" s="5"/>
      <c r="AQ559" s="5"/>
      <c r="AR559" s="5" t="s">
        <v>6276</v>
      </c>
      <c r="AS559" s="5"/>
      <c r="AT559" s="5" t="s">
        <v>6513</v>
      </c>
      <c r="AU559" s="5"/>
      <c r="AV559" s="5"/>
      <c r="AW559" s="5" t="s">
        <v>6526</v>
      </c>
    </row>
    <row r="560" customFormat="false" ht="124.6" hidden="false" customHeight="false" outlineLevel="0" collapsed="false">
      <c r="A560" s="5" t="s">
        <v>6527</v>
      </c>
      <c r="B560" s="5" t="s">
        <v>6528</v>
      </c>
      <c r="C560" s="5" t="s">
        <v>6254</v>
      </c>
      <c r="D560" s="5" t="s">
        <v>6255</v>
      </c>
      <c r="E560" s="5" t="s">
        <v>626</v>
      </c>
      <c r="F560" s="5" t="s">
        <v>6529</v>
      </c>
      <c r="G560" s="5" t="s">
        <v>6530</v>
      </c>
      <c r="H560" s="5" t="n">
        <v>7</v>
      </c>
      <c r="I560" s="5" t="s">
        <v>1084</v>
      </c>
      <c r="J560" s="5" t="s">
        <v>153</v>
      </c>
      <c r="K560" s="5"/>
      <c r="L560" s="5" t="s">
        <v>30</v>
      </c>
      <c r="M560" s="5" t="s">
        <v>155</v>
      </c>
      <c r="N560" s="5" t="s">
        <v>42</v>
      </c>
      <c r="O560" s="5" t="s">
        <v>157</v>
      </c>
      <c r="P560" s="5" t="s">
        <v>158</v>
      </c>
      <c r="Q560" s="5" t="s">
        <v>6284</v>
      </c>
      <c r="R560" s="5" t="s">
        <v>6260</v>
      </c>
      <c r="S560" s="5" t="s">
        <v>6261</v>
      </c>
      <c r="T560" s="5" t="s">
        <v>606</v>
      </c>
      <c r="U560" s="5" t="n">
        <v>365</v>
      </c>
      <c r="V560" s="5" t="s">
        <v>6262</v>
      </c>
      <c r="W560" s="5" t="s">
        <v>6497</v>
      </c>
      <c r="X560" s="5" t="s">
        <v>6531</v>
      </c>
      <c r="Y560" s="5" t="s">
        <v>6532</v>
      </c>
      <c r="Z560" s="5" t="s">
        <v>6533</v>
      </c>
      <c r="AA560" s="5"/>
      <c r="AB560" s="5"/>
      <c r="AC560" s="5"/>
      <c r="AD560" s="5"/>
      <c r="AE560" s="5"/>
      <c r="AF560" s="5" t="s">
        <v>6534</v>
      </c>
      <c r="AG560" s="5" t="s">
        <v>6534</v>
      </c>
      <c r="AH560" s="5"/>
      <c r="AI560" s="5"/>
      <c r="AJ560" s="5"/>
      <c r="AK560" s="5"/>
      <c r="AL560" s="5" t="s">
        <v>6534</v>
      </c>
      <c r="AM560" s="5"/>
      <c r="AN560" s="5"/>
      <c r="AO560" s="5"/>
      <c r="AP560" s="5"/>
      <c r="AQ560" s="5"/>
      <c r="AR560" s="5" t="s">
        <v>6276</v>
      </c>
      <c r="AS560" s="5"/>
      <c r="AT560" s="5" t="s">
        <v>6513</v>
      </c>
      <c r="AU560" s="5"/>
      <c r="AV560" s="5"/>
      <c r="AW560" s="5" t="s">
        <v>6535</v>
      </c>
    </row>
    <row r="561" customFormat="false" ht="113.4" hidden="false" customHeight="false" outlineLevel="0" collapsed="false">
      <c r="A561" s="5" t="s">
        <v>6536</v>
      </c>
      <c r="B561" s="5" t="s">
        <v>6537</v>
      </c>
      <c r="C561" s="5" t="s">
        <v>6254</v>
      </c>
      <c r="D561" s="5" t="s">
        <v>6255</v>
      </c>
      <c r="E561" s="5" t="s">
        <v>626</v>
      </c>
      <c r="F561" s="5" t="s">
        <v>6538</v>
      </c>
      <c r="G561" s="5" t="s">
        <v>6539</v>
      </c>
      <c r="H561" s="5" t="n">
        <v>8</v>
      </c>
      <c r="I561" s="5" t="s">
        <v>1084</v>
      </c>
      <c r="J561" s="5" t="s">
        <v>153</v>
      </c>
      <c r="K561" s="5" t="s">
        <v>6496</v>
      </c>
      <c r="L561" s="5" t="s">
        <v>30</v>
      </c>
      <c r="M561" s="5" t="s">
        <v>155</v>
      </c>
      <c r="N561" s="5" t="s">
        <v>1312</v>
      </c>
      <c r="O561" s="5" t="s">
        <v>157</v>
      </c>
      <c r="P561" s="5" t="s">
        <v>158</v>
      </c>
      <c r="Q561" s="5" t="s">
        <v>6284</v>
      </c>
      <c r="R561" s="5" t="s">
        <v>6260</v>
      </c>
      <c r="S561" s="5" t="s">
        <v>6261</v>
      </c>
      <c r="T561" s="5" t="s">
        <v>606</v>
      </c>
      <c r="U561" s="5" t="n">
        <v>365</v>
      </c>
      <c r="V561" s="5" t="s">
        <v>6262</v>
      </c>
      <c r="W561" s="5" t="s">
        <v>6497</v>
      </c>
      <c r="X561" s="5" t="s">
        <v>6540</v>
      </c>
      <c r="Y561" s="5" t="s">
        <v>6541</v>
      </c>
      <c r="Z561" s="5" t="s">
        <v>6542</v>
      </c>
      <c r="AA561" s="5"/>
      <c r="AB561" s="5"/>
      <c r="AC561" s="5"/>
      <c r="AD561" s="5"/>
      <c r="AE561" s="5"/>
      <c r="AF561" s="5" t="s">
        <v>6543</v>
      </c>
      <c r="AG561" s="5" t="s">
        <v>6543</v>
      </c>
      <c r="AH561" s="5"/>
      <c r="AI561" s="5"/>
      <c r="AJ561" s="5"/>
      <c r="AK561" s="5" t="s">
        <v>6502</v>
      </c>
      <c r="AL561" s="5" t="s">
        <v>6543</v>
      </c>
      <c r="AM561" s="5"/>
      <c r="AN561" s="5"/>
      <c r="AO561" s="5"/>
      <c r="AP561" s="5"/>
      <c r="AQ561" s="5"/>
      <c r="AR561" s="5" t="s">
        <v>6276</v>
      </c>
      <c r="AS561" s="5"/>
      <c r="AT561" s="5"/>
      <c r="AU561" s="5"/>
      <c r="AV561" s="5" t="s">
        <v>178</v>
      </c>
      <c r="AW561" s="5" t="s">
        <v>6544</v>
      </c>
    </row>
    <row r="562" customFormat="false" ht="124.6" hidden="false" customHeight="false" outlineLevel="0" collapsed="false">
      <c r="A562" s="5" t="s">
        <v>6545</v>
      </c>
      <c r="B562" s="5" t="s">
        <v>6546</v>
      </c>
      <c r="C562" s="5" t="s">
        <v>6254</v>
      </c>
      <c r="D562" s="5" t="s">
        <v>6255</v>
      </c>
      <c r="E562" s="5" t="s">
        <v>626</v>
      </c>
      <c r="F562" s="5" t="s">
        <v>6547</v>
      </c>
      <c r="G562" s="5" t="s">
        <v>6548</v>
      </c>
      <c r="H562" s="5" t="n">
        <v>7</v>
      </c>
      <c r="I562" s="5" t="s">
        <v>1084</v>
      </c>
      <c r="J562" s="5" t="s">
        <v>153</v>
      </c>
      <c r="K562" s="5" t="s">
        <v>6496</v>
      </c>
      <c r="L562" s="5" t="s">
        <v>30</v>
      </c>
      <c r="M562" s="5" t="s">
        <v>155</v>
      </c>
      <c r="N562" s="5" t="s">
        <v>1312</v>
      </c>
      <c r="O562" s="5" t="s">
        <v>157</v>
      </c>
      <c r="P562" s="5" t="s">
        <v>158</v>
      </c>
      <c r="Q562" s="5" t="s">
        <v>6284</v>
      </c>
      <c r="R562" s="5" t="s">
        <v>6260</v>
      </c>
      <c r="S562" s="5" t="s">
        <v>6261</v>
      </c>
      <c r="T562" s="5" t="s">
        <v>606</v>
      </c>
      <c r="U562" s="5" t="n">
        <v>365</v>
      </c>
      <c r="V562" s="5" t="s">
        <v>6262</v>
      </c>
      <c r="W562" s="5" t="s">
        <v>6497</v>
      </c>
      <c r="X562" s="5" t="s">
        <v>6549</v>
      </c>
      <c r="Y562" s="5" t="s">
        <v>6550</v>
      </c>
      <c r="Z562" s="5" t="s">
        <v>6551</v>
      </c>
      <c r="AA562" s="5"/>
      <c r="AB562" s="5"/>
      <c r="AC562" s="5"/>
      <c r="AD562" s="5"/>
      <c r="AE562" s="5"/>
      <c r="AF562" s="5" t="s">
        <v>6552</v>
      </c>
      <c r="AG562" s="5" t="s">
        <v>6552</v>
      </c>
      <c r="AH562" s="5"/>
      <c r="AI562" s="5"/>
      <c r="AJ562" s="5"/>
      <c r="AK562" s="5" t="s">
        <v>6502</v>
      </c>
      <c r="AL562" s="5" t="s">
        <v>6552</v>
      </c>
      <c r="AM562" s="5"/>
      <c r="AN562" s="5"/>
      <c r="AO562" s="5"/>
      <c r="AP562" s="5"/>
      <c r="AQ562" s="5"/>
      <c r="AR562" s="5" t="s">
        <v>6276</v>
      </c>
      <c r="AS562" s="5"/>
      <c r="AT562" s="5"/>
      <c r="AU562" s="5"/>
      <c r="AV562" s="5" t="s">
        <v>178</v>
      </c>
      <c r="AW562" s="5" t="s">
        <v>6553</v>
      </c>
    </row>
    <row r="563" customFormat="false" ht="135.8" hidden="false" customHeight="false" outlineLevel="0" collapsed="false">
      <c r="A563" s="5" t="s">
        <v>6554</v>
      </c>
      <c r="B563" s="5" t="s">
        <v>6555</v>
      </c>
      <c r="C563" s="5" t="s">
        <v>6254</v>
      </c>
      <c r="D563" s="5" t="s">
        <v>6255</v>
      </c>
      <c r="E563" s="5" t="s">
        <v>600</v>
      </c>
      <c r="F563" s="5" t="s">
        <v>6556</v>
      </c>
      <c r="G563" s="5" t="s">
        <v>6557</v>
      </c>
      <c r="H563" s="5" t="n">
        <v>9</v>
      </c>
      <c r="I563" s="5" t="s">
        <v>1084</v>
      </c>
      <c r="J563" s="5" t="s">
        <v>652</v>
      </c>
      <c r="K563" s="5"/>
      <c r="L563" s="5" t="s">
        <v>30</v>
      </c>
      <c r="M563" s="5" t="s">
        <v>155</v>
      </c>
      <c r="N563" s="5" t="s">
        <v>1030</v>
      </c>
      <c r="O563" s="5" t="s">
        <v>157</v>
      </c>
      <c r="P563" s="5" t="s">
        <v>158</v>
      </c>
      <c r="Q563" s="5" t="s">
        <v>6284</v>
      </c>
      <c r="R563" s="5" t="s">
        <v>6260</v>
      </c>
      <c r="S563" s="5" t="s">
        <v>6261</v>
      </c>
      <c r="T563" s="5" t="s">
        <v>606</v>
      </c>
      <c r="U563" s="5" t="n">
        <v>180</v>
      </c>
      <c r="V563" s="5" t="s">
        <v>6262</v>
      </c>
      <c r="W563" s="5" t="s">
        <v>6497</v>
      </c>
      <c r="X563" s="5" t="s">
        <v>6558</v>
      </c>
      <c r="Y563" s="5" t="s">
        <v>6559</v>
      </c>
      <c r="Z563" s="5" t="s">
        <v>6560</v>
      </c>
      <c r="AA563" s="5"/>
      <c r="AB563" s="5"/>
      <c r="AC563" s="5"/>
      <c r="AD563" s="5"/>
      <c r="AE563" s="5"/>
      <c r="AF563" s="5" t="s">
        <v>6561</v>
      </c>
      <c r="AG563" s="5" t="s">
        <v>6561</v>
      </c>
      <c r="AH563" s="5"/>
      <c r="AI563" s="5"/>
      <c r="AJ563" s="5"/>
      <c r="AK563" s="5"/>
      <c r="AL563" s="5" t="s">
        <v>6561</v>
      </c>
      <c r="AM563" s="5" t="s">
        <v>6561</v>
      </c>
      <c r="AN563" s="5"/>
      <c r="AO563" s="5"/>
      <c r="AP563" s="5"/>
      <c r="AQ563" s="5"/>
      <c r="AR563" s="5" t="s">
        <v>6276</v>
      </c>
      <c r="AS563" s="5"/>
      <c r="AT563" s="5"/>
      <c r="AU563" s="5"/>
      <c r="AV563" s="5"/>
      <c r="AW563" s="5" t="s">
        <v>6562</v>
      </c>
    </row>
    <row r="564" customFormat="false" ht="135.8" hidden="false" customHeight="false" outlineLevel="0" collapsed="false">
      <c r="A564" s="5" t="s">
        <v>6563</v>
      </c>
      <c r="B564" s="5" t="s">
        <v>6564</v>
      </c>
      <c r="C564" s="5" t="s">
        <v>6254</v>
      </c>
      <c r="D564" s="5" t="s">
        <v>6255</v>
      </c>
      <c r="E564" s="5" t="s">
        <v>626</v>
      </c>
      <c r="F564" s="5" t="s">
        <v>6565</v>
      </c>
      <c r="G564" s="5" t="s">
        <v>6566</v>
      </c>
      <c r="H564" s="5" t="n">
        <v>3</v>
      </c>
      <c r="I564" s="5" t="s">
        <v>1084</v>
      </c>
      <c r="J564" s="5" t="s">
        <v>652</v>
      </c>
      <c r="K564" s="5"/>
      <c r="L564" s="5" t="s">
        <v>85</v>
      </c>
      <c r="M564" s="5" t="s">
        <v>185</v>
      </c>
      <c r="N564" s="5" t="s">
        <v>88</v>
      </c>
      <c r="O564" s="5" t="s">
        <v>214</v>
      </c>
      <c r="P564" s="5" t="s">
        <v>158</v>
      </c>
      <c r="Q564" s="5" t="s">
        <v>6284</v>
      </c>
      <c r="R564" s="5" t="s">
        <v>6260</v>
      </c>
      <c r="S564" s="5" t="s">
        <v>6261</v>
      </c>
      <c r="T564" s="5" t="s">
        <v>606</v>
      </c>
      <c r="U564" s="5" t="n">
        <v>180</v>
      </c>
      <c r="V564" s="5" t="s">
        <v>6262</v>
      </c>
      <c r="W564" s="5" t="s">
        <v>6497</v>
      </c>
      <c r="X564" s="5" t="s">
        <v>6567</v>
      </c>
      <c r="Y564" s="5" t="s">
        <v>6568</v>
      </c>
      <c r="Z564" s="5" t="s">
        <v>6569</v>
      </c>
      <c r="AA564" s="5"/>
      <c r="AB564" s="5"/>
      <c r="AC564" s="5"/>
      <c r="AD564" s="5"/>
      <c r="AE564" s="5"/>
      <c r="AF564" s="5" t="s">
        <v>6570</v>
      </c>
      <c r="AG564" s="5"/>
      <c r="AH564" s="5"/>
      <c r="AI564" s="5"/>
      <c r="AJ564" s="5"/>
      <c r="AK564" s="5"/>
      <c r="AL564" s="5" t="s">
        <v>6570</v>
      </c>
      <c r="AM564" s="5"/>
      <c r="AN564" s="5"/>
      <c r="AO564" s="5"/>
      <c r="AP564" s="5"/>
      <c r="AQ564" s="5" t="s">
        <v>6570</v>
      </c>
      <c r="AR564" s="5" t="s">
        <v>6276</v>
      </c>
      <c r="AS564" s="5"/>
      <c r="AT564" s="5"/>
      <c r="AU564" s="5"/>
      <c r="AV564" s="5"/>
      <c r="AW564" s="5" t="s">
        <v>6571</v>
      </c>
    </row>
    <row r="565" customFormat="false" ht="113.4" hidden="false" customHeight="false" outlineLevel="0" collapsed="false">
      <c r="A565" s="5" t="s">
        <v>6572</v>
      </c>
      <c r="B565" s="5" t="s">
        <v>6573</v>
      </c>
      <c r="C565" s="5" t="s">
        <v>6254</v>
      </c>
      <c r="D565" s="5" t="s">
        <v>6255</v>
      </c>
      <c r="E565" s="5" t="s">
        <v>1298</v>
      </c>
      <c r="F565" s="5" t="s">
        <v>6574</v>
      </c>
      <c r="G565" s="5" t="s">
        <v>6575</v>
      </c>
      <c r="H565" s="5" t="n">
        <v>5</v>
      </c>
      <c r="I565" s="5" t="s">
        <v>1084</v>
      </c>
      <c r="J565" s="5" t="s">
        <v>153</v>
      </c>
      <c r="K565" s="5"/>
      <c r="L565" s="5" t="s">
        <v>85</v>
      </c>
      <c r="M565" s="5" t="s">
        <v>185</v>
      </c>
      <c r="N565" s="5" t="s">
        <v>88</v>
      </c>
      <c r="O565" s="5" t="s">
        <v>214</v>
      </c>
      <c r="P565" s="5" t="s">
        <v>215</v>
      </c>
      <c r="Q565" s="5" t="s">
        <v>6284</v>
      </c>
      <c r="R565" s="5" t="s">
        <v>6260</v>
      </c>
      <c r="S565" s="5" t="s">
        <v>6261</v>
      </c>
      <c r="T565" s="5" t="s">
        <v>606</v>
      </c>
      <c r="U565" s="5" t="n">
        <v>365</v>
      </c>
      <c r="V565" s="5" t="s">
        <v>6262</v>
      </c>
      <c r="W565" s="5" t="s">
        <v>6497</v>
      </c>
      <c r="X565" s="5" t="s">
        <v>6576</v>
      </c>
      <c r="Y565" s="5" t="s">
        <v>6577</v>
      </c>
      <c r="Z565" s="5" t="s">
        <v>6578</v>
      </c>
      <c r="AA565" s="5"/>
      <c r="AB565" s="5"/>
      <c r="AC565" s="5"/>
      <c r="AD565" s="5"/>
      <c r="AE565" s="5"/>
      <c r="AF565" s="5" t="s">
        <v>6570</v>
      </c>
      <c r="AG565" s="5"/>
      <c r="AH565" s="5"/>
      <c r="AI565" s="5"/>
      <c r="AJ565" s="5"/>
      <c r="AK565" s="5"/>
      <c r="AL565" s="5" t="s">
        <v>6570</v>
      </c>
      <c r="AM565" s="5"/>
      <c r="AN565" s="5"/>
      <c r="AO565" s="5"/>
      <c r="AP565" s="5"/>
      <c r="AQ565" s="5" t="s">
        <v>6570</v>
      </c>
      <c r="AR565" s="5" t="s">
        <v>6276</v>
      </c>
      <c r="AS565" s="5"/>
      <c r="AT565" s="5"/>
      <c r="AU565" s="5"/>
      <c r="AV565" s="5"/>
      <c r="AW565" s="5" t="s">
        <v>6579</v>
      </c>
    </row>
    <row r="566" customFormat="false" ht="124.6" hidden="false" customHeight="false" outlineLevel="0" collapsed="false">
      <c r="A566" s="5" t="s">
        <v>6580</v>
      </c>
      <c r="B566" s="5" t="s">
        <v>6581</v>
      </c>
      <c r="C566" s="5" t="s">
        <v>6254</v>
      </c>
      <c r="D566" s="5" t="s">
        <v>6255</v>
      </c>
      <c r="E566" s="5" t="s">
        <v>626</v>
      </c>
      <c r="F566" s="5" t="s">
        <v>6582</v>
      </c>
      <c r="G566" s="5" t="s">
        <v>6583</v>
      </c>
      <c r="H566" s="5" t="n">
        <v>9</v>
      </c>
      <c r="I566" s="5" t="s">
        <v>1084</v>
      </c>
      <c r="J566" s="5" t="s">
        <v>153</v>
      </c>
      <c r="K566" s="5" t="s">
        <v>6496</v>
      </c>
      <c r="L566" s="5" t="s">
        <v>30</v>
      </c>
      <c r="M566" s="5" t="s">
        <v>155</v>
      </c>
      <c r="N566" s="5" t="s">
        <v>1312</v>
      </c>
      <c r="O566" s="5" t="s">
        <v>157</v>
      </c>
      <c r="P566" s="5" t="s">
        <v>158</v>
      </c>
      <c r="Q566" s="5" t="s">
        <v>519</v>
      </c>
      <c r="R566" s="5" t="s">
        <v>6260</v>
      </c>
      <c r="S566" s="5" t="s">
        <v>6261</v>
      </c>
      <c r="T566" s="5" t="s">
        <v>606</v>
      </c>
      <c r="U566" s="5" t="n">
        <v>365</v>
      </c>
      <c r="V566" s="5" t="s">
        <v>6262</v>
      </c>
      <c r="W566" s="5" t="s">
        <v>6497</v>
      </c>
      <c r="X566" s="5" t="s">
        <v>6584</v>
      </c>
      <c r="Y566" s="5" t="s">
        <v>6585</v>
      </c>
      <c r="Z566" s="5" t="s">
        <v>6586</v>
      </c>
      <c r="AA566" s="5"/>
      <c r="AB566" s="5"/>
      <c r="AC566" s="5"/>
      <c r="AD566" s="5"/>
      <c r="AE566" s="5"/>
      <c r="AF566" s="5" t="s">
        <v>6587</v>
      </c>
      <c r="AG566" s="5" t="s">
        <v>6587</v>
      </c>
      <c r="AH566" s="5"/>
      <c r="AI566" s="5"/>
      <c r="AJ566" s="5"/>
      <c r="AK566" s="5" t="s">
        <v>6502</v>
      </c>
      <c r="AL566" s="5" t="s">
        <v>6587</v>
      </c>
      <c r="AM566" s="5"/>
      <c r="AN566" s="5"/>
      <c r="AO566" s="5"/>
      <c r="AP566" s="5"/>
      <c r="AQ566" s="5"/>
      <c r="AR566" s="5" t="s">
        <v>6276</v>
      </c>
      <c r="AS566" s="5"/>
      <c r="AT566" s="5"/>
      <c r="AU566" s="5"/>
      <c r="AV566" s="5" t="s">
        <v>178</v>
      </c>
      <c r="AW566" s="5" t="s">
        <v>6588</v>
      </c>
    </row>
    <row r="567" customFormat="false" ht="124.6" hidden="false" customHeight="false" outlineLevel="0" collapsed="false">
      <c r="A567" s="5" t="s">
        <v>6589</v>
      </c>
      <c r="B567" s="5" t="s">
        <v>6590</v>
      </c>
      <c r="C567" s="5" t="s">
        <v>6254</v>
      </c>
      <c r="D567" s="5" t="s">
        <v>6255</v>
      </c>
      <c r="E567" s="5" t="s">
        <v>626</v>
      </c>
      <c r="F567" s="5" t="s">
        <v>6591</v>
      </c>
      <c r="G567" s="5" t="s">
        <v>6592</v>
      </c>
      <c r="H567" s="5" t="n">
        <v>8</v>
      </c>
      <c r="I567" s="5" t="s">
        <v>1084</v>
      </c>
      <c r="J567" s="5" t="s">
        <v>153</v>
      </c>
      <c r="K567" s="5"/>
      <c r="L567" s="5" t="s">
        <v>30</v>
      </c>
      <c r="M567" s="5" t="s">
        <v>155</v>
      </c>
      <c r="N567" s="5" t="s">
        <v>1003</v>
      </c>
      <c r="O567" s="5" t="s">
        <v>157</v>
      </c>
      <c r="P567" s="5" t="s">
        <v>158</v>
      </c>
      <c r="Q567" s="5" t="s">
        <v>519</v>
      </c>
      <c r="R567" s="5" t="s">
        <v>6260</v>
      </c>
      <c r="S567" s="5" t="s">
        <v>6261</v>
      </c>
      <c r="T567" s="5" t="s">
        <v>606</v>
      </c>
      <c r="U567" s="5" t="n">
        <v>365</v>
      </c>
      <c r="V567" s="5" t="s">
        <v>6262</v>
      </c>
      <c r="W567" s="5" t="s">
        <v>6263</v>
      </c>
      <c r="X567" s="5" t="s">
        <v>6593</v>
      </c>
      <c r="Y567" s="5" t="s">
        <v>6594</v>
      </c>
      <c r="Z567" s="5" t="s">
        <v>6595</v>
      </c>
      <c r="AA567" s="5"/>
      <c r="AB567" s="5"/>
      <c r="AC567" s="5"/>
      <c r="AD567" s="5"/>
      <c r="AE567" s="5"/>
      <c r="AF567" s="5" t="s">
        <v>6596</v>
      </c>
      <c r="AG567" s="5" t="s">
        <v>6596</v>
      </c>
      <c r="AH567" s="5"/>
      <c r="AI567" s="5"/>
      <c r="AJ567" s="5"/>
      <c r="AK567" s="5"/>
      <c r="AL567" s="5" t="s">
        <v>6596</v>
      </c>
      <c r="AM567" s="5"/>
      <c r="AN567" s="5" t="s">
        <v>6596</v>
      </c>
      <c r="AO567" s="5"/>
      <c r="AP567" s="5"/>
      <c r="AQ567" s="5"/>
      <c r="AR567" s="5" t="s">
        <v>6276</v>
      </c>
      <c r="AS567" s="5"/>
      <c r="AT567" s="5" t="s">
        <v>6390</v>
      </c>
      <c r="AU567" s="5"/>
      <c r="AV567" s="5" t="s">
        <v>178</v>
      </c>
      <c r="AW567" s="5" t="s">
        <v>6597</v>
      </c>
    </row>
    <row r="568" customFormat="false" ht="158.2" hidden="false" customHeight="false" outlineLevel="0" collapsed="false">
      <c r="A568" s="5" t="s">
        <v>6598</v>
      </c>
      <c r="B568" s="5" t="s">
        <v>6599</v>
      </c>
      <c r="C568" s="5" t="s">
        <v>6254</v>
      </c>
      <c r="D568" s="5" t="s">
        <v>6255</v>
      </c>
      <c r="E568" s="5" t="s">
        <v>626</v>
      </c>
      <c r="F568" s="5" t="s">
        <v>6600</v>
      </c>
      <c r="G568" s="5" t="s">
        <v>6601</v>
      </c>
      <c r="H568" s="5" t="n">
        <v>8</v>
      </c>
      <c r="I568" s="5" t="s">
        <v>1084</v>
      </c>
      <c r="J568" s="5" t="s">
        <v>153</v>
      </c>
      <c r="K568" s="5"/>
      <c r="L568" s="5" t="s">
        <v>30</v>
      </c>
      <c r="M568" s="5" t="s">
        <v>155</v>
      </c>
      <c r="N568" s="5" t="s">
        <v>1030</v>
      </c>
      <c r="O568" s="5" t="s">
        <v>157</v>
      </c>
      <c r="P568" s="5" t="s">
        <v>158</v>
      </c>
      <c r="Q568" s="5" t="s">
        <v>519</v>
      </c>
      <c r="R568" s="5" t="s">
        <v>6260</v>
      </c>
      <c r="S568" s="5" t="s">
        <v>6261</v>
      </c>
      <c r="T568" s="5" t="s">
        <v>606</v>
      </c>
      <c r="U568" s="5" t="n">
        <v>365</v>
      </c>
      <c r="V568" s="5" t="s">
        <v>6262</v>
      </c>
      <c r="W568" s="5" t="s">
        <v>6263</v>
      </c>
      <c r="X568" s="5" t="s">
        <v>6602</v>
      </c>
      <c r="Y568" s="5" t="s">
        <v>6603</v>
      </c>
      <c r="Z568" s="5" t="s">
        <v>6604</v>
      </c>
      <c r="AA568" s="5"/>
      <c r="AB568" s="5"/>
      <c r="AC568" s="5"/>
      <c r="AD568" s="5"/>
      <c r="AE568" s="5"/>
      <c r="AF568" s="5" t="s">
        <v>6605</v>
      </c>
      <c r="AG568" s="5" t="s">
        <v>6605</v>
      </c>
      <c r="AH568" s="5"/>
      <c r="AI568" s="5"/>
      <c r="AJ568" s="5"/>
      <c r="AK568" s="5"/>
      <c r="AL568" s="5" t="s">
        <v>6605</v>
      </c>
      <c r="AM568" s="5" t="s">
        <v>6605</v>
      </c>
      <c r="AN568" s="5"/>
      <c r="AO568" s="5"/>
      <c r="AP568" s="5"/>
      <c r="AQ568" s="5"/>
      <c r="AR568" s="5" t="s">
        <v>6276</v>
      </c>
      <c r="AS568" s="5"/>
      <c r="AT568" s="5"/>
      <c r="AU568" s="5"/>
      <c r="AV568" s="5" t="s">
        <v>178</v>
      </c>
      <c r="AW568" s="5" t="s">
        <v>6606</v>
      </c>
    </row>
    <row r="569" customFormat="false" ht="169.4" hidden="false" customHeight="false" outlineLevel="0" collapsed="false">
      <c r="A569" s="5" t="s">
        <v>6607</v>
      </c>
      <c r="B569" s="5" t="s">
        <v>6608</v>
      </c>
      <c r="C569" s="5" t="s">
        <v>6254</v>
      </c>
      <c r="D569" s="5" t="s">
        <v>6255</v>
      </c>
      <c r="E569" s="5" t="s">
        <v>626</v>
      </c>
      <c r="F569" s="5" t="s">
        <v>6609</v>
      </c>
      <c r="G569" s="5" t="s">
        <v>6610</v>
      </c>
      <c r="H569" s="5" t="n">
        <v>9</v>
      </c>
      <c r="I569" s="5" t="s">
        <v>1084</v>
      </c>
      <c r="J569" s="5" t="s">
        <v>153</v>
      </c>
      <c r="K569" s="5"/>
      <c r="L569" s="5" t="s">
        <v>30</v>
      </c>
      <c r="M569" s="5" t="s">
        <v>155</v>
      </c>
      <c r="N569" s="5" t="s">
        <v>6611</v>
      </c>
      <c r="O569" s="5" t="s">
        <v>157</v>
      </c>
      <c r="P569" s="5" t="s">
        <v>158</v>
      </c>
      <c r="Q569" s="5" t="s">
        <v>519</v>
      </c>
      <c r="R569" s="5" t="s">
        <v>6260</v>
      </c>
      <c r="S569" s="5" t="s">
        <v>6261</v>
      </c>
      <c r="T569" s="5" t="s">
        <v>606</v>
      </c>
      <c r="U569" s="5" t="n">
        <v>365</v>
      </c>
      <c r="V569" s="5" t="s">
        <v>6262</v>
      </c>
      <c r="W569" s="5" t="s">
        <v>6263</v>
      </c>
      <c r="X569" s="5" t="s">
        <v>6612</v>
      </c>
      <c r="Y569" s="5" t="s">
        <v>6613</v>
      </c>
      <c r="Z569" s="5" t="s">
        <v>6614</v>
      </c>
      <c r="AA569" s="5"/>
      <c r="AB569" s="5"/>
      <c r="AC569" s="5"/>
      <c r="AD569" s="5"/>
      <c r="AE569" s="5"/>
      <c r="AF569" s="5" t="s">
        <v>6615</v>
      </c>
      <c r="AG569" s="5"/>
      <c r="AH569" s="5" t="s">
        <v>2620</v>
      </c>
      <c r="AI569" s="5"/>
      <c r="AJ569" s="5"/>
      <c r="AK569" s="5"/>
      <c r="AL569" s="5" t="s">
        <v>6615</v>
      </c>
      <c r="AM569" s="5"/>
      <c r="AN569" s="5"/>
      <c r="AO569" s="5" t="s">
        <v>762</v>
      </c>
      <c r="AP569" s="5"/>
      <c r="AQ569" s="5" t="s">
        <v>6616</v>
      </c>
      <c r="AR569" s="5" t="s">
        <v>6375</v>
      </c>
      <c r="AS569" s="5"/>
      <c r="AT569" s="5" t="s">
        <v>6617</v>
      </c>
      <c r="AU569" s="5"/>
      <c r="AV569" s="5" t="s">
        <v>178</v>
      </c>
      <c r="AW569" s="5" t="s">
        <v>6618</v>
      </c>
    </row>
    <row r="570" customFormat="false" ht="135.8" hidden="false" customHeight="false" outlineLevel="0" collapsed="false">
      <c r="A570" s="5" t="s">
        <v>6619</v>
      </c>
      <c r="B570" s="5" t="s">
        <v>6620</v>
      </c>
      <c r="C570" s="5" t="s">
        <v>6254</v>
      </c>
      <c r="D570" s="5" t="s">
        <v>6255</v>
      </c>
      <c r="E570" s="5" t="s">
        <v>626</v>
      </c>
      <c r="F570" s="5" t="s">
        <v>6621</v>
      </c>
      <c r="G570" s="5" t="s">
        <v>6622</v>
      </c>
      <c r="H570" s="5" t="n">
        <v>9</v>
      </c>
      <c r="I570" s="5" t="s">
        <v>1084</v>
      </c>
      <c r="J570" s="5" t="s">
        <v>153</v>
      </c>
      <c r="K570" s="5"/>
      <c r="L570" s="5" t="s">
        <v>30</v>
      </c>
      <c r="M570" s="5" t="s">
        <v>155</v>
      </c>
      <c r="N570" s="5" t="s">
        <v>6623</v>
      </c>
      <c r="O570" s="5" t="s">
        <v>157</v>
      </c>
      <c r="P570" s="5" t="s">
        <v>641</v>
      </c>
      <c r="Q570" s="5" t="s">
        <v>519</v>
      </c>
      <c r="R570" s="5" t="s">
        <v>6260</v>
      </c>
      <c r="S570" s="5" t="s">
        <v>6261</v>
      </c>
      <c r="T570" s="5" t="s">
        <v>606</v>
      </c>
      <c r="U570" s="5" t="n">
        <v>365</v>
      </c>
      <c r="V570" s="5" t="s">
        <v>6262</v>
      </c>
      <c r="W570" s="5" t="s">
        <v>6263</v>
      </c>
      <c r="X570" s="5" t="s">
        <v>6624</v>
      </c>
      <c r="Y570" s="5" t="s">
        <v>6625</v>
      </c>
      <c r="Z570" s="5" t="s">
        <v>6626</v>
      </c>
      <c r="AA570" s="5"/>
      <c r="AB570" s="5"/>
      <c r="AC570" s="5"/>
      <c r="AD570" s="5"/>
      <c r="AE570" s="5"/>
      <c r="AF570" s="5" t="s">
        <v>6627</v>
      </c>
      <c r="AG570" s="5" t="s">
        <v>6628</v>
      </c>
      <c r="AH570" s="5" t="s">
        <v>2620</v>
      </c>
      <c r="AI570" s="5"/>
      <c r="AJ570" s="5"/>
      <c r="AK570" s="5"/>
      <c r="AL570" s="5" t="s">
        <v>6627</v>
      </c>
      <c r="AM570" s="5" t="s">
        <v>6628</v>
      </c>
      <c r="AN570" s="5"/>
      <c r="AO570" s="5"/>
      <c r="AP570" s="5"/>
      <c r="AQ570" s="5" t="s">
        <v>6374</v>
      </c>
      <c r="AR570" s="5" t="s">
        <v>6375</v>
      </c>
      <c r="AS570" s="5"/>
      <c r="AT570" s="5" t="s">
        <v>6629</v>
      </c>
      <c r="AU570" s="5"/>
      <c r="AV570" s="5" t="s">
        <v>178</v>
      </c>
      <c r="AW570" s="5" t="s">
        <v>6630</v>
      </c>
    </row>
    <row r="571" customFormat="false" ht="124.6" hidden="false" customHeight="false" outlineLevel="0" collapsed="false">
      <c r="A571" s="5" t="s">
        <v>6631</v>
      </c>
      <c r="B571" s="5" t="s">
        <v>6632</v>
      </c>
      <c r="C571" s="5" t="s">
        <v>6254</v>
      </c>
      <c r="D571" s="5" t="s">
        <v>6255</v>
      </c>
      <c r="E571" s="5" t="s">
        <v>626</v>
      </c>
      <c r="F571" s="5" t="s">
        <v>6633</v>
      </c>
      <c r="G571" s="5" t="s">
        <v>6634</v>
      </c>
      <c r="H571" s="5" t="n">
        <v>8</v>
      </c>
      <c r="I571" s="5" t="s">
        <v>1084</v>
      </c>
      <c r="J571" s="5" t="s">
        <v>153</v>
      </c>
      <c r="K571" s="5"/>
      <c r="L571" s="5" t="s">
        <v>30</v>
      </c>
      <c r="M571" s="5" t="s">
        <v>155</v>
      </c>
      <c r="N571" s="5" t="s">
        <v>1030</v>
      </c>
      <c r="O571" s="5" t="s">
        <v>157</v>
      </c>
      <c r="P571" s="5" t="s">
        <v>641</v>
      </c>
      <c r="Q571" s="5" t="s">
        <v>519</v>
      </c>
      <c r="R571" s="5" t="s">
        <v>6260</v>
      </c>
      <c r="S571" s="5" t="s">
        <v>6261</v>
      </c>
      <c r="T571" s="5" t="s">
        <v>606</v>
      </c>
      <c r="U571" s="5" t="n">
        <v>365</v>
      </c>
      <c r="V571" s="5" t="s">
        <v>6262</v>
      </c>
      <c r="W571" s="5" t="s">
        <v>6263</v>
      </c>
      <c r="X571" s="5" t="s">
        <v>6635</v>
      </c>
      <c r="Y571" s="5" t="s">
        <v>6636</v>
      </c>
      <c r="Z571" s="5" t="s">
        <v>6637</v>
      </c>
      <c r="AA571" s="5"/>
      <c r="AB571" s="5"/>
      <c r="AC571" s="5"/>
      <c r="AD571" s="5"/>
      <c r="AE571" s="5"/>
      <c r="AF571" s="5" t="s">
        <v>6638</v>
      </c>
      <c r="AG571" s="5" t="s">
        <v>6638</v>
      </c>
      <c r="AH571" s="5"/>
      <c r="AI571" s="5"/>
      <c r="AJ571" s="5"/>
      <c r="AK571" s="5"/>
      <c r="AL571" s="5" t="s">
        <v>6638</v>
      </c>
      <c r="AM571" s="5" t="s">
        <v>6638</v>
      </c>
      <c r="AN571" s="5"/>
      <c r="AO571" s="5"/>
      <c r="AP571" s="5"/>
      <c r="AQ571" s="5"/>
      <c r="AR571" s="5" t="s">
        <v>6276</v>
      </c>
      <c r="AS571" s="5"/>
      <c r="AT571" s="5"/>
      <c r="AU571" s="5"/>
      <c r="AV571" s="5" t="s">
        <v>178</v>
      </c>
      <c r="AW571" s="5" t="s">
        <v>6639</v>
      </c>
    </row>
    <row r="572" customFormat="false" ht="124.6" hidden="false" customHeight="false" outlineLevel="0" collapsed="false">
      <c r="A572" s="5" t="s">
        <v>6640</v>
      </c>
      <c r="B572" s="5" t="s">
        <v>6641</v>
      </c>
      <c r="C572" s="5" t="s">
        <v>6254</v>
      </c>
      <c r="D572" s="5" t="s">
        <v>6255</v>
      </c>
      <c r="E572" s="5" t="s">
        <v>626</v>
      </c>
      <c r="F572" s="5" t="s">
        <v>6642</v>
      </c>
      <c r="G572" s="5" t="s">
        <v>6643</v>
      </c>
      <c r="H572" s="5" t="n">
        <v>3</v>
      </c>
      <c r="I572" s="5" t="s">
        <v>1084</v>
      </c>
      <c r="J572" s="5" t="s">
        <v>153</v>
      </c>
      <c r="K572" s="5"/>
      <c r="L572" s="5" t="s">
        <v>30</v>
      </c>
      <c r="M572" s="5" t="s">
        <v>155</v>
      </c>
      <c r="N572" s="5" t="s">
        <v>398</v>
      </c>
      <c r="O572" s="5" t="s">
        <v>157</v>
      </c>
      <c r="P572" s="5" t="s">
        <v>215</v>
      </c>
      <c r="Q572" s="5" t="s">
        <v>6284</v>
      </c>
      <c r="R572" s="5" t="s">
        <v>6260</v>
      </c>
      <c r="S572" s="5" t="s">
        <v>6261</v>
      </c>
      <c r="T572" s="5" t="s">
        <v>606</v>
      </c>
      <c r="U572" s="5" t="n">
        <v>365</v>
      </c>
      <c r="V572" s="5" t="s">
        <v>6262</v>
      </c>
      <c r="W572" s="5" t="s">
        <v>6263</v>
      </c>
      <c r="X572" s="5" t="s">
        <v>6644</v>
      </c>
      <c r="Y572" s="5" t="s">
        <v>6645</v>
      </c>
      <c r="Z572" s="5" t="s">
        <v>6646</v>
      </c>
      <c r="AA572" s="5"/>
      <c r="AB572" s="5"/>
      <c r="AC572" s="5"/>
      <c r="AD572" s="5"/>
      <c r="AE572" s="5"/>
      <c r="AF572" s="5" t="s">
        <v>6647</v>
      </c>
      <c r="AG572" s="5" t="s">
        <v>6647</v>
      </c>
      <c r="AH572" s="5"/>
      <c r="AI572" s="5"/>
      <c r="AJ572" s="5"/>
      <c r="AK572" s="5"/>
      <c r="AL572" s="5" t="s">
        <v>6647</v>
      </c>
      <c r="AM572" s="5"/>
      <c r="AN572" s="5"/>
      <c r="AO572" s="5"/>
      <c r="AP572" s="5"/>
      <c r="AQ572" s="5" t="s">
        <v>6647</v>
      </c>
      <c r="AR572" s="5" t="s">
        <v>6276</v>
      </c>
      <c r="AS572" s="5"/>
      <c r="AT572" s="5"/>
      <c r="AU572" s="5"/>
      <c r="AV572" s="5"/>
      <c r="AW572" s="5" t="s">
        <v>6648</v>
      </c>
    </row>
    <row r="573" customFormat="false" ht="202.95" hidden="false" customHeight="false" outlineLevel="0" collapsed="false">
      <c r="A573" s="5" t="s">
        <v>6649</v>
      </c>
      <c r="B573" s="5" t="s">
        <v>6650</v>
      </c>
      <c r="C573" s="5" t="s">
        <v>6651</v>
      </c>
      <c r="D573" s="5" t="s">
        <v>6652</v>
      </c>
      <c r="E573" s="5" t="s">
        <v>149</v>
      </c>
      <c r="F573" s="5" t="s">
        <v>6653</v>
      </c>
      <c r="G573" s="5" t="s">
        <v>6654</v>
      </c>
      <c r="H573" s="5" t="n">
        <v>10</v>
      </c>
      <c r="I573" s="5" t="s">
        <v>152</v>
      </c>
      <c r="J573" s="5" t="s">
        <v>153</v>
      </c>
      <c r="K573" s="5" t="s">
        <v>6655</v>
      </c>
      <c r="L573" s="5" t="s">
        <v>30</v>
      </c>
      <c r="M573" s="5" t="s">
        <v>155</v>
      </c>
      <c r="N573" s="5" t="s">
        <v>6656</v>
      </c>
      <c r="O573" s="5" t="s">
        <v>6657</v>
      </c>
      <c r="P573" s="5" t="s">
        <v>158</v>
      </c>
      <c r="Q573" s="5" t="s">
        <v>159</v>
      </c>
      <c r="R573" s="5" t="s">
        <v>6658</v>
      </c>
      <c r="S573" s="5" t="s">
        <v>6659</v>
      </c>
      <c r="T573" s="5" t="s">
        <v>162</v>
      </c>
      <c r="U573" s="5" t="n">
        <v>365</v>
      </c>
      <c r="V573" s="5" t="s">
        <v>6660</v>
      </c>
      <c r="W573" s="5" t="s">
        <v>6661</v>
      </c>
      <c r="X573" s="5" t="s">
        <v>6662</v>
      </c>
      <c r="Y573" s="5" t="s">
        <v>6663</v>
      </c>
      <c r="Z573" s="5" t="s">
        <v>6664</v>
      </c>
      <c r="AA573" s="5"/>
      <c r="AB573" s="5"/>
      <c r="AC573" s="5"/>
      <c r="AD573" s="5"/>
      <c r="AE573" s="5"/>
      <c r="AF573" s="5" t="s">
        <v>6665</v>
      </c>
      <c r="AG573" s="5" t="s">
        <v>6666</v>
      </c>
      <c r="AH573" s="5"/>
      <c r="AI573" s="5"/>
      <c r="AJ573" s="5"/>
      <c r="AK573" s="5" t="s">
        <v>1743</v>
      </c>
      <c r="AL573" s="5" t="s">
        <v>6665</v>
      </c>
      <c r="AM573" s="5"/>
      <c r="AN573" s="5"/>
      <c r="AO573" s="5" t="s">
        <v>6667</v>
      </c>
      <c r="AP573" s="5" t="s">
        <v>6668</v>
      </c>
      <c r="AQ573" s="5" t="s">
        <v>6665</v>
      </c>
      <c r="AR573" s="5" t="s">
        <v>6669</v>
      </c>
      <c r="AS573" s="5"/>
      <c r="AT573" s="5" t="s">
        <v>6670</v>
      </c>
      <c r="AU573" s="5"/>
      <c r="AV573" s="5" t="s">
        <v>178</v>
      </c>
      <c r="AW573" s="5" t="s">
        <v>6671</v>
      </c>
    </row>
    <row r="574" customFormat="false" ht="135.8" hidden="false" customHeight="false" outlineLevel="0" collapsed="false">
      <c r="A574" s="5" t="s">
        <v>6672</v>
      </c>
      <c r="B574" s="5" t="s">
        <v>6673</v>
      </c>
      <c r="C574" s="5" t="s">
        <v>6651</v>
      </c>
      <c r="D574" s="5" t="s">
        <v>6652</v>
      </c>
      <c r="E574" s="5" t="s">
        <v>514</v>
      </c>
      <c r="F574" s="5" t="s">
        <v>6674</v>
      </c>
      <c r="G574" s="5" t="s">
        <v>6675</v>
      </c>
      <c r="H574" s="5" t="n">
        <v>3</v>
      </c>
      <c r="I574" s="5" t="s">
        <v>274</v>
      </c>
      <c r="J574" s="5" t="s">
        <v>153</v>
      </c>
      <c r="K574" s="5" t="s">
        <v>6676</v>
      </c>
      <c r="L574" s="5" t="s">
        <v>30</v>
      </c>
      <c r="M574" s="5" t="s">
        <v>155</v>
      </c>
      <c r="N574" s="5" t="s">
        <v>6677</v>
      </c>
      <c r="O574" s="5" t="s">
        <v>6657</v>
      </c>
      <c r="P574" s="5" t="s">
        <v>641</v>
      </c>
      <c r="Q574" s="5" t="s">
        <v>461</v>
      </c>
      <c r="R574" s="5" t="s">
        <v>6658</v>
      </c>
      <c r="S574" s="5" t="s">
        <v>6659</v>
      </c>
      <c r="T574" s="5" t="s">
        <v>277</v>
      </c>
      <c r="U574" s="5" t="n">
        <v>365</v>
      </c>
      <c r="V574" s="5" t="s">
        <v>6660</v>
      </c>
      <c r="W574" s="5" t="s">
        <v>6661</v>
      </c>
      <c r="X574" s="5" t="s">
        <v>6678</v>
      </c>
      <c r="Y574" s="5" t="s">
        <v>6679</v>
      </c>
      <c r="Z574" s="5" t="s">
        <v>6680</v>
      </c>
      <c r="AA574" s="5"/>
      <c r="AB574" s="5"/>
      <c r="AC574" s="5"/>
      <c r="AD574" s="5"/>
      <c r="AE574" s="5"/>
      <c r="AF574" s="5" t="s">
        <v>6681</v>
      </c>
      <c r="AG574" s="5" t="s">
        <v>6681</v>
      </c>
      <c r="AH574" s="5"/>
      <c r="AI574" s="5"/>
      <c r="AJ574" s="5"/>
      <c r="AK574" s="5"/>
      <c r="AL574" s="5" t="s">
        <v>6681</v>
      </c>
      <c r="AM574" s="5"/>
      <c r="AN574" s="5"/>
      <c r="AO574" s="5"/>
      <c r="AP574" s="5" t="s">
        <v>6682</v>
      </c>
      <c r="AQ574" s="5" t="s">
        <v>6681</v>
      </c>
      <c r="AR574" s="5" t="s">
        <v>175</v>
      </c>
      <c r="AS574" s="5"/>
      <c r="AT574" s="5"/>
      <c r="AU574" s="5"/>
      <c r="AV574" s="5"/>
      <c r="AW574" s="5" t="s">
        <v>6683</v>
      </c>
    </row>
    <row r="575" customFormat="false" ht="135.8" hidden="false" customHeight="false" outlineLevel="0" collapsed="false">
      <c r="A575" s="5" t="s">
        <v>6684</v>
      </c>
      <c r="B575" s="5" t="s">
        <v>6685</v>
      </c>
      <c r="C575" s="5" t="s">
        <v>6651</v>
      </c>
      <c r="D575" s="5" t="s">
        <v>6652</v>
      </c>
      <c r="E575" s="5" t="s">
        <v>514</v>
      </c>
      <c r="F575" s="5" t="s">
        <v>6686</v>
      </c>
      <c r="G575" s="5" t="s">
        <v>6687</v>
      </c>
      <c r="H575" s="5" t="n">
        <v>2</v>
      </c>
      <c r="I575" s="5" t="s">
        <v>152</v>
      </c>
      <c r="J575" s="5" t="s">
        <v>153</v>
      </c>
      <c r="K575" s="5"/>
      <c r="L575" s="5" t="s">
        <v>85</v>
      </c>
      <c r="M575" s="5" t="s">
        <v>185</v>
      </c>
      <c r="N575" s="5" t="s">
        <v>3133</v>
      </c>
      <c r="O575" s="5" t="s">
        <v>214</v>
      </c>
      <c r="P575" s="5" t="s">
        <v>641</v>
      </c>
      <c r="Q575" s="5" t="s">
        <v>461</v>
      </c>
      <c r="R575" s="5" t="s">
        <v>6658</v>
      </c>
      <c r="S575" s="5" t="s">
        <v>6659</v>
      </c>
      <c r="T575" s="5" t="s">
        <v>162</v>
      </c>
      <c r="U575" s="5" t="n">
        <v>365</v>
      </c>
      <c r="V575" s="5" t="s">
        <v>6660</v>
      </c>
      <c r="W575" s="5" t="s">
        <v>6661</v>
      </c>
      <c r="X575" s="5" t="s">
        <v>6688</v>
      </c>
      <c r="Y575" s="5" t="s">
        <v>6689</v>
      </c>
      <c r="Z575" s="5" t="s">
        <v>6690</v>
      </c>
      <c r="AA575" s="5"/>
      <c r="AB575" s="5"/>
      <c r="AC575" s="5"/>
      <c r="AD575" s="5"/>
      <c r="AE575" s="5"/>
      <c r="AF575" s="5" t="s">
        <v>6691</v>
      </c>
      <c r="AG575" s="5"/>
      <c r="AH575" s="5"/>
      <c r="AI575" s="5"/>
      <c r="AJ575" s="5"/>
      <c r="AK575" s="5"/>
      <c r="AL575" s="5" t="s">
        <v>6691</v>
      </c>
      <c r="AM575" s="5"/>
      <c r="AN575" s="5"/>
      <c r="AO575" s="5"/>
      <c r="AP575" s="5" t="s">
        <v>6692</v>
      </c>
      <c r="AQ575" s="5" t="s">
        <v>6691</v>
      </c>
      <c r="AR575" s="5" t="s">
        <v>6693</v>
      </c>
      <c r="AS575" s="5"/>
      <c r="AT575" s="5"/>
      <c r="AU575" s="5"/>
      <c r="AV575" s="5"/>
      <c r="AW575" s="5" t="s">
        <v>6671</v>
      </c>
    </row>
    <row r="576" customFormat="false" ht="169.4" hidden="false" customHeight="false" outlineLevel="0" collapsed="false">
      <c r="A576" s="5" t="s">
        <v>6694</v>
      </c>
      <c r="B576" s="5" t="s">
        <v>6695</v>
      </c>
      <c r="C576" s="5" t="s">
        <v>6651</v>
      </c>
      <c r="D576" s="5" t="s">
        <v>6652</v>
      </c>
      <c r="E576" s="5" t="s">
        <v>514</v>
      </c>
      <c r="F576" s="5" t="s">
        <v>6696</v>
      </c>
      <c r="G576" s="5" t="s">
        <v>6697</v>
      </c>
      <c r="H576" s="5" t="n">
        <v>5</v>
      </c>
      <c r="I576" s="5" t="s">
        <v>152</v>
      </c>
      <c r="J576" s="5" t="s">
        <v>153</v>
      </c>
      <c r="K576" s="5"/>
      <c r="L576" s="5" t="s">
        <v>30</v>
      </c>
      <c r="M576" s="5" t="s">
        <v>155</v>
      </c>
      <c r="N576" s="5" t="s">
        <v>6677</v>
      </c>
      <c r="O576" s="5" t="s">
        <v>6657</v>
      </c>
      <c r="P576" s="5" t="s">
        <v>641</v>
      </c>
      <c r="Q576" s="5" t="s">
        <v>461</v>
      </c>
      <c r="R576" s="5" t="s">
        <v>6658</v>
      </c>
      <c r="S576" s="5" t="s">
        <v>6659</v>
      </c>
      <c r="T576" s="5" t="s">
        <v>162</v>
      </c>
      <c r="U576" s="5" t="n">
        <v>365</v>
      </c>
      <c r="V576" s="5" t="s">
        <v>6660</v>
      </c>
      <c r="W576" s="5" t="s">
        <v>6661</v>
      </c>
      <c r="X576" s="5" t="s">
        <v>6698</v>
      </c>
      <c r="Y576" s="5" t="s">
        <v>6699</v>
      </c>
      <c r="Z576" s="5" t="s">
        <v>6700</v>
      </c>
      <c r="AA576" s="5"/>
      <c r="AB576" s="5"/>
      <c r="AC576" s="5"/>
      <c r="AD576" s="5"/>
      <c r="AE576" s="5"/>
      <c r="AF576" s="5" t="s">
        <v>6701</v>
      </c>
      <c r="AG576" s="5" t="s">
        <v>6701</v>
      </c>
      <c r="AH576" s="5"/>
      <c r="AI576" s="5"/>
      <c r="AJ576" s="5"/>
      <c r="AK576" s="5"/>
      <c r="AL576" s="5" t="s">
        <v>6701</v>
      </c>
      <c r="AM576" s="5"/>
      <c r="AN576" s="5"/>
      <c r="AO576" s="5"/>
      <c r="AP576" s="5" t="s">
        <v>6702</v>
      </c>
      <c r="AQ576" s="5" t="s">
        <v>6701</v>
      </c>
      <c r="AR576" s="5" t="s">
        <v>175</v>
      </c>
      <c r="AS576" s="5"/>
      <c r="AT576" s="5" t="s">
        <v>6703</v>
      </c>
      <c r="AU576" s="5"/>
      <c r="AV576" s="5"/>
      <c r="AW576" s="5" t="s">
        <v>6671</v>
      </c>
    </row>
    <row r="577" customFormat="false" ht="113.4" hidden="false" customHeight="false" outlineLevel="0" collapsed="false">
      <c r="A577" s="5" t="s">
        <v>6704</v>
      </c>
      <c r="B577" s="5" t="s">
        <v>6705</v>
      </c>
      <c r="C577" s="5" t="s">
        <v>6651</v>
      </c>
      <c r="D577" s="5" t="s">
        <v>6652</v>
      </c>
      <c r="E577" s="5" t="s">
        <v>514</v>
      </c>
      <c r="F577" s="5" t="s">
        <v>6706</v>
      </c>
      <c r="G577" s="5" t="s">
        <v>6707</v>
      </c>
      <c r="H577" s="5" t="n">
        <v>7</v>
      </c>
      <c r="I577" s="5" t="s">
        <v>274</v>
      </c>
      <c r="J577" s="5" t="s">
        <v>153</v>
      </c>
      <c r="K577" s="5" t="s">
        <v>6708</v>
      </c>
      <c r="L577" s="5" t="s">
        <v>85</v>
      </c>
      <c r="M577" s="5" t="s">
        <v>185</v>
      </c>
      <c r="N577" s="5" t="s">
        <v>84</v>
      </c>
      <c r="O577" s="5" t="s">
        <v>214</v>
      </c>
      <c r="P577" s="5" t="s">
        <v>641</v>
      </c>
      <c r="Q577" s="5" t="s">
        <v>461</v>
      </c>
      <c r="R577" s="5" t="s">
        <v>6658</v>
      </c>
      <c r="S577" s="5" t="s">
        <v>6659</v>
      </c>
      <c r="T577" s="5" t="s">
        <v>277</v>
      </c>
      <c r="U577" s="5" t="n">
        <v>365</v>
      </c>
      <c r="V577" s="5" t="s">
        <v>6660</v>
      </c>
      <c r="W577" s="5" t="s">
        <v>6661</v>
      </c>
      <c r="X577" s="5" t="s">
        <v>6709</v>
      </c>
      <c r="Y577" s="5" t="s">
        <v>6710</v>
      </c>
      <c r="Z577" s="5" t="s">
        <v>6711</v>
      </c>
      <c r="AA577" s="5"/>
      <c r="AB577" s="5"/>
      <c r="AC577" s="5"/>
      <c r="AD577" s="5"/>
      <c r="AE577" s="5"/>
      <c r="AF577" s="5"/>
      <c r="AG577" s="5"/>
      <c r="AH577" s="5"/>
      <c r="AI577" s="5"/>
      <c r="AJ577" s="5"/>
      <c r="AK577" s="5"/>
      <c r="AL577" s="5"/>
      <c r="AM577" s="5"/>
      <c r="AN577" s="5"/>
      <c r="AO577" s="5"/>
      <c r="AP577" s="5" t="s">
        <v>6712</v>
      </c>
      <c r="AQ577" s="5"/>
      <c r="AR577" s="5"/>
      <c r="AS577" s="5"/>
      <c r="AT577" s="5"/>
      <c r="AU577" s="5"/>
      <c r="AV577" s="5"/>
      <c r="AW577" s="5" t="s">
        <v>6713</v>
      </c>
    </row>
    <row r="578" customFormat="false" ht="113.4" hidden="false" customHeight="false" outlineLevel="0" collapsed="false">
      <c r="A578" s="5" t="s">
        <v>6714</v>
      </c>
      <c r="B578" s="5" t="s">
        <v>6715</v>
      </c>
      <c r="C578" s="5" t="s">
        <v>6651</v>
      </c>
      <c r="D578" s="5" t="s">
        <v>6652</v>
      </c>
      <c r="E578" s="5" t="s">
        <v>626</v>
      </c>
      <c r="F578" s="5" t="s">
        <v>6716</v>
      </c>
      <c r="G578" s="5" t="s">
        <v>6717</v>
      </c>
      <c r="H578" s="5" t="n">
        <v>7</v>
      </c>
      <c r="I578" s="5" t="s">
        <v>152</v>
      </c>
      <c r="J578" s="5" t="s">
        <v>153</v>
      </c>
      <c r="K578" s="5"/>
      <c r="L578" s="5" t="s">
        <v>85</v>
      </c>
      <c r="M578" s="5" t="s">
        <v>185</v>
      </c>
      <c r="N578" s="5" t="s">
        <v>84</v>
      </c>
      <c r="O578" s="5" t="s">
        <v>214</v>
      </c>
      <c r="P578" s="5" t="s">
        <v>215</v>
      </c>
      <c r="Q578" s="5" t="s">
        <v>461</v>
      </c>
      <c r="R578" s="5" t="s">
        <v>6658</v>
      </c>
      <c r="S578" s="5" t="s">
        <v>6659</v>
      </c>
      <c r="T578" s="5" t="s">
        <v>162</v>
      </c>
      <c r="U578" s="5" t="n">
        <v>365</v>
      </c>
      <c r="V578" s="5" t="s">
        <v>6660</v>
      </c>
      <c r="W578" s="5" t="s">
        <v>6661</v>
      </c>
      <c r="X578" s="5" t="s">
        <v>6718</v>
      </c>
      <c r="Y578" s="5" t="s">
        <v>6719</v>
      </c>
      <c r="Z578" s="5" t="s">
        <v>6720</v>
      </c>
      <c r="AA578" s="5"/>
      <c r="AB578" s="5"/>
      <c r="AC578" s="5"/>
      <c r="AD578" s="5"/>
      <c r="AE578" s="5"/>
      <c r="AF578" s="5"/>
      <c r="AG578" s="5"/>
      <c r="AH578" s="5"/>
      <c r="AI578" s="5"/>
      <c r="AJ578" s="5"/>
      <c r="AK578" s="5"/>
      <c r="AL578" s="5"/>
      <c r="AM578" s="5"/>
      <c r="AN578" s="5"/>
      <c r="AO578" s="5"/>
      <c r="AP578" s="5" t="s">
        <v>6682</v>
      </c>
      <c r="AQ578" s="5"/>
      <c r="AR578" s="5"/>
      <c r="AS578" s="5"/>
      <c r="AT578" s="5"/>
      <c r="AU578" s="5"/>
      <c r="AV578" s="5"/>
      <c r="AW578" s="5" t="s">
        <v>6721</v>
      </c>
    </row>
    <row r="579" customFormat="false" ht="147" hidden="false" customHeight="false" outlineLevel="0" collapsed="false">
      <c r="A579" s="5" t="s">
        <v>6722</v>
      </c>
      <c r="B579" s="5" t="s">
        <v>6723</v>
      </c>
      <c r="C579" s="5" t="s">
        <v>6651</v>
      </c>
      <c r="D579" s="5" t="s">
        <v>6652</v>
      </c>
      <c r="E579" s="5" t="s">
        <v>626</v>
      </c>
      <c r="F579" s="5" t="s">
        <v>6724</v>
      </c>
      <c r="G579" s="5" t="s">
        <v>6725</v>
      </c>
      <c r="H579" s="5" t="n">
        <v>9</v>
      </c>
      <c r="I579" s="5" t="s">
        <v>152</v>
      </c>
      <c r="J579" s="5" t="s">
        <v>153</v>
      </c>
      <c r="K579" s="5"/>
      <c r="L579" s="5" t="s">
        <v>85</v>
      </c>
      <c r="M579" s="5" t="s">
        <v>185</v>
      </c>
      <c r="N579" s="5" t="s">
        <v>84</v>
      </c>
      <c r="O579" s="5" t="s">
        <v>214</v>
      </c>
      <c r="P579" s="5" t="s">
        <v>215</v>
      </c>
      <c r="Q579" s="5" t="s">
        <v>461</v>
      </c>
      <c r="R579" s="5" t="s">
        <v>6658</v>
      </c>
      <c r="S579" s="5" t="s">
        <v>6659</v>
      </c>
      <c r="T579" s="5" t="s">
        <v>162</v>
      </c>
      <c r="U579" s="5" t="n">
        <v>365</v>
      </c>
      <c r="V579" s="5" t="s">
        <v>6660</v>
      </c>
      <c r="W579" s="5" t="s">
        <v>6661</v>
      </c>
      <c r="X579" s="5" t="s">
        <v>6726</v>
      </c>
      <c r="Y579" s="5" t="s">
        <v>6727</v>
      </c>
      <c r="Z579" s="5" t="s">
        <v>6728</v>
      </c>
      <c r="AA579" s="5"/>
      <c r="AB579" s="5"/>
      <c r="AC579" s="5"/>
      <c r="AD579" s="5"/>
      <c r="AE579" s="5"/>
      <c r="AF579" s="5"/>
      <c r="AG579" s="5"/>
      <c r="AH579" s="5"/>
      <c r="AI579" s="5"/>
      <c r="AJ579" s="5"/>
      <c r="AK579" s="5"/>
      <c r="AL579" s="5"/>
      <c r="AM579" s="5"/>
      <c r="AN579" s="5"/>
      <c r="AO579" s="5"/>
      <c r="AP579" s="5" t="s">
        <v>6729</v>
      </c>
      <c r="AQ579" s="5"/>
      <c r="AR579" s="5"/>
      <c r="AS579" s="5"/>
      <c r="AT579" s="5"/>
      <c r="AU579" s="5"/>
      <c r="AV579" s="5"/>
      <c r="AW579" s="5" t="s">
        <v>6730</v>
      </c>
    </row>
    <row r="580" customFormat="false" ht="124.6" hidden="false" customHeight="false" outlineLevel="0" collapsed="false">
      <c r="A580" s="5" t="s">
        <v>6731</v>
      </c>
      <c r="B580" s="5" t="s">
        <v>6732</v>
      </c>
      <c r="C580" s="5" t="s">
        <v>6651</v>
      </c>
      <c r="D580" s="5" t="s">
        <v>6652</v>
      </c>
      <c r="E580" s="5" t="s">
        <v>626</v>
      </c>
      <c r="F580" s="5" t="s">
        <v>6733</v>
      </c>
      <c r="G580" s="5" t="s">
        <v>6734</v>
      </c>
      <c r="H580" s="5" t="n">
        <v>7</v>
      </c>
      <c r="I580" s="5" t="s">
        <v>152</v>
      </c>
      <c r="J580" s="5" t="s">
        <v>153</v>
      </c>
      <c r="K580" s="5"/>
      <c r="L580" s="5" t="s">
        <v>85</v>
      </c>
      <c r="M580" s="5" t="s">
        <v>185</v>
      </c>
      <c r="N580" s="5" t="s">
        <v>84</v>
      </c>
      <c r="O580" s="5" t="s">
        <v>214</v>
      </c>
      <c r="P580" s="5" t="s">
        <v>215</v>
      </c>
      <c r="Q580" s="5" t="s">
        <v>461</v>
      </c>
      <c r="R580" s="5" t="s">
        <v>6658</v>
      </c>
      <c r="S580" s="5" t="s">
        <v>6659</v>
      </c>
      <c r="T580" s="5" t="s">
        <v>162</v>
      </c>
      <c r="U580" s="5" t="n">
        <v>365</v>
      </c>
      <c r="V580" s="5" t="s">
        <v>6660</v>
      </c>
      <c r="W580" s="5" t="s">
        <v>6661</v>
      </c>
      <c r="X580" s="5" t="s">
        <v>6735</v>
      </c>
      <c r="Y580" s="5" t="s">
        <v>6736</v>
      </c>
      <c r="Z580" s="5" t="s">
        <v>6737</v>
      </c>
      <c r="AA580" s="5"/>
      <c r="AB580" s="5"/>
      <c r="AC580" s="5"/>
      <c r="AD580" s="5"/>
      <c r="AE580" s="5"/>
      <c r="AF580" s="5"/>
      <c r="AG580" s="5"/>
      <c r="AH580" s="5"/>
      <c r="AI580" s="5"/>
      <c r="AJ580" s="5"/>
      <c r="AK580" s="5"/>
      <c r="AL580" s="5"/>
      <c r="AM580" s="5"/>
      <c r="AN580" s="5"/>
      <c r="AO580" s="5"/>
      <c r="AP580" s="5" t="s">
        <v>6738</v>
      </c>
      <c r="AQ580" s="5"/>
      <c r="AR580" s="5"/>
      <c r="AS580" s="5"/>
      <c r="AT580" s="5"/>
      <c r="AU580" s="5"/>
      <c r="AV580" s="5"/>
      <c r="AW580" s="5" t="s">
        <v>6739</v>
      </c>
    </row>
    <row r="581" customFormat="false" ht="191.75" hidden="false" customHeight="false" outlineLevel="0" collapsed="false">
      <c r="A581" s="5" t="s">
        <v>6740</v>
      </c>
      <c r="B581" s="5" t="s">
        <v>6741</v>
      </c>
      <c r="C581" s="5" t="s">
        <v>6651</v>
      </c>
      <c r="D581" s="5" t="s">
        <v>6652</v>
      </c>
      <c r="E581" s="5" t="s">
        <v>514</v>
      </c>
      <c r="F581" s="5" t="s">
        <v>6742</v>
      </c>
      <c r="G581" s="5" t="s">
        <v>6743</v>
      </c>
      <c r="H581" s="5" t="n">
        <v>7</v>
      </c>
      <c r="I581" s="5" t="s">
        <v>152</v>
      </c>
      <c r="J581" s="5" t="s">
        <v>153</v>
      </c>
      <c r="K581" s="5" t="s">
        <v>6744</v>
      </c>
      <c r="L581" s="5" t="s">
        <v>30</v>
      </c>
      <c r="M581" s="5" t="s">
        <v>155</v>
      </c>
      <c r="N581" s="5" t="s">
        <v>6677</v>
      </c>
      <c r="O581" s="5" t="s">
        <v>6657</v>
      </c>
      <c r="P581" s="5" t="s">
        <v>158</v>
      </c>
      <c r="Q581" s="5" t="s">
        <v>461</v>
      </c>
      <c r="R581" s="5" t="s">
        <v>6658</v>
      </c>
      <c r="S581" s="5" t="s">
        <v>6659</v>
      </c>
      <c r="T581" s="5" t="s">
        <v>162</v>
      </c>
      <c r="U581" s="5" t="n">
        <v>365</v>
      </c>
      <c r="V581" s="5" t="s">
        <v>6660</v>
      </c>
      <c r="W581" s="5" t="s">
        <v>6661</v>
      </c>
      <c r="X581" s="5" t="s">
        <v>6745</v>
      </c>
      <c r="Y581" s="5" t="s">
        <v>6746</v>
      </c>
      <c r="Z581" s="5" t="s">
        <v>6747</v>
      </c>
      <c r="AA581" s="5"/>
      <c r="AB581" s="5"/>
      <c r="AC581" s="5"/>
      <c r="AD581" s="5"/>
      <c r="AE581" s="5"/>
      <c r="AF581" s="5" t="s">
        <v>6748</v>
      </c>
      <c r="AG581" s="5" t="s">
        <v>6749</v>
      </c>
      <c r="AH581" s="5"/>
      <c r="AI581" s="5"/>
      <c r="AJ581" s="5"/>
      <c r="AK581" s="5"/>
      <c r="AL581" s="5" t="s">
        <v>6748</v>
      </c>
      <c r="AM581" s="5"/>
      <c r="AN581" s="5"/>
      <c r="AO581" s="5"/>
      <c r="AP581" s="5" t="s">
        <v>6750</v>
      </c>
      <c r="AQ581" s="5" t="s">
        <v>6748</v>
      </c>
      <c r="AR581" s="5" t="s">
        <v>6669</v>
      </c>
      <c r="AS581" s="5"/>
      <c r="AT581" s="5" t="s">
        <v>6751</v>
      </c>
      <c r="AU581" s="5"/>
      <c r="AV581" s="5"/>
      <c r="AW581" s="5" t="s">
        <v>3150</v>
      </c>
    </row>
    <row r="582" customFormat="false" ht="169.4" hidden="false" customHeight="false" outlineLevel="0" collapsed="false">
      <c r="A582" s="5" t="s">
        <v>6752</v>
      </c>
      <c r="B582" s="5" t="s">
        <v>6753</v>
      </c>
      <c r="C582" s="5" t="s">
        <v>6651</v>
      </c>
      <c r="D582" s="5" t="s">
        <v>6652</v>
      </c>
      <c r="E582" s="5" t="s">
        <v>514</v>
      </c>
      <c r="F582" s="5" t="s">
        <v>6754</v>
      </c>
      <c r="G582" s="5" t="s">
        <v>6755</v>
      </c>
      <c r="H582" s="5" t="n">
        <v>7</v>
      </c>
      <c r="I582" s="5" t="s">
        <v>152</v>
      </c>
      <c r="J582" s="5" t="s">
        <v>153</v>
      </c>
      <c r="K582" s="5"/>
      <c r="L582" s="5" t="s">
        <v>85</v>
      </c>
      <c r="M582" s="5" t="s">
        <v>185</v>
      </c>
      <c r="N582" s="5" t="s">
        <v>3133</v>
      </c>
      <c r="O582" s="5" t="s">
        <v>214</v>
      </c>
      <c r="P582" s="5" t="s">
        <v>641</v>
      </c>
      <c r="Q582" s="5" t="s">
        <v>461</v>
      </c>
      <c r="R582" s="5" t="s">
        <v>6658</v>
      </c>
      <c r="S582" s="5" t="s">
        <v>6659</v>
      </c>
      <c r="T582" s="5" t="s">
        <v>162</v>
      </c>
      <c r="U582" s="5" t="n">
        <v>365</v>
      </c>
      <c r="V582" s="5" t="s">
        <v>6660</v>
      </c>
      <c r="W582" s="5" t="s">
        <v>6661</v>
      </c>
      <c r="X582" s="5" t="s">
        <v>6756</v>
      </c>
      <c r="Y582" s="5" t="s">
        <v>6757</v>
      </c>
      <c r="Z582" s="5" t="s">
        <v>6758</v>
      </c>
      <c r="AA582" s="5"/>
      <c r="AB582" s="5"/>
      <c r="AC582" s="5"/>
      <c r="AD582" s="5"/>
      <c r="AE582" s="5"/>
      <c r="AF582" s="5" t="s">
        <v>6759</v>
      </c>
      <c r="AG582" s="5"/>
      <c r="AH582" s="5"/>
      <c r="AI582" s="5"/>
      <c r="AJ582" s="5"/>
      <c r="AK582" s="5"/>
      <c r="AL582" s="5" t="s">
        <v>6759</v>
      </c>
      <c r="AM582" s="5"/>
      <c r="AN582" s="5"/>
      <c r="AO582" s="5"/>
      <c r="AP582" s="5" t="s">
        <v>6692</v>
      </c>
      <c r="AQ582" s="5" t="s">
        <v>6759</v>
      </c>
      <c r="AR582" s="5" t="s">
        <v>6693</v>
      </c>
      <c r="AS582" s="5"/>
      <c r="AT582" s="5" t="s">
        <v>6751</v>
      </c>
      <c r="AU582" s="5"/>
      <c r="AV582" s="5"/>
      <c r="AW582" s="5" t="s">
        <v>3150</v>
      </c>
    </row>
    <row r="583" customFormat="false" ht="124.6" hidden="false" customHeight="false" outlineLevel="0" collapsed="false">
      <c r="A583" s="5" t="s">
        <v>6760</v>
      </c>
      <c r="B583" s="5" t="s">
        <v>6761</v>
      </c>
      <c r="C583" s="5" t="s">
        <v>6651</v>
      </c>
      <c r="D583" s="5" t="s">
        <v>6652</v>
      </c>
      <c r="E583" s="5" t="s">
        <v>514</v>
      </c>
      <c r="F583" s="5" t="s">
        <v>6762</v>
      </c>
      <c r="G583" s="5" t="s">
        <v>6763</v>
      </c>
      <c r="H583" s="5" t="n">
        <v>1</v>
      </c>
      <c r="I583" s="5" t="s">
        <v>603</v>
      </c>
      <c r="J583" s="5" t="s">
        <v>557</v>
      </c>
      <c r="K583" s="5"/>
      <c r="L583" s="5" t="s">
        <v>30</v>
      </c>
      <c r="M583" s="5" t="s">
        <v>155</v>
      </c>
      <c r="N583" s="5" t="s">
        <v>398</v>
      </c>
      <c r="O583" s="5" t="s">
        <v>6657</v>
      </c>
      <c r="P583" s="5" t="s">
        <v>641</v>
      </c>
      <c r="Q583" s="5" t="s">
        <v>461</v>
      </c>
      <c r="R583" s="5" t="s">
        <v>6658</v>
      </c>
      <c r="S583" s="5" t="s">
        <v>6659</v>
      </c>
      <c r="T583" s="5" t="s">
        <v>606</v>
      </c>
      <c r="U583" s="5" t="n">
        <v>90</v>
      </c>
      <c r="V583" s="5" t="s">
        <v>6660</v>
      </c>
      <c r="W583" s="5" t="s">
        <v>6661</v>
      </c>
      <c r="X583" s="5" t="s">
        <v>6764</v>
      </c>
      <c r="Y583" s="5" t="s">
        <v>6765</v>
      </c>
      <c r="Z583" s="5" t="s">
        <v>6766</v>
      </c>
      <c r="AA583" s="5"/>
      <c r="AB583" s="5"/>
      <c r="AC583" s="5"/>
      <c r="AD583" s="5"/>
      <c r="AE583" s="5"/>
      <c r="AF583" s="5" t="s">
        <v>6767</v>
      </c>
      <c r="AG583" s="5" t="s">
        <v>6768</v>
      </c>
      <c r="AH583" s="5"/>
      <c r="AI583" s="5"/>
      <c r="AJ583" s="5"/>
      <c r="AK583" s="5"/>
      <c r="AL583" s="5" t="s">
        <v>6767</v>
      </c>
      <c r="AM583" s="5"/>
      <c r="AN583" s="5"/>
      <c r="AO583" s="5"/>
      <c r="AP583" s="5"/>
      <c r="AQ583" s="5" t="s">
        <v>6769</v>
      </c>
      <c r="AR583" s="5" t="s">
        <v>6669</v>
      </c>
      <c r="AS583" s="5"/>
      <c r="AT583" s="5"/>
      <c r="AU583" s="5"/>
      <c r="AV583" s="5"/>
      <c r="AW583" s="5" t="s">
        <v>3150</v>
      </c>
    </row>
    <row r="584" customFormat="false" ht="236.55" hidden="false" customHeight="false" outlineLevel="0" collapsed="false">
      <c r="A584" s="5" t="s">
        <v>6770</v>
      </c>
      <c r="B584" s="5" t="s">
        <v>6771</v>
      </c>
      <c r="C584" s="5" t="s">
        <v>6651</v>
      </c>
      <c r="D584" s="5" t="s">
        <v>6652</v>
      </c>
      <c r="E584" s="5" t="s">
        <v>514</v>
      </c>
      <c r="F584" s="5" t="s">
        <v>6772</v>
      </c>
      <c r="G584" s="5" t="s">
        <v>6773</v>
      </c>
      <c r="H584" s="5" t="n">
        <v>1</v>
      </c>
      <c r="I584" s="5" t="s">
        <v>152</v>
      </c>
      <c r="J584" s="5" t="s">
        <v>153</v>
      </c>
      <c r="K584" s="5"/>
      <c r="L584" s="5" t="s">
        <v>30</v>
      </c>
      <c r="M584" s="5" t="s">
        <v>155</v>
      </c>
      <c r="N584" s="5" t="s">
        <v>398</v>
      </c>
      <c r="O584" s="5" t="s">
        <v>6657</v>
      </c>
      <c r="P584" s="5" t="s">
        <v>215</v>
      </c>
      <c r="Q584" s="5" t="s">
        <v>461</v>
      </c>
      <c r="R584" s="5" t="s">
        <v>6658</v>
      </c>
      <c r="S584" s="5" t="s">
        <v>6659</v>
      </c>
      <c r="T584" s="5" t="s">
        <v>162</v>
      </c>
      <c r="U584" s="5" t="n">
        <v>365</v>
      </c>
      <c r="V584" s="5" t="s">
        <v>6660</v>
      </c>
      <c r="W584" s="5" t="s">
        <v>6661</v>
      </c>
      <c r="X584" s="5" t="s">
        <v>6774</v>
      </c>
      <c r="Y584" s="5" t="s">
        <v>6775</v>
      </c>
      <c r="Z584" s="5" t="s">
        <v>6776</v>
      </c>
      <c r="AA584" s="5"/>
      <c r="AB584" s="5"/>
      <c r="AC584" s="5"/>
      <c r="AD584" s="5"/>
      <c r="AE584" s="5"/>
      <c r="AF584" s="5" t="s">
        <v>6777</v>
      </c>
      <c r="AG584" s="5" t="s">
        <v>6768</v>
      </c>
      <c r="AH584" s="5"/>
      <c r="AI584" s="5"/>
      <c r="AJ584" s="5"/>
      <c r="AK584" s="5"/>
      <c r="AL584" s="5" t="s">
        <v>6777</v>
      </c>
      <c r="AM584" s="5"/>
      <c r="AN584" s="5"/>
      <c r="AO584" s="5"/>
      <c r="AP584" s="5"/>
      <c r="AQ584" s="5" t="s">
        <v>6777</v>
      </c>
      <c r="AR584" s="5" t="s">
        <v>6669</v>
      </c>
      <c r="AS584" s="5"/>
      <c r="AT584" s="5"/>
      <c r="AU584" s="5"/>
      <c r="AV584" s="5"/>
      <c r="AW584" s="5" t="s">
        <v>3150</v>
      </c>
    </row>
    <row r="585" customFormat="false" ht="158.2" hidden="false" customHeight="false" outlineLevel="0" collapsed="false">
      <c r="A585" s="5" t="s">
        <v>6778</v>
      </c>
      <c r="B585" s="5" t="s">
        <v>6779</v>
      </c>
      <c r="C585" s="5" t="s">
        <v>6651</v>
      </c>
      <c r="D585" s="5" t="s">
        <v>6652</v>
      </c>
      <c r="E585" s="5" t="s">
        <v>514</v>
      </c>
      <c r="F585" s="5" t="s">
        <v>6780</v>
      </c>
      <c r="G585" s="5" t="s">
        <v>6781</v>
      </c>
      <c r="H585" s="5" t="n">
        <v>1</v>
      </c>
      <c r="I585" s="5" t="s">
        <v>152</v>
      </c>
      <c r="J585" s="5" t="s">
        <v>153</v>
      </c>
      <c r="K585" s="5"/>
      <c r="L585" s="5" t="s">
        <v>85</v>
      </c>
      <c r="M585" s="5" t="s">
        <v>185</v>
      </c>
      <c r="N585" s="5" t="s">
        <v>88</v>
      </c>
      <c r="O585" s="5" t="s">
        <v>214</v>
      </c>
      <c r="P585" s="5" t="s">
        <v>215</v>
      </c>
      <c r="Q585" s="5" t="s">
        <v>461</v>
      </c>
      <c r="R585" s="5" t="s">
        <v>6658</v>
      </c>
      <c r="S585" s="5" t="s">
        <v>6659</v>
      </c>
      <c r="T585" s="5" t="s">
        <v>162</v>
      </c>
      <c r="U585" s="5" t="n">
        <v>365</v>
      </c>
      <c r="V585" s="5" t="s">
        <v>6660</v>
      </c>
      <c r="W585" s="5" t="s">
        <v>6661</v>
      </c>
      <c r="X585" s="5" t="s">
        <v>6782</v>
      </c>
      <c r="Y585" s="5" t="s">
        <v>6783</v>
      </c>
      <c r="Z585" s="5" t="s">
        <v>6784</v>
      </c>
      <c r="AA585" s="5"/>
      <c r="AB585" s="5"/>
      <c r="AC585" s="5"/>
      <c r="AD585" s="5"/>
      <c r="AE585" s="5"/>
      <c r="AF585" s="5" t="s">
        <v>6785</v>
      </c>
      <c r="AG585" s="5"/>
      <c r="AH585" s="5"/>
      <c r="AI585" s="5"/>
      <c r="AJ585" s="5"/>
      <c r="AK585" s="5"/>
      <c r="AL585" s="5" t="s">
        <v>6785</v>
      </c>
      <c r="AM585" s="5"/>
      <c r="AN585" s="5"/>
      <c r="AO585" s="5"/>
      <c r="AP585" s="5"/>
      <c r="AQ585" s="5" t="s">
        <v>6785</v>
      </c>
      <c r="AR585" s="5" t="s">
        <v>6693</v>
      </c>
      <c r="AS585" s="5"/>
      <c r="AT585" s="5"/>
      <c r="AU585" s="5"/>
      <c r="AV585" s="5"/>
      <c r="AW585" s="5" t="s">
        <v>3150</v>
      </c>
    </row>
    <row r="586" customFormat="false" ht="113.4" hidden="false" customHeight="false" outlineLevel="0" collapsed="false">
      <c r="A586" s="5" t="s">
        <v>6786</v>
      </c>
      <c r="B586" s="5" t="s">
        <v>6787</v>
      </c>
      <c r="C586" s="5" t="s">
        <v>6651</v>
      </c>
      <c r="D586" s="5" t="s">
        <v>6652</v>
      </c>
      <c r="E586" s="5" t="s">
        <v>514</v>
      </c>
      <c r="F586" s="5" t="s">
        <v>6788</v>
      </c>
      <c r="G586" s="5" t="s">
        <v>6789</v>
      </c>
      <c r="H586" s="5" t="n">
        <v>1</v>
      </c>
      <c r="I586" s="5" t="s">
        <v>152</v>
      </c>
      <c r="J586" s="5" t="s">
        <v>153</v>
      </c>
      <c r="K586" s="5"/>
      <c r="L586" s="5" t="s">
        <v>85</v>
      </c>
      <c r="M586" s="5" t="s">
        <v>185</v>
      </c>
      <c r="N586" s="5" t="s">
        <v>88</v>
      </c>
      <c r="O586" s="5" t="s">
        <v>214</v>
      </c>
      <c r="P586" s="5" t="s">
        <v>215</v>
      </c>
      <c r="Q586" s="5" t="s">
        <v>461</v>
      </c>
      <c r="R586" s="5" t="s">
        <v>6658</v>
      </c>
      <c r="S586" s="5" t="s">
        <v>6659</v>
      </c>
      <c r="T586" s="5" t="s">
        <v>162</v>
      </c>
      <c r="U586" s="5" t="n">
        <v>365</v>
      </c>
      <c r="V586" s="5" t="s">
        <v>6660</v>
      </c>
      <c r="W586" s="5" t="s">
        <v>6661</v>
      </c>
      <c r="X586" s="5" t="s">
        <v>6790</v>
      </c>
      <c r="Y586" s="5" t="s">
        <v>6791</v>
      </c>
      <c r="Z586" s="5" t="s">
        <v>6792</v>
      </c>
      <c r="AA586" s="5"/>
      <c r="AB586" s="5"/>
      <c r="AC586" s="5"/>
      <c r="AD586" s="5"/>
      <c r="AE586" s="5"/>
      <c r="AF586" s="5" t="s">
        <v>6793</v>
      </c>
      <c r="AG586" s="5"/>
      <c r="AH586" s="5"/>
      <c r="AI586" s="5"/>
      <c r="AJ586" s="5"/>
      <c r="AK586" s="5"/>
      <c r="AL586" s="5" t="s">
        <v>6793</v>
      </c>
      <c r="AM586" s="5"/>
      <c r="AN586" s="5"/>
      <c r="AO586" s="5"/>
      <c r="AP586" s="5"/>
      <c r="AQ586" s="5" t="s">
        <v>6793</v>
      </c>
      <c r="AR586" s="5" t="s">
        <v>6693</v>
      </c>
      <c r="AS586" s="5"/>
      <c r="AT586" s="5"/>
      <c r="AU586" s="5"/>
      <c r="AV586" s="5"/>
      <c r="AW586" s="5" t="s">
        <v>3150</v>
      </c>
    </row>
    <row r="587" customFormat="false" ht="147" hidden="false" customHeight="false" outlineLevel="0" collapsed="false">
      <c r="A587" s="5" t="s">
        <v>6794</v>
      </c>
      <c r="B587" s="5" t="s">
        <v>6795</v>
      </c>
      <c r="C587" s="5" t="s">
        <v>6651</v>
      </c>
      <c r="D587" s="5" t="s">
        <v>6652</v>
      </c>
      <c r="E587" s="5" t="s">
        <v>514</v>
      </c>
      <c r="F587" s="5" t="s">
        <v>6796</v>
      </c>
      <c r="G587" s="5" t="s">
        <v>6797</v>
      </c>
      <c r="H587" s="5" t="n">
        <v>1</v>
      </c>
      <c r="I587" s="5" t="s">
        <v>152</v>
      </c>
      <c r="J587" s="5" t="s">
        <v>153</v>
      </c>
      <c r="K587" s="5"/>
      <c r="L587" s="5" t="s">
        <v>85</v>
      </c>
      <c r="M587" s="5" t="s">
        <v>185</v>
      </c>
      <c r="N587" s="5" t="s">
        <v>88</v>
      </c>
      <c r="O587" s="5" t="s">
        <v>214</v>
      </c>
      <c r="P587" s="5" t="s">
        <v>215</v>
      </c>
      <c r="Q587" s="5" t="s">
        <v>461</v>
      </c>
      <c r="R587" s="5" t="s">
        <v>6658</v>
      </c>
      <c r="S587" s="5" t="s">
        <v>6659</v>
      </c>
      <c r="T587" s="5" t="s">
        <v>162</v>
      </c>
      <c r="U587" s="5" t="n">
        <v>365</v>
      </c>
      <c r="V587" s="5" t="s">
        <v>6660</v>
      </c>
      <c r="W587" s="5" t="s">
        <v>6661</v>
      </c>
      <c r="X587" s="5" t="s">
        <v>6798</v>
      </c>
      <c r="Y587" s="5" t="s">
        <v>6799</v>
      </c>
      <c r="Z587" s="5" t="s">
        <v>6800</v>
      </c>
      <c r="AA587" s="5"/>
      <c r="AB587" s="5"/>
      <c r="AC587" s="5"/>
      <c r="AD587" s="5"/>
      <c r="AE587" s="5"/>
      <c r="AF587" s="5" t="s">
        <v>6801</v>
      </c>
      <c r="AG587" s="5"/>
      <c r="AH587" s="5"/>
      <c r="AI587" s="5"/>
      <c r="AJ587" s="5"/>
      <c r="AK587" s="5"/>
      <c r="AL587" s="5" t="s">
        <v>6801</v>
      </c>
      <c r="AM587" s="5"/>
      <c r="AN587" s="5"/>
      <c r="AO587" s="5"/>
      <c r="AP587" s="5"/>
      <c r="AQ587" s="5" t="s">
        <v>6801</v>
      </c>
      <c r="AR587" s="5" t="s">
        <v>6693</v>
      </c>
      <c r="AS587" s="5"/>
      <c r="AT587" s="5"/>
      <c r="AU587" s="5"/>
      <c r="AV587" s="5"/>
      <c r="AW587" s="5" t="s">
        <v>3150</v>
      </c>
    </row>
    <row r="588" customFormat="false" ht="124.6" hidden="false" customHeight="false" outlineLevel="0" collapsed="false">
      <c r="A588" s="5" t="s">
        <v>6802</v>
      </c>
      <c r="B588" s="5" t="s">
        <v>6803</v>
      </c>
      <c r="C588" s="5" t="s">
        <v>6651</v>
      </c>
      <c r="D588" s="5" t="s">
        <v>6652</v>
      </c>
      <c r="E588" s="5" t="s">
        <v>514</v>
      </c>
      <c r="F588" s="5" t="s">
        <v>6804</v>
      </c>
      <c r="G588" s="5" t="s">
        <v>6805</v>
      </c>
      <c r="H588" s="5" t="n">
        <v>7</v>
      </c>
      <c r="I588" s="5" t="s">
        <v>152</v>
      </c>
      <c r="J588" s="5" t="s">
        <v>652</v>
      </c>
      <c r="K588" s="5"/>
      <c r="L588" s="5" t="s">
        <v>85</v>
      </c>
      <c r="M588" s="5" t="s">
        <v>185</v>
      </c>
      <c r="N588" s="5" t="s">
        <v>3133</v>
      </c>
      <c r="O588" s="5" t="s">
        <v>214</v>
      </c>
      <c r="P588" s="5" t="s">
        <v>641</v>
      </c>
      <c r="Q588" s="5" t="s">
        <v>461</v>
      </c>
      <c r="R588" s="5" t="s">
        <v>6658</v>
      </c>
      <c r="S588" s="5" t="s">
        <v>6659</v>
      </c>
      <c r="T588" s="5" t="s">
        <v>162</v>
      </c>
      <c r="U588" s="5" t="n">
        <v>180</v>
      </c>
      <c r="V588" s="5" t="s">
        <v>6660</v>
      </c>
      <c r="W588" s="5" t="s">
        <v>6661</v>
      </c>
      <c r="X588" s="5" t="s">
        <v>6806</v>
      </c>
      <c r="Y588" s="5" t="s">
        <v>6807</v>
      </c>
      <c r="Z588" s="5" t="s">
        <v>6808</v>
      </c>
      <c r="AA588" s="5"/>
      <c r="AB588" s="5"/>
      <c r="AC588" s="5"/>
      <c r="AD588" s="5"/>
      <c r="AE588" s="5"/>
      <c r="AF588" s="5" t="s">
        <v>6809</v>
      </c>
      <c r="AG588" s="5"/>
      <c r="AH588" s="5"/>
      <c r="AI588" s="5"/>
      <c r="AJ588" s="5"/>
      <c r="AK588" s="5"/>
      <c r="AL588" s="5" t="s">
        <v>6809</v>
      </c>
      <c r="AM588" s="5"/>
      <c r="AN588" s="5"/>
      <c r="AO588" s="5"/>
      <c r="AP588" s="5" t="s">
        <v>6810</v>
      </c>
      <c r="AQ588" s="5" t="s">
        <v>6809</v>
      </c>
      <c r="AR588" s="5" t="s">
        <v>6693</v>
      </c>
      <c r="AS588" s="5"/>
      <c r="AT588" s="5" t="s">
        <v>6811</v>
      </c>
      <c r="AU588" s="5"/>
      <c r="AV588" s="5"/>
      <c r="AW588" s="5" t="s">
        <v>3150</v>
      </c>
    </row>
    <row r="589" customFormat="false" ht="113.4" hidden="false" customHeight="false" outlineLevel="0" collapsed="false">
      <c r="A589" s="5" t="s">
        <v>6812</v>
      </c>
      <c r="B589" s="5" t="s">
        <v>6813</v>
      </c>
      <c r="C589" s="5" t="s">
        <v>6651</v>
      </c>
      <c r="D589" s="5" t="s">
        <v>6652</v>
      </c>
      <c r="E589" s="5" t="s">
        <v>514</v>
      </c>
      <c r="F589" s="5" t="s">
        <v>6814</v>
      </c>
      <c r="G589" s="5" t="s">
        <v>6815</v>
      </c>
      <c r="H589" s="5" t="n">
        <v>1</v>
      </c>
      <c r="I589" s="5" t="s">
        <v>152</v>
      </c>
      <c r="J589" s="5" t="s">
        <v>153</v>
      </c>
      <c r="K589" s="5"/>
      <c r="L589" s="5" t="s">
        <v>85</v>
      </c>
      <c r="M589" s="5" t="s">
        <v>185</v>
      </c>
      <c r="N589" s="5" t="s">
        <v>84</v>
      </c>
      <c r="O589" s="5" t="s">
        <v>214</v>
      </c>
      <c r="P589" s="5" t="s">
        <v>641</v>
      </c>
      <c r="Q589" s="5" t="s">
        <v>461</v>
      </c>
      <c r="R589" s="5" t="s">
        <v>6658</v>
      </c>
      <c r="S589" s="5" t="s">
        <v>6659</v>
      </c>
      <c r="T589" s="5" t="s">
        <v>162</v>
      </c>
      <c r="U589" s="5" t="n">
        <v>365</v>
      </c>
      <c r="V589" s="5" t="s">
        <v>6660</v>
      </c>
      <c r="W589" s="5" t="s">
        <v>6661</v>
      </c>
      <c r="X589" s="5" t="s">
        <v>6816</v>
      </c>
      <c r="Y589" s="5" t="s">
        <v>6817</v>
      </c>
      <c r="Z589" s="5" t="s">
        <v>6818</v>
      </c>
      <c r="AA589" s="5"/>
      <c r="AB589" s="5"/>
      <c r="AC589" s="5"/>
      <c r="AD589" s="5"/>
      <c r="AE589" s="5"/>
      <c r="AF589" s="5" t="s">
        <v>6819</v>
      </c>
      <c r="AG589" s="5"/>
      <c r="AH589" s="5"/>
      <c r="AI589" s="5"/>
      <c r="AJ589" s="5"/>
      <c r="AK589" s="5"/>
      <c r="AL589" s="5" t="s">
        <v>6819</v>
      </c>
      <c r="AM589" s="5"/>
      <c r="AN589" s="5"/>
      <c r="AO589" s="5"/>
      <c r="AP589" s="5" t="s">
        <v>6820</v>
      </c>
      <c r="AQ589" s="5"/>
      <c r="AR589" s="5" t="s">
        <v>6693</v>
      </c>
      <c r="AS589" s="5"/>
      <c r="AT589" s="5"/>
      <c r="AU589" s="5"/>
      <c r="AV589" s="5"/>
      <c r="AW589" s="5" t="s">
        <v>3150</v>
      </c>
    </row>
    <row r="590" customFormat="false" ht="124.6" hidden="false" customHeight="false" outlineLevel="0" collapsed="false">
      <c r="A590" s="5" t="s">
        <v>6821</v>
      </c>
      <c r="B590" s="5" t="s">
        <v>6822</v>
      </c>
      <c r="C590" s="5" t="s">
        <v>6651</v>
      </c>
      <c r="D590" s="5" t="s">
        <v>6652</v>
      </c>
      <c r="E590" s="5" t="s">
        <v>514</v>
      </c>
      <c r="F590" s="5" t="s">
        <v>6823</v>
      </c>
      <c r="G590" s="5" t="s">
        <v>6824</v>
      </c>
      <c r="H590" s="5" t="n">
        <v>1</v>
      </c>
      <c r="I590" s="5" t="s">
        <v>152</v>
      </c>
      <c r="J590" s="5" t="s">
        <v>153</v>
      </c>
      <c r="K590" s="5"/>
      <c r="L590" s="5" t="s">
        <v>85</v>
      </c>
      <c r="M590" s="5" t="s">
        <v>185</v>
      </c>
      <c r="N590" s="5" t="s">
        <v>84</v>
      </c>
      <c r="O590" s="5" t="s">
        <v>214</v>
      </c>
      <c r="P590" s="5" t="s">
        <v>641</v>
      </c>
      <c r="Q590" s="5" t="s">
        <v>461</v>
      </c>
      <c r="R590" s="5" t="s">
        <v>6658</v>
      </c>
      <c r="S590" s="5" t="s">
        <v>6659</v>
      </c>
      <c r="T590" s="5" t="s">
        <v>162</v>
      </c>
      <c r="U590" s="5" t="n">
        <v>365</v>
      </c>
      <c r="V590" s="5" t="s">
        <v>6660</v>
      </c>
      <c r="W590" s="5" t="s">
        <v>6661</v>
      </c>
      <c r="X590" s="5" t="s">
        <v>6825</v>
      </c>
      <c r="Y590" s="5" t="s">
        <v>6826</v>
      </c>
      <c r="Z590" s="5" t="s">
        <v>6827</v>
      </c>
      <c r="AA590" s="5"/>
      <c r="AB590" s="5"/>
      <c r="AC590" s="5"/>
      <c r="AD590" s="5"/>
      <c r="AE590" s="5"/>
      <c r="AF590" s="5" t="s">
        <v>6828</v>
      </c>
      <c r="AG590" s="5"/>
      <c r="AH590" s="5"/>
      <c r="AI590" s="5"/>
      <c r="AJ590" s="5"/>
      <c r="AK590" s="5"/>
      <c r="AL590" s="5" t="s">
        <v>6828</v>
      </c>
      <c r="AM590" s="5"/>
      <c r="AN590" s="5"/>
      <c r="AO590" s="5"/>
      <c r="AP590" s="5" t="s">
        <v>6810</v>
      </c>
      <c r="AQ590" s="5"/>
      <c r="AR590" s="5" t="s">
        <v>6693</v>
      </c>
      <c r="AS590" s="5"/>
      <c r="AT590" s="5"/>
      <c r="AU590" s="5"/>
      <c r="AV590" s="5"/>
      <c r="AW590" s="5" t="s">
        <v>3150</v>
      </c>
    </row>
    <row r="591" customFormat="false" ht="113.4" hidden="false" customHeight="false" outlineLevel="0" collapsed="false">
      <c r="A591" s="5" t="s">
        <v>6829</v>
      </c>
      <c r="B591" s="5" t="s">
        <v>6830</v>
      </c>
      <c r="C591" s="5" t="s">
        <v>6651</v>
      </c>
      <c r="D591" s="5" t="s">
        <v>6652</v>
      </c>
      <c r="E591" s="5" t="s">
        <v>514</v>
      </c>
      <c r="F591" s="5" t="s">
        <v>6831</v>
      </c>
      <c r="G591" s="5" t="s">
        <v>6832</v>
      </c>
      <c r="H591" s="5" t="n">
        <v>7</v>
      </c>
      <c r="I591" s="5" t="s">
        <v>1221</v>
      </c>
      <c r="J591" s="5" t="s">
        <v>153</v>
      </c>
      <c r="K591" s="5" t="s">
        <v>6833</v>
      </c>
      <c r="L591" s="5" t="s">
        <v>85</v>
      </c>
      <c r="M591" s="5" t="s">
        <v>185</v>
      </c>
      <c r="N591" s="5" t="s">
        <v>88</v>
      </c>
      <c r="O591" s="5" t="s">
        <v>214</v>
      </c>
      <c r="P591" s="5" t="s">
        <v>158</v>
      </c>
      <c r="Q591" s="5" t="s">
        <v>461</v>
      </c>
      <c r="R591" s="5" t="s">
        <v>6658</v>
      </c>
      <c r="S591" s="5" t="s">
        <v>6659</v>
      </c>
      <c r="T591" s="5" t="s">
        <v>277</v>
      </c>
      <c r="U591" s="5" t="n">
        <v>365</v>
      </c>
      <c r="V591" s="5" t="s">
        <v>6660</v>
      </c>
      <c r="W591" s="5" t="s">
        <v>6661</v>
      </c>
      <c r="X591" s="5" t="s">
        <v>6834</v>
      </c>
      <c r="Y591" s="5" t="s">
        <v>6835</v>
      </c>
      <c r="Z591" s="5" t="s">
        <v>6836</v>
      </c>
      <c r="AA591" s="5"/>
      <c r="AB591" s="5"/>
      <c r="AC591" s="5"/>
      <c r="AD591" s="5"/>
      <c r="AE591" s="5"/>
      <c r="AF591" s="5" t="s">
        <v>6837</v>
      </c>
      <c r="AG591" s="5"/>
      <c r="AH591" s="5"/>
      <c r="AI591" s="5"/>
      <c r="AJ591" s="5"/>
      <c r="AK591" s="5"/>
      <c r="AL591" s="5" t="s">
        <v>6837</v>
      </c>
      <c r="AM591" s="5"/>
      <c r="AN591" s="5"/>
      <c r="AO591" s="5"/>
      <c r="AP591" s="5"/>
      <c r="AQ591" s="5" t="s">
        <v>6837</v>
      </c>
      <c r="AR591" s="5" t="s">
        <v>6693</v>
      </c>
      <c r="AS591" s="5"/>
      <c r="AT591" s="5" t="s">
        <v>6811</v>
      </c>
      <c r="AU591" s="5"/>
      <c r="AV591" s="5"/>
      <c r="AW591" s="5" t="s">
        <v>3150</v>
      </c>
    </row>
    <row r="592" customFormat="false" ht="113.4" hidden="false" customHeight="false" outlineLevel="0" collapsed="false">
      <c r="A592" s="5" t="s">
        <v>6838</v>
      </c>
      <c r="B592" s="5" t="s">
        <v>6839</v>
      </c>
      <c r="C592" s="5" t="s">
        <v>6651</v>
      </c>
      <c r="D592" s="5" t="s">
        <v>6652</v>
      </c>
      <c r="E592" s="5" t="s">
        <v>514</v>
      </c>
      <c r="F592" s="5" t="s">
        <v>6840</v>
      </c>
      <c r="G592" s="5" t="s">
        <v>6841</v>
      </c>
      <c r="H592" s="5" t="n">
        <v>7</v>
      </c>
      <c r="I592" s="5" t="s">
        <v>152</v>
      </c>
      <c r="J592" s="5" t="s">
        <v>153</v>
      </c>
      <c r="K592" s="5" t="s">
        <v>6833</v>
      </c>
      <c r="L592" s="5" t="s">
        <v>85</v>
      </c>
      <c r="M592" s="5" t="s">
        <v>185</v>
      </c>
      <c r="N592" s="5" t="s">
        <v>88</v>
      </c>
      <c r="O592" s="5" t="s">
        <v>214</v>
      </c>
      <c r="P592" s="5" t="s">
        <v>158</v>
      </c>
      <c r="Q592" s="5" t="s">
        <v>461</v>
      </c>
      <c r="R592" s="5" t="s">
        <v>6658</v>
      </c>
      <c r="S592" s="5" t="s">
        <v>6659</v>
      </c>
      <c r="T592" s="5" t="s">
        <v>162</v>
      </c>
      <c r="U592" s="5" t="n">
        <v>365</v>
      </c>
      <c r="V592" s="5" t="s">
        <v>6660</v>
      </c>
      <c r="W592" s="5" t="s">
        <v>6661</v>
      </c>
      <c r="X592" s="5" t="s">
        <v>6842</v>
      </c>
      <c r="Y592" s="5" t="s">
        <v>6843</v>
      </c>
      <c r="Z592" s="5" t="s">
        <v>6844</v>
      </c>
      <c r="AA592" s="5"/>
      <c r="AB592" s="5"/>
      <c r="AC592" s="5"/>
      <c r="AD592" s="5"/>
      <c r="AE592" s="5"/>
      <c r="AF592" s="5" t="s">
        <v>6837</v>
      </c>
      <c r="AG592" s="5"/>
      <c r="AH592" s="5"/>
      <c r="AI592" s="5"/>
      <c r="AJ592" s="5"/>
      <c r="AK592" s="5"/>
      <c r="AL592" s="5" t="s">
        <v>6837</v>
      </c>
      <c r="AM592" s="5"/>
      <c r="AN592" s="5"/>
      <c r="AO592" s="5"/>
      <c r="AP592" s="5"/>
      <c r="AQ592" s="5" t="s">
        <v>6837</v>
      </c>
      <c r="AR592" s="5" t="s">
        <v>6693</v>
      </c>
      <c r="AS592" s="5"/>
      <c r="AT592" s="5"/>
      <c r="AU592" s="5"/>
      <c r="AV592" s="5"/>
      <c r="AW592" s="5" t="s">
        <v>3150</v>
      </c>
    </row>
    <row r="593" customFormat="false" ht="169.4" hidden="false" customHeight="false" outlineLevel="0" collapsed="false">
      <c r="A593" s="5" t="s">
        <v>6845</v>
      </c>
      <c r="B593" s="5" t="s">
        <v>6846</v>
      </c>
      <c r="C593" s="5" t="s">
        <v>6651</v>
      </c>
      <c r="D593" s="5" t="s">
        <v>6652</v>
      </c>
      <c r="E593" s="5" t="s">
        <v>514</v>
      </c>
      <c r="F593" s="5" t="s">
        <v>6847</v>
      </c>
      <c r="G593" s="5" t="s">
        <v>6848</v>
      </c>
      <c r="H593" s="5" t="n">
        <v>8</v>
      </c>
      <c r="I593" s="5" t="s">
        <v>1221</v>
      </c>
      <c r="J593" s="5" t="s">
        <v>153</v>
      </c>
      <c r="K593" s="5" t="s">
        <v>6849</v>
      </c>
      <c r="L593" s="5" t="s">
        <v>30</v>
      </c>
      <c r="M593" s="5" t="s">
        <v>155</v>
      </c>
      <c r="N593" s="5" t="s">
        <v>6850</v>
      </c>
      <c r="O593" s="5" t="s">
        <v>6657</v>
      </c>
      <c r="P593" s="5" t="s">
        <v>158</v>
      </c>
      <c r="Q593" s="5" t="s">
        <v>519</v>
      </c>
      <c r="R593" s="5" t="s">
        <v>6658</v>
      </c>
      <c r="S593" s="5" t="s">
        <v>6659</v>
      </c>
      <c r="T593" s="5" t="s">
        <v>277</v>
      </c>
      <c r="U593" s="5" t="n">
        <v>365</v>
      </c>
      <c r="V593" s="5" t="s">
        <v>6660</v>
      </c>
      <c r="W593" s="5" t="s">
        <v>6661</v>
      </c>
      <c r="X593" s="5" t="s">
        <v>6851</v>
      </c>
      <c r="Y593" s="5" t="s">
        <v>6852</v>
      </c>
      <c r="Z593" s="5" t="s">
        <v>6853</v>
      </c>
      <c r="AA593" s="5"/>
      <c r="AB593" s="5"/>
      <c r="AC593" s="5"/>
      <c r="AD593" s="5"/>
      <c r="AE593" s="5"/>
      <c r="AF593" s="5" t="s">
        <v>6854</v>
      </c>
      <c r="AG593" s="5" t="s">
        <v>3124</v>
      </c>
      <c r="AH593" s="5"/>
      <c r="AI593" s="5"/>
      <c r="AJ593" s="5"/>
      <c r="AK593" s="5" t="s">
        <v>2932</v>
      </c>
      <c r="AL593" s="5" t="s">
        <v>6854</v>
      </c>
      <c r="AM593" s="5"/>
      <c r="AN593" s="5" t="s">
        <v>3124</v>
      </c>
      <c r="AO593" s="5"/>
      <c r="AP593" s="5"/>
      <c r="AQ593" s="5" t="s">
        <v>6855</v>
      </c>
      <c r="AR593" s="5" t="s">
        <v>6060</v>
      </c>
      <c r="AS593" s="5"/>
      <c r="AT593" s="5" t="s">
        <v>3127</v>
      </c>
      <c r="AU593" s="5"/>
      <c r="AV593" s="5" t="s">
        <v>178</v>
      </c>
      <c r="AW593" s="5" t="s">
        <v>3150</v>
      </c>
    </row>
    <row r="594" customFormat="false" ht="225.35" hidden="false" customHeight="false" outlineLevel="0" collapsed="false">
      <c r="A594" s="5" t="s">
        <v>6856</v>
      </c>
      <c r="B594" s="5" t="s">
        <v>6857</v>
      </c>
      <c r="C594" s="5" t="s">
        <v>6651</v>
      </c>
      <c r="D594" s="5" t="s">
        <v>6652</v>
      </c>
      <c r="E594" s="5" t="s">
        <v>514</v>
      </c>
      <c r="F594" s="5" t="s">
        <v>6858</v>
      </c>
      <c r="G594" s="5" t="s">
        <v>6859</v>
      </c>
      <c r="H594" s="5" t="n">
        <v>8</v>
      </c>
      <c r="I594" s="5" t="s">
        <v>1221</v>
      </c>
      <c r="J594" s="5" t="s">
        <v>153</v>
      </c>
      <c r="K594" s="5" t="s">
        <v>6833</v>
      </c>
      <c r="L594" s="5" t="s">
        <v>30</v>
      </c>
      <c r="M594" s="5" t="s">
        <v>155</v>
      </c>
      <c r="N594" s="5" t="s">
        <v>398</v>
      </c>
      <c r="O594" s="5" t="s">
        <v>6657</v>
      </c>
      <c r="P594" s="5" t="s">
        <v>158</v>
      </c>
      <c r="Q594" s="5" t="s">
        <v>399</v>
      </c>
      <c r="R594" s="5" t="s">
        <v>6658</v>
      </c>
      <c r="S594" s="5" t="s">
        <v>6659</v>
      </c>
      <c r="T594" s="5" t="s">
        <v>277</v>
      </c>
      <c r="U594" s="5" t="n">
        <v>365</v>
      </c>
      <c r="V594" s="5" t="s">
        <v>6660</v>
      </c>
      <c r="W594" s="5" t="s">
        <v>6661</v>
      </c>
      <c r="X594" s="5" t="s">
        <v>6860</v>
      </c>
      <c r="Y594" s="5" t="s">
        <v>6861</v>
      </c>
      <c r="Z594" s="5" t="s">
        <v>6862</v>
      </c>
      <c r="AA594" s="5"/>
      <c r="AB594" s="5"/>
      <c r="AC594" s="5"/>
      <c r="AD594" s="5"/>
      <c r="AE594" s="5"/>
      <c r="AF594" s="5" t="s">
        <v>6863</v>
      </c>
      <c r="AG594" s="5" t="s">
        <v>3147</v>
      </c>
      <c r="AH594" s="5"/>
      <c r="AI594" s="5"/>
      <c r="AJ594" s="5"/>
      <c r="AK594" s="5"/>
      <c r="AL594" s="5" t="s">
        <v>6863</v>
      </c>
      <c r="AM594" s="5"/>
      <c r="AN594" s="5"/>
      <c r="AO594" s="5"/>
      <c r="AP594" s="5"/>
      <c r="AQ594" s="5" t="s">
        <v>6863</v>
      </c>
      <c r="AR594" s="5" t="s">
        <v>6864</v>
      </c>
      <c r="AS594" s="5"/>
      <c r="AT594" s="5" t="s">
        <v>6811</v>
      </c>
      <c r="AU594" s="5"/>
      <c r="AV594" s="5"/>
      <c r="AW594" s="5" t="s">
        <v>3150</v>
      </c>
    </row>
    <row r="595" customFormat="false" ht="124.6" hidden="false" customHeight="false" outlineLevel="0" collapsed="false">
      <c r="A595" s="5" t="s">
        <v>6865</v>
      </c>
      <c r="B595" s="5" t="s">
        <v>6866</v>
      </c>
      <c r="C595" s="5" t="s">
        <v>6651</v>
      </c>
      <c r="D595" s="5" t="s">
        <v>6652</v>
      </c>
      <c r="E595" s="5" t="s">
        <v>514</v>
      </c>
      <c r="F595" s="5" t="s">
        <v>6867</v>
      </c>
      <c r="G595" s="5" t="s">
        <v>6868</v>
      </c>
      <c r="H595" s="5" t="n">
        <v>5</v>
      </c>
      <c r="I595" s="5" t="s">
        <v>1221</v>
      </c>
      <c r="J595" s="5" t="s">
        <v>153</v>
      </c>
      <c r="K595" s="5"/>
      <c r="L595" s="5" t="s">
        <v>30</v>
      </c>
      <c r="M595" s="5" t="s">
        <v>155</v>
      </c>
      <c r="N595" s="5" t="s">
        <v>398</v>
      </c>
      <c r="O595" s="5" t="s">
        <v>6657</v>
      </c>
      <c r="P595" s="5" t="s">
        <v>641</v>
      </c>
      <c r="Q595" s="5" t="s">
        <v>461</v>
      </c>
      <c r="R595" s="5" t="s">
        <v>6658</v>
      </c>
      <c r="S595" s="5" t="s">
        <v>6659</v>
      </c>
      <c r="T595" s="5" t="s">
        <v>277</v>
      </c>
      <c r="U595" s="5" t="n">
        <v>365</v>
      </c>
      <c r="V595" s="5" t="s">
        <v>6660</v>
      </c>
      <c r="W595" s="5" t="s">
        <v>6661</v>
      </c>
      <c r="X595" s="5" t="s">
        <v>6869</v>
      </c>
      <c r="Y595" s="5" t="s">
        <v>6870</v>
      </c>
      <c r="Z595" s="5" t="s">
        <v>6871</v>
      </c>
      <c r="AA595" s="5"/>
      <c r="AB595" s="5"/>
      <c r="AC595" s="5"/>
      <c r="AD595" s="5"/>
      <c r="AE595" s="5"/>
      <c r="AF595" s="5" t="s">
        <v>6768</v>
      </c>
      <c r="AG595" s="5" t="s">
        <v>6768</v>
      </c>
      <c r="AH595" s="5"/>
      <c r="AI595" s="5"/>
      <c r="AJ595" s="5"/>
      <c r="AK595" s="5"/>
      <c r="AL595" s="5" t="s">
        <v>6768</v>
      </c>
      <c r="AM595" s="5"/>
      <c r="AN595" s="5"/>
      <c r="AO595" s="5"/>
      <c r="AP595" s="5"/>
      <c r="AQ595" s="5" t="s">
        <v>6768</v>
      </c>
      <c r="AR595" s="5" t="s">
        <v>175</v>
      </c>
      <c r="AS595" s="5"/>
      <c r="AT595" s="5"/>
      <c r="AU595" s="5"/>
      <c r="AV595" s="5"/>
      <c r="AW595" s="5" t="s">
        <v>3150</v>
      </c>
    </row>
    <row r="596" customFormat="false" ht="113.4" hidden="false" customHeight="false" outlineLevel="0" collapsed="false">
      <c r="A596" s="5" t="s">
        <v>6872</v>
      </c>
      <c r="B596" s="5" t="s">
        <v>6873</v>
      </c>
      <c r="C596" s="5" t="s">
        <v>6651</v>
      </c>
      <c r="D596" s="5" t="s">
        <v>6652</v>
      </c>
      <c r="E596" s="5" t="s">
        <v>514</v>
      </c>
      <c r="F596" s="5" t="s">
        <v>6874</v>
      </c>
      <c r="G596" s="5" t="s">
        <v>6875</v>
      </c>
      <c r="H596" s="5" t="n">
        <v>8</v>
      </c>
      <c r="I596" s="5" t="s">
        <v>1221</v>
      </c>
      <c r="J596" s="5" t="s">
        <v>153</v>
      </c>
      <c r="K596" s="5"/>
      <c r="L596" s="5" t="s">
        <v>85</v>
      </c>
      <c r="M596" s="5" t="s">
        <v>185</v>
      </c>
      <c r="N596" s="5" t="s">
        <v>88</v>
      </c>
      <c r="O596" s="5" t="s">
        <v>214</v>
      </c>
      <c r="P596" s="5" t="s">
        <v>215</v>
      </c>
      <c r="Q596" s="5" t="s">
        <v>461</v>
      </c>
      <c r="R596" s="5" t="s">
        <v>6658</v>
      </c>
      <c r="S596" s="5" t="s">
        <v>6659</v>
      </c>
      <c r="T596" s="5" t="s">
        <v>277</v>
      </c>
      <c r="U596" s="5" t="n">
        <v>365</v>
      </c>
      <c r="V596" s="5" t="s">
        <v>6660</v>
      </c>
      <c r="W596" s="5" t="s">
        <v>6661</v>
      </c>
      <c r="X596" s="5" t="s">
        <v>6876</v>
      </c>
      <c r="Y596" s="5" t="s">
        <v>6877</v>
      </c>
      <c r="Z596" s="5" t="s">
        <v>6878</v>
      </c>
      <c r="AA596" s="5"/>
      <c r="AB596" s="5"/>
      <c r="AC596" s="5"/>
      <c r="AD596" s="5"/>
      <c r="AE596" s="5"/>
      <c r="AF596" s="5" t="s">
        <v>3236</v>
      </c>
      <c r="AG596" s="5"/>
      <c r="AH596" s="5"/>
      <c r="AI596" s="5"/>
      <c r="AJ596" s="5"/>
      <c r="AK596" s="5"/>
      <c r="AL596" s="5" t="s">
        <v>3236</v>
      </c>
      <c r="AM596" s="5"/>
      <c r="AN596" s="5"/>
      <c r="AO596" s="5"/>
      <c r="AP596" s="5"/>
      <c r="AQ596" s="5" t="s">
        <v>3236</v>
      </c>
      <c r="AR596" s="5" t="s">
        <v>1294</v>
      </c>
      <c r="AS596" s="5"/>
      <c r="AT596" s="5" t="s">
        <v>3237</v>
      </c>
      <c r="AU596" s="5"/>
      <c r="AV596" s="5"/>
      <c r="AW596" s="5" t="s">
        <v>3150</v>
      </c>
    </row>
    <row r="597" customFormat="false" ht="147" hidden="false" customHeight="false" outlineLevel="0" collapsed="false">
      <c r="A597" s="5" t="s">
        <v>6879</v>
      </c>
      <c r="B597" s="5" t="s">
        <v>6880</v>
      </c>
      <c r="C597" s="5" t="s">
        <v>6651</v>
      </c>
      <c r="D597" s="5" t="s">
        <v>6652</v>
      </c>
      <c r="E597" s="5" t="s">
        <v>514</v>
      </c>
      <c r="F597" s="5" t="s">
        <v>6881</v>
      </c>
      <c r="G597" s="5" t="s">
        <v>6882</v>
      </c>
      <c r="H597" s="5" t="n">
        <v>8</v>
      </c>
      <c r="I597" s="5" t="s">
        <v>1221</v>
      </c>
      <c r="J597" s="5" t="s">
        <v>153</v>
      </c>
      <c r="K597" s="5"/>
      <c r="L597" s="5" t="s">
        <v>30</v>
      </c>
      <c r="M597" s="5" t="s">
        <v>155</v>
      </c>
      <c r="N597" s="5" t="s">
        <v>6677</v>
      </c>
      <c r="O597" s="5" t="s">
        <v>6657</v>
      </c>
      <c r="P597" s="5" t="s">
        <v>641</v>
      </c>
      <c r="Q597" s="5" t="s">
        <v>461</v>
      </c>
      <c r="R597" s="5" t="s">
        <v>6658</v>
      </c>
      <c r="S597" s="5" t="s">
        <v>6659</v>
      </c>
      <c r="T597" s="5" t="s">
        <v>277</v>
      </c>
      <c r="U597" s="5" t="n">
        <v>365</v>
      </c>
      <c r="V597" s="5" t="s">
        <v>6660</v>
      </c>
      <c r="W597" s="5" t="s">
        <v>6661</v>
      </c>
      <c r="X597" s="5" t="s">
        <v>6883</v>
      </c>
      <c r="Y597" s="5" t="s">
        <v>6884</v>
      </c>
      <c r="Z597" s="5" t="s">
        <v>6885</v>
      </c>
      <c r="AA597" s="5"/>
      <c r="AB597" s="5"/>
      <c r="AC597" s="5"/>
      <c r="AD597" s="5"/>
      <c r="AE597" s="5"/>
      <c r="AF597" s="5" t="s">
        <v>6886</v>
      </c>
      <c r="AG597" s="5" t="s">
        <v>3147</v>
      </c>
      <c r="AH597" s="5"/>
      <c r="AI597" s="5"/>
      <c r="AJ597" s="5"/>
      <c r="AK597" s="5"/>
      <c r="AL597" s="5" t="s">
        <v>6886</v>
      </c>
      <c r="AM597" s="5"/>
      <c r="AN597" s="5"/>
      <c r="AO597" s="5"/>
      <c r="AP597" s="5" t="s">
        <v>6887</v>
      </c>
      <c r="AQ597" s="5" t="s">
        <v>6886</v>
      </c>
      <c r="AR597" s="5" t="s">
        <v>6888</v>
      </c>
      <c r="AS597" s="5"/>
      <c r="AT597" s="5" t="s">
        <v>6811</v>
      </c>
      <c r="AU597" s="5"/>
      <c r="AV597" s="5"/>
      <c r="AW597" s="5" t="s">
        <v>3150</v>
      </c>
    </row>
    <row r="598" customFormat="false" ht="147" hidden="false" customHeight="false" outlineLevel="0" collapsed="false">
      <c r="A598" s="5" t="s">
        <v>6889</v>
      </c>
      <c r="B598" s="5" t="s">
        <v>6890</v>
      </c>
      <c r="C598" s="5" t="s">
        <v>6651</v>
      </c>
      <c r="D598" s="5" t="s">
        <v>6652</v>
      </c>
      <c r="E598" s="5" t="s">
        <v>514</v>
      </c>
      <c r="F598" s="5" t="s">
        <v>6891</v>
      </c>
      <c r="G598" s="5" t="s">
        <v>6892</v>
      </c>
      <c r="H598" s="5" t="n">
        <v>8</v>
      </c>
      <c r="I598" s="5" t="s">
        <v>1221</v>
      </c>
      <c r="J598" s="5" t="s">
        <v>153</v>
      </c>
      <c r="K598" s="5" t="s">
        <v>2844</v>
      </c>
      <c r="L598" s="5" t="s">
        <v>55</v>
      </c>
      <c r="M598" s="5" t="s">
        <v>185</v>
      </c>
      <c r="N598" s="5" t="s">
        <v>6893</v>
      </c>
      <c r="O598" s="5" t="s">
        <v>6894</v>
      </c>
      <c r="P598" s="5" t="s">
        <v>215</v>
      </c>
      <c r="Q598" s="5" t="s">
        <v>461</v>
      </c>
      <c r="R598" s="5" t="s">
        <v>6658</v>
      </c>
      <c r="S598" s="5" t="s">
        <v>6659</v>
      </c>
      <c r="T598" s="5" t="s">
        <v>277</v>
      </c>
      <c r="U598" s="5" t="n">
        <v>365</v>
      </c>
      <c r="V598" s="5" t="s">
        <v>6660</v>
      </c>
      <c r="W598" s="5" t="s">
        <v>6661</v>
      </c>
      <c r="X598" s="5" t="s">
        <v>6895</v>
      </c>
      <c r="Y598" s="5" t="s">
        <v>6896</v>
      </c>
      <c r="Z598" s="5" t="s">
        <v>6897</v>
      </c>
      <c r="AA598" s="5"/>
      <c r="AB598" s="5"/>
      <c r="AC598" s="5"/>
      <c r="AD598" s="5"/>
      <c r="AE598" s="5"/>
      <c r="AF598" s="5" t="s">
        <v>6898</v>
      </c>
      <c r="AG598" s="5"/>
      <c r="AH598" s="5"/>
      <c r="AI598" s="5"/>
      <c r="AJ598" s="5"/>
      <c r="AK598" s="5" t="s">
        <v>2932</v>
      </c>
      <c r="AL598" s="5" t="s">
        <v>6898</v>
      </c>
      <c r="AM598" s="5"/>
      <c r="AN598" s="5"/>
      <c r="AO598" s="5"/>
      <c r="AP598" s="5" t="s">
        <v>6899</v>
      </c>
      <c r="AQ598" s="5" t="s">
        <v>6898</v>
      </c>
      <c r="AR598" s="5" t="s">
        <v>175</v>
      </c>
      <c r="AS598" s="5"/>
      <c r="AT598" s="5" t="s">
        <v>542</v>
      </c>
      <c r="AU598" s="5" t="s">
        <v>528</v>
      </c>
      <c r="AV598" s="5" t="s">
        <v>178</v>
      </c>
      <c r="AW598" s="5" t="s">
        <v>3150</v>
      </c>
    </row>
    <row r="599" customFormat="false" ht="124.6" hidden="false" customHeight="false" outlineLevel="0" collapsed="false">
      <c r="A599" s="5" t="s">
        <v>6900</v>
      </c>
      <c r="B599" s="5" t="s">
        <v>6901</v>
      </c>
      <c r="C599" s="5" t="s">
        <v>6651</v>
      </c>
      <c r="D599" s="5" t="s">
        <v>6652</v>
      </c>
      <c r="E599" s="5" t="s">
        <v>514</v>
      </c>
      <c r="F599" s="5" t="s">
        <v>6902</v>
      </c>
      <c r="G599" s="5" t="s">
        <v>6903</v>
      </c>
      <c r="H599" s="5" t="n">
        <v>1</v>
      </c>
      <c r="I599" s="5" t="s">
        <v>603</v>
      </c>
      <c r="J599" s="5" t="s">
        <v>557</v>
      </c>
      <c r="K599" s="5"/>
      <c r="L599" s="5" t="s">
        <v>85</v>
      </c>
      <c r="M599" s="5" t="s">
        <v>185</v>
      </c>
      <c r="N599" s="5" t="s">
        <v>3133</v>
      </c>
      <c r="O599" s="5" t="s">
        <v>214</v>
      </c>
      <c r="P599" s="5" t="s">
        <v>215</v>
      </c>
      <c r="Q599" s="5" t="s">
        <v>461</v>
      </c>
      <c r="R599" s="5" t="s">
        <v>6658</v>
      </c>
      <c r="S599" s="5" t="s">
        <v>6659</v>
      </c>
      <c r="T599" s="5" t="s">
        <v>606</v>
      </c>
      <c r="U599" s="5" t="n">
        <v>90</v>
      </c>
      <c r="V599" s="5" t="s">
        <v>6660</v>
      </c>
      <c r="W599" s="5" t="s">
        <v>6661</v>
      </c>
      <c r="X599" s="5" t="s">
        <v>6904</v>
      </c>
      <c r="Y599" s="5" t="s">
        <v>6905</v>
      </c>
      <c r="Z599" s="5" t="s">
        <v>6906</v>
      </c>
      <c r="AA599" s="5"/>
      <c r="AB599" s="5"/>
      <c r="AC599" s="5"/>
      <c r="AD599" s="5"/>
      <c r="AE599" s="5"/>
      <c r="AF599" s="5" t="s">
        <v>6898</v>
      </c>
      <c r="AG599" s="5"/>
      <c r="AH599" s="5"/>
      <c r="AI599" s="5"/>
      <c r="AJ599" s="5"/>
      <c r="AK599" s="5"/>
      <c r="AL599" s="5" t="s">
        <v>6898</v>
      </c>
      <c r="AM599" s="5"/>
      <c r="AN599" s="5"/>
      <c r="AO599" s="5"/>
      <c r="AP599" s="5" t="s">
        <v>6899</v>
      </c>
      <c r="AQ599" s="5" t="s">
        <v>6898</v>
      </c>
      <c r="AR599" s="5" t="s">
        <v>175</v>
      </c>
      <c r="AS599" s="5"/>
      <c r="AT599" s="5"/>
      <c r="AU599" s="5"/>
      <c r="AV599" s="5"/>
      <c r="AW599" s="5" t="s">
        <v>3150</v>
      </c>
    </row>
    <row r="600" customFormat="false" ht="225.35" hidden="false" customHeight="false" outlineLevel="0" collapsed="false">
      <c r="A600" s="5" t="s">
        <v>6907</v>
      </c>
      <c r="B600" s="5" t="s">
        <v>6908</v>
      </c>
      <c r="C600" s="5" t="s">
        <v>6651</v>
      </c>
      <c r="D600" s="5" t="s">
        <v>6652</v>
      </c>
      <c r="E600" s="5" t="s">
        <v>514</v>
      </c>
      <c r="F600" s="5" t="s">
        <v>6909</v>
      </c>
      <c r="G600" s="5" t="s">
        <v>6910</v>
      </c>
      <c r="H600" s="5" t="n">
        <v>5</v>
      </c>
      <c r="I600" s="5" t="s">
        <v>1221</v>
      </c>
      <c r="J600" s="5" t="s">
        <v>153</v>
      </c>
      <c r="K600" s="5" t="s">
        <v>6911</v>
      </c>
      <c r="L600" s="5" t="s">
        <v>85</v>
      </c>
      <c r="M600" s="5" t="s">
        <v>185</v>
      </c>
      <c r="N600" s="5" t="s">
        <v>3133</v>
      </c>
      <c r="O600" s="5" t="s">
        <v>214</v>
      </c>
      <c r="P600" s="5" t="s">
        <v>215</v>
      </c>
      <c r="Q600" s="5" t="s">
        <v>461</v>
      </c>
      <c r="R600" s="5" t="s">
        <v>6658</v>
      </c>
      <c r="S600" s="5" t="s">
        <v>6659</v>
      </c>
      <c r="T600" s="5" t="s">
        <v>277</v>
      </c>
      <c r="U600" s="5" t="n">
        <v>365</v>
      </c>
      <c r="V600" s="5" t="s">
        <v>6660</v>
      </c>
      <c r="W600" s="5" t="s">
        <v>6661</v>
      </c>
      <c r="X600" s="5" t="s">
        <v>6912</v>
      </c>
      <c r="Y600" s="5" t="s">
        <v>6913</v>
      </c>
      <c r="Z600" s="5" t="s">
        <v>6914</v>
      </c>
      <c r="AA600" s="5"/>
      <c r="AB600" s="5"/>
      <c r="AC600" s="5"/>
      <c r="AD600" s="5"/>
      <c r="AE600" s="5"/>
      <c r="AF600" s="5" t="s">
        <v>6915</v>
      </c>
      <c r="AG600" s="5"/>
      <c r="AH600" s="5"/>
      <c r="AI600" s="5"/>
      <c r="AJ600" s="5"/>
      <c r="AK600" s="5"/>
      <c r="AL600" s="5" t="s">
        <v>6915</v>
      </c>
      <c r="AM600" s="5"/>
      <c r="AN600" s="5"/>
      <c r="AO600" s="5"/>
      <c r="AP600" s="5" t="s">
        <v>2941</v>
      </c>
      <c r="AQ600" s="5" t="s">
        <v>6915</v>
      </c>
      <c r="AR600" s="5" t="s">
        <v>6693</v>
      </c>
      <c r="AS600" s="5"/>
      <c r="AT600" s="5"/>
      <c r="AU600" s="5"/>
      <c r="AV600" s="5"/>
      <c r="AW600" s="5" t="s">
        <v>3150</v>
      </c>
    </row>
    <row r="601" customFormat="false" ht="180.55" hidden="false" customHeight="false" outlineLevel="0" collapsed="false">
      <c r="A601" s="5" t="s">
        <v>6916</v>
      </c>
      <c r="B601" s="5" t="s">
        <v>6917</v>
      </c>
      <c r="C601" s="5" t="s">
        <v>6651</v>
      </c>
      <c r="D601" s="5" t="s">
        <v>6652</v>
      </c>
      <c r="E601" s="5" t="s">
        <v>514</v>
      </c>
      <c r="F601" s="5" t="s">
        <v>6918</v>
      </c>
      <c r="G601" s="5" t="s">
        <v>6919</v>
      </c>
      <c r="H601" s="5" t="n">
        <v>6</v>
      </c>
      <c r="I601" s="5" t="s">
        <v>1221</v>
      </c>
      <c r="J601" s="5" t="s">
        <v>153</v>
      </c>
      <c r="K601" s="5" t="s">
        <v>6920</v>
      </c>
      <c r="L601" s="5" t="s">
        <v>85</v>
      </c>
      <c r="M601" s="5" t="s">
        <v>185</v>
      </c>
      <c r="N601" s="5" t="s">
        <v>88</v>
      </c>
      <c r="O601" s="5" t="s">
        <v>214</v>
      </c>
      <c r="P601" s="5" t="s">
        <v>641</v>
      </c>
      <c r="Q601" s="5" t="s">
        <v>461</v>
      </c>
      <c r="R601" s="5" t="s">
        <v>6658</v>
      </c>
      <c r="S601" s="5" t="s">
        <v>6659</v>
      </c>
      <c r="T601" s="5" t="s">
        <v>277</v>
      </c>
      <c r="U601" s="5" t="n">
        <v>365</v>
      </c>
      <c r="V601" s="5" t="s">
        <v>6660</v>
      </c>
      <c r="W601" s="5" t="s">
        <v>6661</v>
      </c>
      <c r="X601" s="5" t="s">
        <v>6921</v>
      </c>
      <c r="Y601" s="5" t="s">
        <v>6922</v>
      </c>
      <c r="Z601" s="5" t="s">
        <v>6923</v>
      </c>
      <c r="AA601" s="5"/>
      <c r="AB601" s="5"/>
      <c r="AC601" s="5"/>
      <c r="AD601" s="5"/>
      <c r="AE601" s="5"/>
      <c r="AF601" s="5" t="s">
        <v>6924</v>
      </c>
      <c r="AG601" s="5"/>
      <c r="AH601" s="5"/>
      <c r="AI601" s="5"/>
      <c r="AJ601" s="5"/>
      <c r="AK601" s="5"/>
      <c r="AL601" s="5" t="s">
        <v>6924</v>
      </c>
      <c r="AM601" s="5"/>
      <c r="AN601" s="5"/>
      <c r="AO601" s="5"/>
      <c r="AP601" s="5"/>
      <c r="AQ601" s="5" t="s">
        <v>6924</v>
      </c>
      <c r="AR601" s="5" t="s">
        <v>6060</v>
      </c>
      <c r="AS601" s="5"/>
      <c r="AT601" s="5"/>
      <c r="AU601" s="5"/>
      <c r="AV601" s="5"/>
      <c r="AW601" s="5" t="s">
        <v>3150</v>
      </c>
    </row>
    <row r="602" customFormat="false" ht="113.4" hidden="false" customHeight="false" outlineLevel="0" collapsed="false">
      <c r="A602" s="5" t="s">
        <v>6925</v>
      </c>
      <c r="B602" s="5" t="s">
        <v>6926</v>
      </c>
      <c r="C602" s="5" t="s">
        <v>6651</v>
      </c>
      <c r="D602" s="5" t="s">
        <v>6652</v>
      </c>
      <c r="E602" s="5" t="s">
        <v>1298</v>
      </c>
      <c r="F602" s="5" t="s">
        <v>6927</v>
      </c>
      <c r="G602" s="5" t="s">
        <v>6928</v>
      </c>
      <c r="H602" s="5" t="n">
        <v>5</v>
      </c>
      <c r="I602" s="5" t="s">
        <v>1221</v>
      </c>
      <c r="J602" s="5" t="s">
        <v>153</v>
      </c>
      <c r="K602" s="5"/>
      <c r="L602" s="5" t="s">
        <v>85</v>
      </c>
      <c r="M602" s="5" t="s">
        <v>185</v>
      </c>
      <c r="N602" s="5" t="s">
        <v>88</v>
      </c>
      <c r="O602" s="5" t="s">
        <v>214</v>
      </c>
      <c r="P602" s="5" t="s">
        <v>641</v>
      </c>
      <c r="Q602" s="5" t="s">
        <v>461</v>
      </c>
      <c r="R602" s="5" t="s">
        <v>6658</v>
      </c>
      <c r="S602" s="5" t="s">
        <v>6659</v>
      </c>
      <c r="T602" s="5" t="s">
        <v>277</v>
      </c>
      <c r="U602" s="5" t="n">
        <v>365</v>
      </c>
      <c r="V602" s="5" t="s">
        <v>6660</v>
      </c>
      <c r="W602" s="5" t="s">
        <v>6661</v>
      </c>
      <c r="X602" s="5" t="s">
        <v>6929</v>
      </c>
      <c r="Y602" s="5" t="s">
        <v>6930</v>
      </c>
      <c r="Z602" s="5" t="s">
        <v>6931</v>
      </c>
      <c r="AA602" s="5"/>
      <c r="AB602" s="5"/>
      <c r="AC602" s="5"/>
      <c r="AD602" s="5"/>
      <c r="AE602" s="5"/>
      <c r="AF602" s="5" t="s">
        <v>3189</v>
      </c>
      <c r="AG602" s="5"/>
      <c r="AH602" s="5"/>
      <c r="AI602" s="5"/>
      <c r="AJ602" s="5"/>
      <c r="AK602" s="5"/>
      <c r="AL602" s="5" t="s">
        <v>3189</v>
      </c>
      <c r="AM602" s="5"/>
      <c r="AN602" s="5"/>
      <c r="AO602" s="5"/>
      <c r="AP602" s="5"/>
      <c r="AQ602" s="5" t="s">
        <v>3189</v>
      </c>
      <c r="AR602" s="5" t="s">
        <v>1294</v>
      </c>
      <c r="AS602" s="5"/>
      <c r="AT602" s="5"/>
      <c r="AU602" s="5"/>
      <c r="AV602" s="5"/>
      <c r="AW602" s="5" t="s">
        <v>3150</v>
      </c>
    </row>
    <row r="603" customFormat="false" ht="124.6" hidden="false" customHeight="false" outlineLevel="0" collapsed="false">
      <c r="A603" s="5" t="s">
        <v>6932</v>
      </c>
      <c r="B603" s="5" t="s">
        <v>6933</v>
      </c>
      <c r="C603" s="5" t="s">
        <v>6651</v>
      </c>
      <c r="D603" s="5" t="s">
        <v>6652</v>
      </c>
      <c r="E603" s="5" t="s">
        <v>1298</v>
      </c>
      <c r="F603" s="5" t="s">
        <v>6934</v>
      </c>
      <c r="G603" s="5" t="s">
        <v>6935</v>
      </c>
      <c r="H603" s="5" t="n">
        <v>4</v>
      </c>
      <c r="I603" s="5" t="s">
        <v>152</v>
      </c>
      <c r="J603" s="5" t="s">
        <v>153</v>
      </c>
      <c r="K603" s="5"/>
      <c r="L603" s="5" t="s">
        <v>85</v>
      </c>
      <c r="M603" s="5" t="s">
        <v>185</v>
      </c>
      <c r="N603" s="5" t="s">
        <v>3133</v>
      </c>
      <c r="O603" s="5" t="s">
        <v>214</v>
      </c>
      <c r="P603" s="5" t="s">
        <v>641</v>
      </c>
      <c r="Q603" s="5" t="s">
        <v>461</v>
      </c>
      <c r="R603" s="5" t="s">
        <v>6658</v>
      </c>
      <c r="S603" s="5" t="s">
        <v>6659</v>
      </c>
      <c r="T603" s="5" t="s">
        <v>162</v>
      </c>
      <c r="U603" s="5" t="n">
        <v>365</v>
      </c>
      <c r="V603" s="5" t="s">
        <v>6660</v>
      </c>
      <c r="W603" s="5" t="s">
        <v>6661</v>
      </c>
      <c r="X603" s="5" t="s">
        <v>6936</v>
      </c>
      <c r="Y603" s="5" t="s">
        <v>6930</v>
      </c>
      <c r="Z603" s="5" t="s">
        <v>6937</v>
      </c>
      <c r="AA603" s="5"/>
      <c r="AB603" s="5"/>
      <c r="AC603" s="5"/>
      <c r="AD603" s="5"/>
      <c r="AE603" s="5"/>
      <c r="AF603" s="5" t="s">
        <v>6938</v>
      </c>
      <c r="AG603" s="5"/>
      <c r="AH603" s="5"/>
      <c r="AI603" s="5"/>
      <c r="AJ603" s="5"/>
      <c r="AK603" s="5"/>
      <c r="AL603" s="5" t="s">
        <v>6938</v>
      </c>
      <c r="AM603" s="5"/>
      <c r="AN603" s="5"/>
      <c r="AO603" s="5"/>
      <c r="AP603" s="5" t="s">
        <v>6939</v>
      </c>
      <c r="AQ603" s="5" t="s">
        <v>6938</v>
      </c>
      <c r="AR603" s="5" t="s">
        <v>1294</v>
      </c>
      <c r="AS603" s="5"/>
      <c r="AT603" s="5"/>
      <c r="AU603" s="5"/>
      <c r="AV603" s="5"/>
      <c r="AW603" s="5" t="s">
        <v>3150</v>
      </c>
    </row>
    <row r="604" customFormat="false" ht="225.35" hidden="false" customHeight="false" outlineLevel="0" collapsed="false">
      <c r="A604" s="5" t="s">
        <v>6940</v>
      </c>
      <c r="B604" s="5" t="s">
        <v>6941</v>
      </c>
      <c r="C604" s="5" t="s">
        <v>6651</v>
      </c>
      <c r="D604" s="5" t="s">
        <v>6652</v>
      </c>
      <c r="E604" s="5" t="s">
        <v>1298</v>
      </c>
      <c r="F604" s="5" t="s">
        <v>6942</v>
      </c>
      <c r="G604" s="5" t="s">
        <v>6943</v>
      </c>
      <c r="H604" s="5" t="n">
        <v>4</v>
      </c>
      <c r="I604" s="5" t="s">
        <v>152</v>
      </c>
      <c r="J604" s="5" t="s">
        <v>153</v>
      </c>
      <c r="K604" s="5"/>
      <c r="L604" s="5" t="s">
        <v>30</v>
      </c>
      <c r="M604" s="5" t="s">
        <v>155</v>
      </c>
      <c r="N604" s="5" t="s">
        <v>398</v>
      </c>
      <c r="O604" s="5" t="s">
        <v>6657</v>
      </c>
      <c r="P604" s="5" t="s">
        <v>215</v>
      </c>
      <c r="Q604" s="5" t="s">
        <v>461</v>
      </c>
      <c r="R604" s="5" t="s">
        <v>6658</v>
      </c>
      <c r="S604" s="5" t="s">
        <v>6659</v>
      </c>
      <c r="T604" s="5" t="s">
        <v>162</v>
      </c>
      <c r="U604" s="5" t="n">
        <v>365</v>
      </c>
      <c r="V604" s="5" t="s">
        <v>6660</v>
      </c>
      <c r="W604" s="5" t="s">
        <v>6661</v>
      </c>
      <c r="X604" s="5" t="s">
        <v>6944</v>
      </c>
      <c r="Y604" s="5" t="s">
        <v>6945</v>
      </c>
      <c r="Z604" s="5" t="s">
        <v>6946</v>
      </c>
      <c r="AA604" s="5"/>
      <c r="AB604" s="5"/>
      <c r="AC604" s="5"/>
      <c r="AD604" s="5"/>
      <c r="AE604" s="5"/>
      <c r="AF604" s="5" t="s">
        <v>6947</v>
      </c>
      <c r="AG604" s="5" t="s">
        <v>6947</v>
      </c>
      <c r="AH604" s="5"/>
      <c r="AI604" s="5"/>
      <c r="AJ604" s="5"/>
      <c r="AK604" s="5"/>
      <c r="AL604" s="5" t="s">
        <v>6947</v>
      </c>
      <c r="AM604" s="5"/>
      <c r="AN604" s="5"/>
      <c r="AO604" s="5"/>
      <c r="AP604" s="5"/>
      <c r="AQ604" s="5" t="s">
        <v>6947</v>
      </c>
      <c r="AR604" s="5" t="s">
        <v>175</v>
      </c>
      <c r="AS604" s="5"/>
      <c r="AT604" s="5"/>
      <c r="AU604" s="5"/>
      <c r="AV604" s="5"/>
      <c r="AW604" s="5" t="s">
        <v>3150</v>
      </c>
    </row>
    <row r="605" customFormat="false" ht="202.95" hidden="false" customHeight="false" outlineLevel="0" collapsed="false">
      <c r="A605" s="5" t="s">
        <v>6948</v>
      </c>
      <c r="B605" s="5" t="s">
        <v>6949</v>
      </c>
      <c r="C605" s="5" t="s">
        <v>6651</v>
      </c>
      <c r="D605" s="5" t="s">
        <v>6652</v>
      </c>
      <c r="E605" s="5" t="s">
        <v>1298</v>
      </c>
      <c r="F605" s="5" t="s">
        <v>6950</v>
      </c>
      <c r="G605" s="5" t="s">
        <v>6951</v>
      </c>
      <c r="H605" s="5" t="n">
        <v>5</v>
      </c>
      <c r="I605" s="5" t="s">
        <v>152</v>
      </c>
      <c r="J605" s="5" t="s">
        <v>652</v>
      </c>
      <c r="K605" s="5"/>
      <c r="L605" s="5" t="s">
        <v>30</v>
      </c>
      <c r="M605" s="5" t="s">
        <v>155</v>
      </c>
      <c r="N605" s="5" t="s">
        <v>6677</v>
      </c>
      <c r="O605" s="5" t="s">
        <v>6657</v>
      </c>
      <c r="P605" s="5" t="s">
        <v>641</v>
      </c>
      <c r="Q605" s="5" t="s">
        <v>461</v>
      </c>
      <c r="R605" s="5" t="s">
        <v>6658</v>
      </c>
      <c r="S605" s="5" t="s">
        <v>6659</v>
      </c>
      <c r="T605" s="5" t="s">
        <v>162</v>
      </c>
      <c r="U605" s="5" t="n">
        <v>180</v>
      </c>
      <c r="V605" s="5" t="s">
        <v>6660</v>
      </c>
      <c r="W605" s="5" t="s">
        <v>6661</v>
      </c>
      <c r="X605" s="5" t="s">
        <v>6952</v>
      </c>
      <c r="Y605" s="5" t="s">
        <v>6953</v>
      </c>
      <c r="Z605" s="5" t="s">
        <v>6954</v>
      </c>
      <c r="AA605" s="5"/>
      <c r="AB605" s="5"/>
      <c r="AC605" s="5"/>
      <c r="AD605" s="5"/>
      <c r="AE605" s="5"/>
      <c r="AF605" s="5" t="s">
        <v>6947</v>
      </c>
      <c r="AG605" s="5" t="s">
        <v>6947</v>
      </c>
      <c r="AH605" s="5"/>
      <c r="AI605" s="5"/>
      <c r="AJ605" s="5"/>
      <c r="AK605" s="5"/>
      <c r="AL605" s="5" t="s">
        <v>6947</v>
      </c>
      <c r="AM605" s="5"/>
      <c r="AN605" s="5"/>
      <c r="AO605" s="5"/>
      <c r="AP605" s="5" t="s">
        <v>6955</v>
      </c>
      <c r="AQ605" s="5" t="s">
        <v>6947</v>
      </c>
      <c r="AR605" s="5" t="s">
        <v>175</v>
      </c>
      <c r="AS605" s="5"/>
      <c r="AT605" s="5"/>
      <c r="AU605" s="5"/>
      <c r="AV605" s="5"/>
      <c r="AW605" s="5" t="s">
        <v>3150</v>
      </c>
    </row>
    <row r="606" customFormat="false" ht="113.4" hidden="false" customHeight="false" outlineLevel="0" collapsed="false">
      <c r="A606" s="5" t="s">
        <v>6956</v>
      </c>
      <c r="B606" s="5" t="s">
        <v>6957</v>
      </c>
      <c r="C606" s="5" t="s">
        <v>6651</v>
      </c>
      <c r="D606" s="5" t="s">
        <v>6652</v>
      </c>
      <c r="E606" s="5" t="s">
        <v>514</v>
      </c>
      <c r="F606" s="5" t="s">
        <v>6958</v>
      </c>
      <c r="G606" s="5" t="s">
        <v>6959</v>
      </c>
      <c r="H606" s="5" t="n">
        <v>3</v>
      </c>
      <c r="I606" s="5" t="s">
        <v>603</v>
      </c>
      <c r="J606" s="5" t="s">
        <v>153</v>
      </c>
      <c r="K606" s="5"/>
      <c r="L606" s="5" t="s">
        <v>85</v>
      </c>
      <c r="M606" s="5" t="s">
        <v>185</v>
      </c>
      <c r="N606" s="5" t="s">
        <v>84</v>
      </c>
      <c r="O606" s="5" t="s">
        <v>214</v>
      </c>
      <c r="P606" s="5" t="s">
        <v>215</v>
      </c>
      <c r="Q606" s="5" t="s">
        <v>461</v>
      </c>
      <c r="R606" s="5" t="s">
        <v>6658</v>
      </c>
      <c r="S606" s="5" t="s">
        <v>6659</v>
      </c>
      <c r="T606" s="5" t="s">
        <v>606</v>
      </c>
      <c r="U606" s="5" t="n">
        <v>365</v>
      </c>
      <c r="V606" s="5" t="s">
        <v>6660</v>
      </c>
      <c r="W606" s="5" t="s">
        <v>6661</v>
      </c>
      <c r="X606" s="5" t="s">
        <v>6960</v>
      </c>
      <c r="Y606" s="5" t="s">
        <v>6961</v>
      </c>
      <c r="Z606" s="5" t="s">
        <v>6962</v>
      </c>
      <c r="AA606" s="5"/>
      <c r="AB606" s="5"/>
      <c r="AC606" s="5"/>
      <c r="AD606" s="5"/>
      <c r="AE606" s="5"/>
      <c r="AF606" s="5"/>
      <c r="AG606" s="5"/>
      <c r="AH606" s="5"/>
      <c r="AI606" s="5"/>
      <c r="AJ606" s="5"/>
      <c r="AK606" s="5"/>
      <c r="AL606" s="5"/>
      <c r="AM606" s="5"/>
      <c r="AN606" s="5"/>
      <c r="AO606" s="5"/>
      <c r="AP606" s="5" t="s">
        <v>6963</v>
      </c>
      <c r="AQ606" s="5"/>
      <c r="AR606" s="5"/>
      <c r="AS606" s="5"/>
      <c r="AT606" s="5"/>
      <c r="AU606" s="5"/>
      <c r="AV606" s="5"/>
      <c r="AW606" s="5" t="s">
        <v>3150</v>
      </c>
    </row>
    <row r="607" customFormat="false" ht="113.4" hidden="false" customHeight="false" outlineLevel="0" collapsed="false">
      <c r="A607" s="5" t="s">
        <v>6964</v>
      </c>
      <c r="B607" s="5" t="s">
        <v>6965</v>
      </c>
      <c r="C607" s="5" t="s">
        <v>6651</v>
      </c>
      <c r="D607" s="5" t="s">
        <v>6652</v>
      </c>
      <c r="E607" s="5" t="s">
        <v>514</v>
      </c>
      <c r="F607" s="5" t="s">
        <v>6966</v>
      </c>
      <c r="G607" s="5" t="s">
        <v>6967</v>
      </c>
      <c r="H607" s="5" t="n">
        <v>5</v>
      </c>
      <c r="I607" s="5" t="s">
        <v>603</v>
      </c>
      <c r="J607" s="5" t="s">
        <v>153</v>
      </c>
      <c r="K607" s="5"/>
      <c r="L607" s="5" t="s">
        <v>85</v>
      </c>
      <c r="M607" s="5" t="s">
        <v>185</v>
      </c>
      <c r="N607" s="5" t="s">
        <v>84</v>
      </c>
      <c r="O607" s="5" t="s">
        <v>214</v>
      </c>
      <c r="P607" s="5" t="s">
        <v>641</v>
      </c>
      <c r="Q607" s="5" t="s">
        <v>461</v>
      </c>
      <c r="R607" s="5" t="s">
        <v>6658</v>
      </c>
      <c r="S607" s="5" t="s">
        <v>6659</v>
      </c>
      <c r="T607" s="5" t="s">
        <v>606</v>
      </c>
      <c r="U607" s="5" t="n">
        <v>365</v>
      </c>
      <c r="V607" s="5" t="s">
        <v>6660</v>
      </c>
      <c r="W607" s="5" t="s">
        <v>6661</v>
      </c>
      <c r="X607" s="5" t="s">
        <v>6968</v>
      </c>
      <c r="Y607" s="5" t="s">
        <v>6969</v>
      </c>
      <c r="Z607" s="5" t="s">
        <v>6970</v>
      </c>
      <c r="AA607" s="5"/>
      <c r="AB607" s="5"/>
      <c r="AC607" s="5"/>
      <c r="AD607" s="5"/>
      <c r="AE607" s="5"/>
      <c r="AF607" s="5"/>
      <c r="AG607" s="5"/>
      <c r="AH607" s="5"/>
      <c r="AI607" s="5"/>
      <c r="AJ607" s="5"/>
      <c r="AK607" s="5"/>
      <c r="AL607" s="5"/>
      <c r="AM607" s="5"/>
      <c r="AN607" s="5"/>
      <c r="AO607" s="5"/>
      <c r="AP607" s="5" t="s">
        <v>6971</v>
      </c>
      <c r="AQ607" s="5"/>
      <c r="AR607" s="5"/>
      <c r="AS607" s="5"/>
      <c r="AT607" s="5"/>
      <c r="AU607" s="5"/>
      <c r="AV607" s="5"/>
      <c r="AW607" s="5" t="s">
        <v>3150</v>
      </c>
    </row>
    <row r="608" customFormat="false" ht="124.6" hidden="false" customHeight="false" outlineLevel="0" collapsed="false">
      <c r="A608" s="5" t="s">
        <v>6972</v>
      </c>
      <c r="B608" s="5" t="s">
        <v>6973</v>
      </c>
      <c r="C608" s="5" t="s">
        <v>6651</v>
      </c>
      <c r="D608" s="5" t="s">
        <v>6652</v>
      </c>
      <c r="E608" s="5" t="s">
        <v>514</v>
      </c>
      <c r="F608" s="5" t="s">
        <v>6974</v>
      </c>
      <c r="G608" s="5" t="s">
        <v>6975</v>
      </c>
      <c r="H608" s="5" t="n">
        <v>9</v>
      </c>
      <c r="I608" s="5" t="s">
        <v>1221</v>
      </c>
      <c r="J608" s="5" t="s">
        <v>153</v>
      </c>
      <c r="K608" s="5" t="s">
        <v>6976</v>
      </c>
      <c r="L608" s="5" t="s">
        <v>30</v>
      </c>
      <c r="M608" s="5" t="s">
        <v>155</v>
      </c>
      <c r="N608" s="5" t="s">
        <v>6977</v>
      </c>
      <c r="O608" s="5" t="s">
        <v>6657</v>
      </c>
      <c r="P608" s="5" t="s">
        <v>641</v>
      </c>
      <c r="Q608" s="5" t="s">
        <v>461</v>
      </c>
      <c r="R608" s="5" t="s">
        <v>6658</v>
      </c>
      <c r="S608" s="5" t="s">
        <v>6659</v>
      </c>
      <c r="T608" s="5" t="s">
        <v>277</v>
      </c>
      <c r="U608" s="5" t="n">
        <v>365</v>
      </c>
      <c r="V608" s="5" t="s">
        <v>6660</v>
      </c>
      <c r="W608" s="5" t="s">
        <v>6661</v>
      </c>
      <c r="X608" s="5" t="s">
        <v>6978</v>
      </c>
      <c r="Y608" s="5" t="s">
        <v>6979</v>
      </c>
      <c r="Z608" s="5" t="s">
        <v>6980</v>
      </c>
      <c r="AA608" s="5"/>
      <c r="AB608" s="5"/>
      <c r="AC608" s="5"/>
      <c r="AD608" s="5"/>
      <c r="AE608" s="5"/>
      <c r="AF608" s="5" t="s">
        <v>3092</v>
      </c>
      <c r="AG608" s="5" t="s">
        <v>3092</v>
      </c>
      <c r="AH608" s="5"/>
      <c r="AI608" s="5"/>
      <c r="AJ608" s="5"/>
      <c r="AK608" s="5"/>
      <c r="AL608" s="5" t="s">
        <v>3092</v>
      </c>
      <c r="AM608" s="5" t="s">
        <v>3092</v>
      </c>
      <c r="AN608" s="5"/>
      <c r="AO608" s="5"/>
      <c r="AP608" s="5" t="s">
        <v>6981</v>
      </c>
      <c r="AQ608" s="5" t="s">
        <v>3092</v>
      </c>
      <c r="AR608" s="5" t="s">
        <v>2921</v>
      </c>
      <c r="AS608" s="5"/>
      <c r="AT608" s="5" t="s">
        <v>6811</v>
      </c>
      <c r="AU608" s="5"/>
      <c r="AV608" s="5"/>
      <c r="AW608" s="5" t="s">
        <v>3150</v>
      </c>
    </row>
    <row r="609" customFormat="false" ht="124.6" hidden="false" customHeight="false" outlineLevel="0" collapsed="false">
      <c r="A609" s="5" t="s">
        <v>6982</v>
      </c>
      <c r="B609" s="5" t="s">
        <v>6983</v>
      </c>
      <c r="C609" s="5" t="s">
        <v>6651</v>
      </c>
      <c r="D609" s="5" t="s">
        <v>6652</v>
      </c>
      <c r="E609" s="5" t="s">
        <v>514</v>
      </c>
      <c r="F609" s="5" t="s">
        <v>6984</v>
      </c>
      <c r="G609" s="5" t="s">
        <v>6985</v>
      </c>
      <c r="H609" s="5" t="n">
        <v>10</v>
      </c>
      <c r="I609" s="5" t="s">
        <v>1221</v>
      </c>
      <c r="J609" s="5" t="s">
        <v>153</v>
      </c>
      <c r="K609" s="5" t="s">
        <v>6976</v>
      </c>
      <c r="L609" s="5" t="s">
        <v>55</v>
      </c>
      <c r="M609" s="5" t="s">
        <v>185</v>
      </c>
      <c r="N609" s="5" t="s">
        <v>5356</v>
      </c>
      <c r="O609" s="5" t="s">
        <v>6986</v>
      </c>
      <c r="P609" s="5" t="s">
        <v>641</v>
      </c>
      <c r="Q609" s="5" t="s">
        <v>461</v>
      </c>
      <c r="R609" s="5" t="s">
        <v>6658</v>
      </c>
      <c r="S609" s="5" t="s">
        <v>6659</v>
      </c>
      <c r="T609" s="5" t="s">
        <v>277</v>
      </c>
      <c r="U609" s="5" t="n">
        <v>365</v>
      </c>
      <c r="V609" s="5" t="s">
        <v>6660</v>
      </c>
      <c r="W609" s="5" t="s">
        <v>6661</v>
      </c>
      <c r="X609" s="5" t="s">
        <v>6987</v>
      </c>
      <c r="Y609" s="5" t="s">
        <v>6988</v>
      </c>
      <c r="Z609" s="5" t="s">
        <v>6989</v>
      </c>
      <c r="AA609" s="5"/>
      <c r="AB609" s="5"/>
      <c r="AC609" s="5"/>
      <c r="AD609" s="5"/>
      <c r="AE609" s="5"/>
      <c r="AF609" s="5"/>
      <c r="AG609" s="5"/>
      <c r="AH609" s="5"/>
      <c r="AI609" s="5"/>
      <c r="AJ609" s="5"/>
      <c r="AK609" s="5" t="s">
        <v>1714</v>
      </c>
      <c r="AL609" s="5"/>
      <c r="AM609" s="5"/>
      <c r="AN609" s="5"/>
      <c r="AO609" s="5" t="s">
        <v>5360</v>
      </c>
      <c r="AP609" s="5" t="s">
        <v>5361</v>
      </c>
      <c r="AQ609" s="5"/>
      <c r="AR609" s="5"/>
      <c r="AS609" s="5"/>
      <c r="AT609" s="5" t="s">
        <v>6990</v>
      </c>
      <c r="AU609" s="5"/>
      <c r="AV609" s="5" t="s">
        <v>178</v>
      </c>
      <c r="AW609" s="5" t="s">
        <v>3150</v>
      </c>
    </row>
    <row r="610" customFormat="false" ht="113.4" hidden="false" customHeight="false" outlineLevel="0" collapsed="false">
      <c r="A610" s="5" t="s">
        <v>6991</v>
      </c>
      <c r="B610" s="5" t="s">
        <v>6992</v>
      </c>
      <c r="C610" s="5" t="s">
        <v>6651</v>
      </c>
      <c r="D610" s="5" t="s">
        <v>6652</v>
      </c>
      <c r="E610" s="5" t="s">
        <v>514</v>
      </c>
      <c r="F610" s="5" t="s">
        <v>6993</v>
      </c>
      <c r="G610" s="5" t="s">
        <v>6994</v>
      </c>
      <c r="H610" s="5" t="n">
        <v>5</v>
      </c>
      <c r="I610" s="5" t="s">
        <v>1221</v>
      </c>
      <c r="J610" s="5" t="s">
        <v>153</v>
      </c>
      <c r="K610" s="5" t="s">
        <v>6976</v>
      </c>
      <c r="L610" s="5" t="s">
        <v>85</v>
      </c>
      <c r="M610" s="5" t="s">
        <v>185</v>
      </c>
      <c r="N610" s="5" t="s">
        <v>84</v>
      </c>
      <c r="O610" s="5" t="s">
        <v>214</v>
      </c>
      <c r="P610" s="5" t="s">
        <v>641</v>
      </c>
      <c r="Q610" s="5" t="s">
        <v>461</v>
      </c>
      <c r="R610" s="5" t="s">
        <v>6658</v>
      </c>
      <c r="S610" s="5" t="s">
        <v>6659</v>
      </c>
      <c r="T610" s="5" t="s">
        <v>277</v>
      </c>
      <c r="U610" s="5" t="n">
        <v>365</v>
      </c>
      <c r="V610" s="5" t="s">
        <v>6660</v>
      </c>
      <c r="W610" s="5" t="s">
        <v>6661</v>
      </c>
      <c r="X610" s="5" t="s">
        <v>6995</v>
      </c>
      <c r="Y610" s="5" t="s">
        <v>6996</v>
      </c>
      <c r="Z610" s="5" t="s">
        <v>6997</v>
      </c>
      <c r="AA610" s="5"/>
      <c r="AB610" s="5"/>
      <c r="AC610" s="5"/>
      <c r="AD610" s="5"/>
      <c r="AE610" s="5"/>
      <c r="AF610" s="5"/>
      <c r="AG610" s="5"/>
      <c r="AH610" s="5"/>
      <c r="AI610" s="5"/>
      <c r="AJ610" s="5"/>
      <c r="AK610" s="5"/>
      <c r="AL610" s="5"/>
      <c r="AM610" s="5"/>
      <c r="AN610" s="5"/>
      <c r="AO610" s="5"/>
      <c r="AP610" s="5" t="s">
        <v>6998</v>
      </c>
      <c r="AQ610" s="5"/>
      <c r="AR610" s="5"/>
      <c r="AS610" s="5"/>
      <c r="AT610" s="5"/>
      <c r="AU610" s="5"/>
      <c r="AV610" s="5"/>
      <c r="AW610" s="5" t="s">
        <v>3150</v>
      </c>
    </row>
    <row r="611" customFormat="false" ht="113.4" hidden="false" customHeight="false" outlineLevel="0" collapsed="false">
      <c r="A611" s="5" t="s">
        <v>6999</v>
      </c>
      <c r="B611" s="5" t="s">
        <v>7000</v>
      </c>
      <c r="C611" s="5" t="s">
        <v>6651</v>
      </c>
      <c r="D611" s="5" t="s">
        <v>6652</v>
      </c>
      <c r="E611" s="5" t="s">
        <v>514</v>
      </c>
      <c r="F611" s="5" t="s">
        <v>7001</v>
      </c>
      <c r="G611" s="5" t="s">
        <v>7002</v>
      </c>
      <c r="H611" s="5" t="n">
        <v>5</v>
      </c>
      <c r="I611" s="5" t="s">
        <v>152</v>
      </c>
      <c r="J611" s="5" t="s">
        <v>153</v>
      </c>
      <c r="K611" s="5"/>
      <c r="L611" s="5" t="s">
        <v>85</v>
      </c>
      <c r="M611" s="5" t="s">
        <v>185</v>
      </c>
      <c r="N611" s="5" t="s">
        <v>84</v>
      </c>
      <c r="O611" s="5" t="s">
        <v>214</v>
      </c>
      <c r="P611" s="5" t="s">
        <v>641</v>
      </c>
      <c r="Q611" s="5" t="s">
        <v>461</v>
      </c>
      <c r="R611" s="5" t="s">
        <v>6658</v>
      </c>
      <c r="S611" s="5" t="s">
        <v>6659</v>
      </c>
      <c r="T611" s="5" t="s">
        <v>162</v>
      </c>
      <c r="U611" s="5" t="n">
        <v>365</v>
      </c>
      <c r="V611" s="5" t="s">
        <v>6660</v>
      </c>
      <c r="W611" s="5" t="s">
        <v>6661</v>
      </c>
      <c r="X611" s="5" t="s">
        <v>7003</v>
      </c>
      <c r="Y611" s="5" t="s">
        <v>7004</v>
      </c>
      <c r="Z611" s="5" t="s">
        <v>7005</v>
      </c>
      <c r="AA611" s="5"/>
      <c r="AB611" s="5"/>
      <c r="AC611" s="5"/>
      <c r="AD611" s="5"/>
      <c r="AE611" s="5"/>
      <c r="AF611" s="5"/>
      <c r="AG611" s="5"/>
      <c r="AH611" s="5"/>
      <c r="AI611" s="5"/>
      <c r="AJ611" s="5"/>
      <c r="AK611" s="5"/>
      <c r="AL611" s="5"/>
      <c r="AM611" s="5"/>
      <c r="AN611" s="5"/>
      <c r="AO611" s="5"/>
      <c r="AP611" s="5" t="s">
        <v>7006</v>
      </c>
      <c r="AQ611" s="5"/>
      <c r="AR611" s="5"/>
      <c r="AS611" s="5"/>
      <c r="AT611" s="5"/>
      <c r="AU611" s="5"/>
      <c r="AV611" s="5"/>
      <c r="AW611" s="5" t="s">
        <v>3150</v>
      </c>
    </row>
    <row r="612" customFormat="false" ht="214.15" hidden="false" customHeight="false" outlineLevel="0" collapsed="false">
      <c r="A612" s="5" t="s">
        <v>7007</v>
      </c>
      <c r="B612" s="5" t="s">
        <v>7008</v>
      </c>
      <c r="C612" s="5" t="s">
        <v>6651</v>
      </c>
      <c r="D612" s="5" t="s">
        <v>6652</v>
      </c>
      <c r="E612" s="5" t="s">
        <v>514</v>
      </c>
      <c r="F612" s="5" t="s">
        <v>7009</v>
      </c>
      <c r="G612" s="5" t="s">
        <v>7010</v>
      </c>
      <c r="H612" s="5" t="n">
        <v>8</v>
      </c>
      <c r="I612" s="5" t="s">
        <v>152</v>
      </c>
      <c r="J612" s="5" t="s">
        <v>153</v>
      </c>
      <c r="K612" s="5"/>
      <c r="L612" s="5" t="s">
        <v>30</v>
      </c>
      <c r="M612" s="5" t="s">
        <v>155</v>
      </c>
      <c r="N612" s="5" t="s">
        <v>398</v>
      </c>
      <c r="O612" s="5" t="s">
        <v>6657</v>
      </c>
      <c r="P612" s="5" t="s">
        <v>641</v>
      </c>
      <c r="Q612" s="5" t="s">
        <v>461</v>
      </c>
      <c r="R612" s="5" t="s">
        <v>6658</v>
      </c>
      <c r="S612" s="5" t="s">
        <v>6659</v>
      </c>
      <c r="T612" s="5" t="s">
        <v>162</v>
      </c>
      <c r="U612" s="5" t="n">
        <v>365</v>
      </c>
      <c r="V612" s="5" t="s">
        <v>6660</v>
      </c>
      <c r="W612" s="5" t="s">
        <v>6661</v>
      </c>
      <c r="X612" s="5" t="s">
        <v>7011</v>
      </c>
      <c r="Y612" s="5" t="s">
        <v>7012</v>
      </c>
      <c r="Z612" s="5" t="s">
        <v>7013</v>
      </c>
      <c r="AA612" s="5"/>
      <c r="AB612" s="5"/>
      <c r="AC612" s="5"/>
      <c r="AD612" s="5"/>
      <c r="AE612" s="5"/>
      <c r="AF612" s="5" t="s">
        <v>7014</v>
      </c>
      <c r="AG612" s="5" t="s">
        <v>7014</v>
      </c>
      <c r="AH612" s="5"/>
      <c r="AI612" s="5"/>
      <c r="AJ612" s="5"/>
      <c r="AK612" s="5"/>
      <c r="AL612" s="5" t="s">
        <v>7014</v>
      </c>
      <c r="AM612" s="5"/>
      <c r="AN612" s="5"/>
      <c r="AO612" s="5"/>
      <c r="AP612" s="5"/>
      <c r="AQ612" s="5" t="s">
        <v>7014</v>
      </c>
      <c r="AR612" s="5" t="s">
        <v>175</v>
      </c>
      <c r="AS612" s="5"/>
      <c r="AT612" s="5" t="s">
        <v>7015</v>
      </c>
      <c r="AU612" s="5"/>
      <c r="AV612" s="5"/>
      <c r="AW612" s="5" t="s">
        <v>3150</v>
      </c>
    </row>
    <row r="613" customFormat="false" ht="124.6" hidden="false" customHeight="false" outlineLevel="0" collapsed="false">
      <c r="A613" s="5" t="s">
        <v>7016</v>
      </c>
      <c r="B613" s="5" t="s">
        <v>7017</v>
      </c>
      <c r="C613" s="5" t="s">
        <v>6651</v>
      </c>
      <c r="D613" s="5" t="s">
        <v>6652</v>
      </c>
      <c r="E613" s="5" t="s">
        <v>514</v>
      </c>
      <c r="F613" s="5" t="s">
        <v>7018</v>
      </c>
      <c r="G613" s="5" t="s">
        <v>7019</v>
      </c>
      <c r="H613" s="5" t="n">
        <v>5</v>
      </c>
      <c r="I613" s="5" t="s">
        <v>152</v>
      </c>
      <c r="J613" s="5" t="s">
        <v>153</v>
      </c>
      <c r="K613" s="5"/>
      <c r="L613" s="5" t="s">
        <v>30</v>
      </c>
      <c r="M613" s="5" t="s">
        <v>155</v>
      </c>
      <c r="N613" s="5" t="s">
        <v>6677</v>
      </c>
      <c r="O613" s="5" t="s">
        <v>6657</v>
      </c>
      <c r="P613" s="5" t="s">
        <v>641</v>
      </c>
      <c r="Q613" s="5" t="s">
        <v>461</v>
      </c>
      <c r="R613" s="5" t="s">
        <v>6658</v>
      </c>
      <c r="S613" s="5" t="s">
        <v>6659</v>
      </c>
      <c r="T613" s="5" t="s">
        <v>162</v>
      </c>
      <c r="U613" s="5" t="n">
        <v>365</v>
      </c>
      <c r="V613" s="5" t="s">
        <v>6660</v>
      </c>
      <c r="W613" s="5" t="s">
        <v>6661</v>
      </c>
      <c r="X613" s="5" t="s">
        <v>7020</v>
      </c>
      <c r="Y613" s="5" t="s">
        <v>7021</v>
      </c>
      <c r="Z613" s="5" t="s">
        <v>7022</v>
      </c>
      <c r="AA613" s="5"/>
      <c r="AB613" s="5"/>
      <c r="AC613" s="5"/>
      <c r="AD613" s="5"/>
      <c r="AE613" s="5"/>
      <c r="AF613" s="5" t="s">
        <v>684</v>
      </c>
      <c r="AG613" s="5" t="s">
        <v>684</v>
      </c>
      <c r="AH613" s="5"/>
      <c r="AI613" s="5"/>
      <c r="AJ613" s="5"/>
      <c r="AK613" s="5"/>
      <c r="AL613" s="5" t="s">
        <v>684</v>
      </c>
      <c r="AM613" s="5"/>
      <c r="AN613" s="5"/>
      <c r="AO613" s="5"/>
      <c r="AP613" s="5" t="s">
        <v>7023</v>
      </c>
      <c r="AQ613" s="5" t="s">
        <v>684</v>
      </c>
      <c r="AR613" s="5" t="s">
        <v>687</v>
      </c>
      <c r="AS613" s="5"/>
      <c r="AT613" s="5"/>
      <c r="AU613" s="5"/>
      <c r="AV613" s="5"/>
      <c r="AW613" s="5" t="s">
        <v>3150</v>
      </c>
    </row>
    <row r="614" customFormat="false" ht="202.95" hidden="false" customHeight="false" outlineLevel="0" collapsed="false">
      <c r="A614" s="5" t="s">
        <v>7024</v>
      </c>
      <c r="B614" s="5" t="s">
        <v>7025</v>
      </c>
      <c r="C614" s="5" t="s">
        <v>6651</v>
      </c>
      <c r="D614" s="5" t="s">
        <v>6652</v>
      </c>
      <c r="E614" s="5" t="s">
        <v>514</v>
      </c>
      <c r="F614" s="5" t="s">
        <v>7026</v>
      </c>
      <c r="G614" s="5" t="s">
        <v>7027</v>
      </c>
      <c r="H614" s="5" t="n">
        <v>5</v>
      </c>
      <c r="I614" s="5" t="s">
        <v>152</v>
      </c>
      <c r="J614" s="5" t="s">
        <v>153</v>
      </c>
      <c r="K614" s="5"/>
      <c r="L614" s="5" t="s">
        <v>30</v>
      </c>
      <c r="M614" s="5" t="s">
        <v>155</v>
      </c>
      <c r="N614" s="5" t="s">
        <v>6677</v>
      </c>
      <c r="O614" s="5" t="s">
        <v>6657</v>
      </c>
      <c r="P614" s="5" t="s">
        <v>641</v>
      </c>
      <c r="Q614" s="5" t="s">
        <v>461</v>
      </c>
      <c r="R614" s="5" t="s">
        <v>6658</v>
      </c>
      <c r="S614" s="5" t="s">
        <v>6659</v>
      </c>
      <c r="T614" s="5" t="s">
        <v>162</v>
      </c>
      <c r="U614" s="5" t="n">
        <v>365</v>
      </c>
      <c r="V614" s="5" t="s">
        <v>6660</v>
      </c>
      <c r="W614" s="5" t="s">
        <v>6661</v>
      </c>
      <c r="X614" s="5" t="s">
        <v>7028</v>
      </c>
      <c r="Y614" s="5" t="s">
        <v>7029</v>
      </c>
      <c r="Z614" s="5" t="s">
        <v>7030</v>
      </c>
      <c r="AA614" s="5"/>
      <c r="AB614" s="5"/>
      <c r="AC614" s="5"/>
      <c r="AD614" s="5"/>
      <c r="AE614" s="5"/>
      <c r="AF614" s="5" t="s">
        <v>7031</v>
      </c>
      <c r="AG614" s="5" t="s">
        <v>7031</v>
      </c>
      <c r="AH614" s="5"/>
      <c r="AI614" s="5"/>
      <c r="AJ614" s="5"/>
      <c r="AK614" s="5"/>
      <c r="AL614" s="5" t="s">
        <v>7031</v>
      </c>
      <c r="AM614" s="5"/>
      <c r="AN614" s="5"/>
      <c r="AO614" s="5"/>
      <c r="AP614" s="5" t="s">
        <v>7032</v>
      </c>
      <c r="AQ614" s="5" t="s">
        <v>7031</v>
      </c>
      <c r="AR614" s="5" t="s">
        <v>175</v>
      </c>
      <c r="AS614" s="5"/>
      <c r="AT614" s="5"/>
      <c r="AU614" s="5"/>
      <c r="AV614" s="5"/>
      <c r="AW614" s="5" t="s">
        <v>3150</v>
      </c>
    </row>
    <row r="615" customFormat="false" ht="113.4" hidden="false" customHeight="false" outlineLevel="0" collapsed="false">
      <c r="A615" s="5" t="s">
        <v>7033</v>
      </c>
      <c r="B615" s="5" t="s">
        <v>7034</v>
      </c>
      <c r="C615" s="5" t="s">
        <v>6651</v>
      </c>
      <c r="D615" s="5" t="s">
        <v>6652</v>
      </c>
      <c r="E615" s="5" t="s">
        <v>514</v>
      </c>
      <c r="F615" s="5" t="s">
        <v>7035</v>
      </c>
      <c r="G615" s="5" t="s">
        <v>7036</v>
      </c>
      <c r="H615" s="5" t="n">
        <v>1</v>
      </c>
      <c r="I615" s="5" t="s">
        <v>603</v>
      </c>
      <c r="J615" s="5" t="s">
        <v>557</v>
      </c>
      <c r="K615" s="5"/>
      <c r="L615" s="5" t="s">
        <v>85</v>
      </c>
      <c r="M615" s="5" t="s">
        <v>185</v>
      </c>
      <c r="N615" s="5" t="s">
        <v>88</v>
      </c>
      <c r="O615" s="5" t="s">
        <v>214</v>
      </c>
      <c r="P615" s="5" t="s">
        <v>215</v>
      </c>
      <c r="Q615" s="5" t="s">
        <v>461</v>
      </c>
      <c r="R615" s="5" t="s">
        <v>6658</v>
      </c>
      <c r="S615" s="5" t="s">
        <v>6659</v>
      </c>
      <c r="T615" s="5" t="s">
        <v>606</v>
      </c>
      <c r="U615" s="5" t="n">
        <v>90</v>
      </c>
      <c r="V615" s="5" t="s">
        <v>6660</v>
      </c>
      <c r="W615" s="5" t="s">
        <v>6661</v>
      </c>
      <c r="X615" s="5" t="s">
        <v>7037</v>
      </c>
      <c r="Y615" s="5" t="s">
        <v>7038</v>
      </c>
      <c r="Z615" s="5" t="s">
        <v>7039</v>
      </c>
      <c r="AA615" s="5"/>
      <c r="AB615" s="5"/>
      <c r="AC615" s="5"/>
      <c r="AD615" s="5"/>
      <c r="AE615" s="5"/>
      <c r="AF615" s="5" t="s">
        <v>7040</v>
      </c>
      <c r="AG615" s="5"/>
      <c r="AH615" s="5"/>
      <c r="AI615" s="5"/>
      <c r="AJ615" s="5"/>
      <c r="AK615" s="5"/>
      <c r="AL615" s="5" t="s">
        <v>7040</v>
      </c>
      <c r="AM615" s="5"/>
      <c r="AN615" s="5"/>
      <c r="AO615" s="5"/>
      <c r="AP615" s="5"/>
      <c r="AQ615" s="5" t="s">
        <v>7040</v>
      </c>
      <c r="AR615" s="5" t="s">
        <v>6693</v>
      </c>
      <c r="AS615" s="5"/>
      <c r="AT615" s="5"/>
      <c r="AU615" s="5"/>
      <c r="AV615" s="5"/>
      <c r="AW615" s="5" t="s">
        <v>3150</v>
      </c>
    </row>
    <row r="616" customFormat="false" ht="113.4" hidden="false" customHeight="false" outlineLevel="0" collapsed="false">
      <c r="A616" s="5" t="s">
        <v>7041</v>
      </c>
      <c r="B616" s="5" t="s">
        <v>7042</v>
      </c>
      <c r="C616" s="5" t="s">
        <v>6651</v>
      </c>
      <c r="D616" s="5" t="s">
        <v>6652</v>
      </c>
      <c r="E616" s="5" t="s">
        <v>514</v>
      </c>
      <c r="F616" s="5" t="s">
        <v>7043</v>
      </c>
      <c r="G616" s="5" t="s">
        <v>7044</v>
      </c>
      <c r="H616" s="5" t="n">
        <v>3</v>
      </c>
      <c r="I616" s="5" t="s">
        <v>1221</v>
      </c>
      <c r="J616" s="5" t="s">
        <v>153</v>
      </c>
      <c r="K616" s="5"/>
      <c r="L616" s="5" t="s">
        <v>85</v>
      </c>
      <c r="M616" s="5" t="s">
        <v>185</v>
      </c>
      <c r="N616" s="5" t="s">
        <v>88</v>
      </c>
      <c r="O616" s="5" t="s">
        <v>214</v>
      </c>
      <c r="P616" s="5" t="s">
        <v>215</v>
      </c>
      <c r="Q616" s="5" t="s">
        <v>461</v>
      </c>
      <c r="R616" s="5" t="s">
        <v>6658</v>
      </c>
      <c r="S616" s="5" t="s">
        <v>6659</v>
      </c>
      <c r="T616" s="5" t="s">
        <v>277</v>
      </c>
      <c r="U616" s="5" t="n">
        <v>365</v>
      </c>
      <c r="V616" s="5" t="s">
        <v>6660</v>
      </c>
      <c r="W616" s="5" t="s">
        <v>6661</v>
      </c>
      <c r="X616" s="5" t="s">
        <v>7045</v>
      </c>
      <c r="Y616" s="5" t="s">
        <v>7046</v>
      </c>
      <c r="Z616" s="5" t="s">
        <v>7047</v>
      </c>
      <c r="AA616" s="5"/>
      <c r="AB616" s="5"/>
      <c r="AC616" s="5"/>
      <c r="AD616" s="5"/>
      <c r="AE616" s="5"/>
      <c r="AF616" s="5" t="s">
        <v>3198</v>
      </c>
      <c r="AG616" s="5"/>
      <c r="AH616" s="5"/>
      <c r="AI616" s="5"/>
      <c r="AJ616" s="5"/>
      <c r="AK616" s="5"/>
      <c r="AL616" s="5" t="s">
        <v>3198</v>
      </c>
      <c r="AM616" s="5"/>
      <c r="AN616" s="5"/>
      <c r="AO616" s="5"/>
      <c r="AP616" s="5"/>
      <c r="AQ616" s="5" t="s">
        <v>3198</v>
      </c>
      <c r="AR616" s="5" t="s">
        <v>6693</v>
      </c>
      <c r="AS616" s="5"/>
      <c r="AT616" s="5"/>
      <c r="AU616" s="5"/>
      <c r="AV616" s="5"/>
      <c r="AW616" s="5" t="s">
        <v>3150</v>
      </c>
    </row>
    <row r="617" customFormat="false" ht="147" hidden="false" customHeight="false" outlineLevel="0" collapsed="false">
      <c r="A617" s="5" t="s">
        <v>7048</v>
      </c>
      <c r="B617" s="5" t="s">
        <v>7049</v>
      </c>
      <c r="C617" s="5" t="s">
        <v>6651</v>
      </c>
      <c r="D617" s="5" t="s">
        <v>6652</v>
      </c>
      <c r="E617" s="5" t="s">
        <v>514</v>
      </c>
      <c r="F617" s="5" t="s">
        <v>7050</v>
      </c>
      <c r="G617" s="5" t="s">
        <v>7051</v>
      </c>
      <c r="H617" s="5" t="n">
        <v>3</v>
      </c>
      <c r="I617" s="5" t="s">
        <v>152</v>
      </c>
      <c r="J617" s="5" t="s">
        <v>153</v>
      </c>
      <c r="K617" s="5"/>
      <c r="L617" s="5" t="s">
        <v>30</v>
      </c>
      <c r="M617" s="5" t="s">
        <v>155</v>
      </c>
      <c r="N617" s="5" t="s">
        <v>398</v>
      </c>
      <c r="O617" s="5" t="s">
        <v>6657</v>
      </c>
      <c r="P617" s="5" t="s">
        <v>641</v>
      </c>
      <c r="Q617" s="5" t="s">
        <v>461</v>
      </c>
      <c r="R617" s="5" t="s">
        <v>6658</v>
      </c>
      <c r="S617" s="5" t="s">
        <v>6659</v>
      </c>
      <c r="T617" s="5" t="s">
        <v>162</v>
      </c>
      <c r="U617" s="5" t="n">
        <v>365</v>
      </c>
      <c r="V617" s="5" t="s">
        <v>6660</v>
      </c>
      <c r="W617" s="5" t="s">
        <v>6661</v>
      </c>
      <c r="X617" s="5" t="s">
        <v>7052</v>
      </c>
      <c r="Y617" s="5" t="s">
        <v>7053</v>
      </c>
      <c r="Z617" s="5" t="s">
        <v>7054</v>
      </c>
      <c r="AA617" s="5"/>
      <c r="AB617" s="5"/>
      <c r="AC617" s="5"/>
      <c r="AD617" s="5"/>
      <c r="AE617" s="5"/>
      <c r="AF617" s="5" t="s">
        <v>403</v>
      </c>
      <c r="AG617" s="5" t="s">
        <v>403</v>
      </c>
      <c r="AH617" s="5"/>
      <c r="AI617" s="5"/>
      <c r="AJ617" s="5"/>
      <c r="AK617" s="5"/>
      <c r="AL617" s="5" t="s">
        <v>403</v>
      </c>
      <c r="AM617" s="5"/>
      <c r="AN617" s="5"/>
      <c r="AO617" s="5"/>
      <c r="AP617" s="5"/>
      <c r="AQ617" s="5" t="s">
        <v>403</v>
      </c>
      <c r="AR617" s="5" t="s">
        <v>175</v>
      </c>
      <c r="AS617" s="5"/>
      <c r="AT617" s="5"/>
      <c r="AU617" s="5"/>
      <c r="AV617" s="5"/>
      <c r="AW617" s="5" t="s">
        <v>3150</v>
      </c>
    </row>
    <row r="618" customFormat="false" ht="169.4" hidden="false" customHeight="false" outlineLevel="0" collapsed="false">
      <c r="A618" s="5" t="s">
        <v>7055</v>
      </c>
      <c r="B618" s="5" t="s">
        <v>7056</v>
      </c>
      <c r="C618" s="5" t="s">
        <v>6651</v>
      </c>
      <c r="D618" s="5" t="s">
        <v>6652</v>
      </c>
      <c r="E618" s="5" t="s">
        <v>514</v>
      </c>
      <c r="F618" s="5" t="s">
        <v>7057</v>
      </c>
      <c r="G618" s="5" t="s">
        <v>7058</v>
      </c>
      <c r="H618" s="5" t="n">
        <v>8</v>
      </c>
      <c r="I618" s="5" t="s">
        <v>152</v>
      </c>
      <c r="J618" s="5" t="s">
        <v>652</v>
      </c>
      <c r="K618" s="5"/>
      <c r="L618" s="5" t="s">
        <v>30</v>
      </c>
      <c r="M618" s="5" t="s">
        <v>155</v>
      </c>
      <c r="N618" s="5" t="s">
        <v>6677</v>
      </c>
      <c r="O618" s="5" t="s">
        <v>6657</v>
      </c>
      <c r="P618" s="5" t="s">
        <v>158</v>
      </c>
      <c r="Q618" s="5" t="s">
        <v>159</v>
      </c>
      <c r="R618" s="5" t="s">
        <v>6658</v>
      </c>
      <c r="S618" s="5" t="s">
        <v>6659</v>
      </c>
      <c r="T618" s="5" t="s">
        <v>162</v>
      </c>
      <c r="U618" s="5" t="n">
        <v>180</v>
      </c>
      <c r="V618" s="5" t="s">
        <v>6660</v>
      </c>
      <c r="W618" s="5" t="s">
        <v>6661</v>
      </c>
      <c r="X618" s="5" t="s">
        <v>7059</v>
      </c>
      <c r="Y618" s="5" t="s">
        <v>7060</v>
      </c>
      <c r="Z618" s="5" t="s">
        <v>7061</v>
      </c>
      <c r="AA618" s="5"/>
      <c r="AB618" s="5"/>
      <c r="AC618" s="5"/>
      <c r="AD618" s="5"/>
      <c r="AE618" s="5"/>
      <c r="AF618" s="5" t="s">
        <v>7062</v>
      </c>
      <c r="AG618" s="5" t="s">
        <v>7062</v>
      </c>
      <c r="AH618" s="5"/>
      <c r="AI618" s="5"/>
      <c r="AJ618" s="5"/>
      <c r="AK618" s="5"/>
      <c r="AL618" s="5" t="s">
        <v>7062</v>
      </c>
      <c r="AM618" s="5"/>
      <c r="AN618" s="5"/>
      <c r="AO618" s="5"/>
      <c r="AP618" s="5" t="s">
        <v>7023</v>
      </c>
      <c r="AQ618" s="5" t="s">
        <v>7062</v>
      </c>
      <c r="AR618" s="5" t="s">
        <v>175</v>
      </c>
      <c r="AS618" s="5"/>
      <c r="AT618" s="5"/>
      <c r="AU618" s="5"/>
      <c r="AV618" s="5"/>
      <c r="AW618" s="5" t="s">
        <v>3150</v>
      </c>
    </row>
    <row r="619" customFormat="false" ht="191.75" hidden="false" customHeight="false" outlineLevel="0" collapsed="false">
      <c r="A619" s="5" t="s">
        <v>7063</v>
      </c>
      <c r="B619" s="5" t="s">
        <v>7064</v>
      </c>
      <c r="C619" s="5" t="s">
        <v>6651</v>
      </c>
      <c r="D619" s="5" t="s">
        <v>6652</v>
      </c>
      <c r="E619" s="5" t="s">
        <v>514</v>
      </c>
      <c r="F619" s="5" t="s">
        <v>7065</v>
      </c>
      <c r="G619" s="5" t="s">
        <v>7066</v>
      </c>
      <c r="H619" s="5" t="n">
        <v>8</v>
      </c>
      <c r="I619" s="5" t="s">
        <v>152</v>
      </c>
      <c r="J619" s="5" t="s">
        <v>153</v>
      </c>
      <c r="K619" s="5" t="s">
        <v>7067</v>
      </c>
      <c r="L619" s="5" t="s">
        <v>30</v>
      </c>
      <c r="M619" s="5" t="s">
        <v>155</v>
      </c>
      <c r="N619" s="5" t="s">
        <v>6677</v>
      </c>
      <c r="O619" s="5" t="s">
        <v>6657</v>
      </c>
      <c r="P619" s="5" t="s">
        <v>641</v>
      </c>
      <c r="Q619" s="5" t="s">
        <v>461</v>
      </c>
      <c r="R619" s="5" t="s">
        <v>6658</v>
      </c>
      <c r="S619" s="5" t="s">
        <v>6659</v>
      </c>
      <c r="T619" s="5" t="s">
        <v>162</v>
      </c>
      <c r="U619" s="5" t="n">
        <v>365</v>
      </c>
      <c r="V619" s="5" t="s">
        <v>6660</v>
      </c>
      <c r="W619" s="5" t="s">
        <v>6661</v>
      </c>
      <c r="X619" s="5" t="s">
        <v>7068</v>
      </c>
      <c r="Y619" s="5" t="s">
        <v>7069</v>
      </c>
      <c r="Z619" s="5" t="s">
        <v>7070</v>
      </c>
      <c r="AA619" s="5"/>
      <c r="AB619" s="5"/>
      <c r="AC619" s="5"/>
      <c r="AD619" s="5"/>
      <c r="AE619" s="5"/>
      <c r="AF619" s="5" t="s">
        <v>7071</v>
      </c>
      <c r="AG619" s="5" t="s">
        <v>7071</v>
      </c>
      <c r="AH619" s="5"/>
      <c r="AI619" s="5"/>
      <c r="AJ619" s="5"/>
      <c r="AK619" s="5"/>
      <c r="AL619" s="5" t="s">
        <v>7071</v>
      </c>
      <c r="AM619" s="5"/>
      <c r="AN619" s="5"/>
      <c r="AO619" s="5"/>
      <c r="AP619" s="5" t="s">
        <v>7072</v>
      </c>
      <c r="AQ619" s="5" t="s">
        <v>7071</v>
      </c>
      <c r="AR619" s="5" t="s">
        <v>175</v>
      </c>
      <c r="AS619" s="5"/>
      <c r="AT619" s="5"/>
      <c r="AU619" s="5"/>
      <c r="AV619" s="5"/>
      <c r="AW619" s="5" t="s">
        <v>3150</v>
      </c>
    </row>
    <row r="620" customFormat="false" ht="202.95" hidden="false" customHeight="false" outlineLevel="0" collapsed="false">
      <c r="A620" s="5" t="s">
        <v>7073</v>
      </c>
      <c r="B620" s="5" t="s">
        <v>7074</v>
      </c>
      <c r="C620" s="5" t="s">
        <v>7075</v>
      </c>
      <c r="D620" s="5" t="s">
        <v>7076</v>
      </c>
      <c r="E620" s="5" t="s">
        <v>149</v>
      </c>
      <c r="F620" s="5" t="s">
        <v>7077</v>
      </c>
      <c r="G620" s="5" t="s">
        <v>7078</v>
      </c>
      <c r="H620" s="5" t="n">
        <v>8</v>
      </c>
      <c r="I620" s="5" t="s">
        <v>152</v>
      </c>
      <c r="J620" s="5" t="s">
        <v>153</v>
      </c>
      <c r="K620" s="5" t="s">
        <v>7079</v>
      </c>
      <c r="L620" s="5" t="s">
        <v>55</v>
      </c>
      <c r="M620" s="5" t="s">
        <v>185</v>
      </c>
      <c r="N620" s="5" t="s">
        <v>7080</v>
      </c>
      <c r="O620" s="5" t="s">
        <v>187</v>
      </c>
      <c r="P620" s="5" t="s">
        <v>158</v>
      </c>
      <c r="Q620" s="5" t="s">
        <v>159</v>
      </c>
      <c r="R620" s="5" t="s">
        <v>7081</v>
      </c>
      <c r="S620" s="5" t="s">
        <v>7082</v>
      </c>
      <c r="T620" s="5" t="s">
        <v>162</v>
      </c>
      <c r="U620" s="5" t="n">
        <v>365</v>
      </c>
      <c r="V620" s="5" t="s">
        <v>7083</v>
      </c>
      <c r="W620" s="5" t="s">
        <v>7084</v>
      </c>
      <c r="X620" s="5" t="s">
        <v>7085</v>
      </c>
      <c r="Y620" s="5" t="s">
        <v>7086</v>
      </c>
      <c r="Z620" s="5" t="s">
        <v>7087</v>
      </c>
      <c r="AA620" s="5"/>
      <c r="AB620" s="5"/>
      <c r="AC620" s="5"/>
      <c r="AD620" s="5"/>
      <c r="AE620" s="5"/>
      <c r="AF620" s="5" t="s">
        <v>7088</v>
      </c>
      <c r="AG620" s="5"/>
      <c r="AH620" s="5"/>
      <c r="AI620" s="5"/>
      <c r="AJ620" s="5" t="s">
        <v>7089</v>
      </c>
      <c r="AK620" s="5" t="s">
        <v>7090</v>
      </c>
      <c r="AL620" s="5" t="s">
        <v>7088</v>
      </c>
      <c r="AM620" s="5"/>
      <c r="AN620" s="5" t="s">
        <v>1686</v>
      </c>
      <c r="AO620" s="5"/>
      <c r="AP620" s="5"/>
      <c r="AQ620" s="5" t="s">
        <v>7088</v>
      </c>
      <c r="AR620" s="5" t="s">
        <v>1933</v>
      </c>
      <c r="AS620" s="5" t="s">
        <v>7091</v>
      </c>
      <c r="AT620" s="5" t="s">
        <v>7092</v>
      </c>
      <c r="AU620" s="5"/>
      <c r="AV620" s="5" t="s">
        <v>178</v>
      </c>
      <c r="AW620" s="5" t="s">
        <v>7093</v>
      </c>
    </row>
    <row r="621" customFormat="false" ht="113.4" hidden="false" customHeight="false" outlineLevel="0" collapsed="false">
      <c r="A621" s="5" t="s">
        <v>7094</v>
      </c>
      <c r="B621" s="5" t="s">
        <v>7095</v>
      </c>
      <c r="C621" s="5" t="s">
        <v>7075</v>
      </c>
      <c r="D621" s="5" t="s">
        <v>7076</v>
      </c>
      <c r="E621" s="5" t="s">
        <v>514</v>
      </c>
      <c r="F621" s="5" t="s">
        <v>7096</v>
      </c>
      <c r="G621" s="5" t="s">
        <v>7097</v>
      </c>
      <c r="H621" s="5" t="n">
        <v>5</v>
      </c>
      <c r="I621" s="5" t="s">
        <v>152</v>
      </c>
      <c r="J621" s="5" t="s">
        <v>153</v>
      </c>
      <c r="K621" s="5" t="s">
        <v>373</v>
      </c>
      <c r="L621" s="5" t="s">
        <v>55</v>
      </c>
      <c r="M621" s="5" t="s">
        <v>185</v>
      </c>
      <c r="N621" s="5" t="s">
        <v>186</v>
      </c>
      <c r="O621" s="5" t="s">
        <v>187</v>
      </c>
      <c r="P621" s="5" t="s">
        <v>215</v>
      </c>
      <c r="Q621" s="5" t="s">
        <v>451</v>
      </c>
      <c r="R621" s="5" t="s">
        <v>7081</v>
      </c>
      <c r="S621" s="5" t="s">
        <v>7082</v>
      </c>
      <c r="T621" s="5" t="s">
        <v>162</v>
      </c>
      <c r="U621" s="5" t="n">
        <v>365</v>
      </c>
      <c r="V621" s="5" t="s">
        <v>7083</v>
      </c>
      <c r="W621" s="5" t="s">
        <v>7084</v>
      </c>
      <c r="X621" s="5" t="s">
        <v>7098</v>
      </c>
      <c r="Y621" s="5" t="s">
        <v>7099</v>
      </c>
      <c r="Z621" s="5" t="s">
        <v>7100</v>
      </c>
      <c r="AA621" s="5"/>
      <c r="AB621" s="5"/>
      <c r="AC621" s="5"/>
      <c r="AD621" s="5"/>
      <c r="AE621" s="5"/>
      <c r="AF621" s="5"/>
      <c r="AG621" s="5"/>
      <c r="AH621" s="5"/>
      <c r="AI621" s="5"/>
      <c r="AJ621" s="5" t="s">
        <v>7101</v>
      </c>
      <c r="AK621" s="5" t="s">
        <v>7102</v>
      </c>
      <c r="AL621" s="5"/>
      <c r="AM621" s="5"/>
      <c r="AN621" s="5"/>
      <c r="AO621" s="5"/>
      <c r="AP621" s="5"/>
      <c r="AQ621" s="5"/>
      <c r="AR621" s="5"/>
      <c r="AS621" s="5"/>
      <c r="AT621" s="5"/>
      <c r="AU621" s="5"/>
      <c r="AV621" s="5" t="s">
        <v>178</v>
      </c>
      <c r="AW621" s="5" t="s">
        <v>7103</v>
      </c>
    </row>
    <row r="622" customFormat="false" ht="113.4" hidden="false" customHeight="false" outlineLevel="0" collapsed="false">
      <c r="A622" s="5" t="s">
        <v>7104</v>
      </c>
      <c r="B622" s="5" t="s">
        <v>7105</v>
      </c>
      <c r="C622" s="5" t="s">
        <v>7075</v>
      </c>
      <c r="D622" s="5" t="s">
        <v>7076</v>
      </c>
      <c r="E622" s="5" t="s">
        <v>514</v>
      </c>
      <c r="F622" s="5" t="s">
        <v>7106</v>
      </c>
      <c r="G622" s="5" t="s">
        <v>7107</v>
      </c>
      <c r="H622" s="5" t="n">
        <v>8</v>
      </c>
      <c r="I622" s="5" t="s">
        <v>152</v>
      </c>
      <c r="J622" s="5" t="s">
        <v>153</v>
      </c>
      <c r="K622" s="5" t="s">
        <v>7079</v>
      </c>
      <c r="L622" s="5" t="s">
        <v>30</v>
      </c>
      <c r="M622" s="5" t="s">
        <v>155</v>
      </c>
      <c r="N622" s="5" t="s">
        <v>2822</v>
      </c>
      <c r="O622" s="5" t="s">
        <v>157</v>
      </c>
      <c r="P622" s="5" t="s">
        <v>158</v>
      </c>
      <c r="Q622" s="5" t="s">
        <v>159</v>
      </c>
      <c r="R622" s="5" t="s">
        <v>7081</v>
      </c>
      <c r="S622" s="5" t="s">
        <v>7082</v>
      </c>
      <c r="T622" s="5" t="s">
        <v>162</v>
      </c>
      <c r="U622" s="5" t="n">
        <v>365</v>
      </c>
      <c r="V622" s="5" t="s">
        <v>7083</v>
      </c>
      <c r="W622" s="5" t="s">
        <v>7084</v>
      </c>
      <c r="X622" s="5" t="s">
        <v>7108</v>
      </c>
      <c r="Y622" s="5" t="s">
        <v>7109</v>
      </c>
      <c r="Z622" s="5" t="s">
        <v>7110</v>
      </c>
      <c r="AA622" s="5"/>
      <c r="AB622" s="5"/>
      <c r="AC622" s="5"/>
      <c r="AD622" s="5"/>
      <c r="AE622" s="5"/>
      <c r="AF622" s="5" t="s">
        <v>7111</v>
      </c>
      <c r="AG622" s="5" t="s">
        <v>7111</v>
      </c>
      <c r="AH622" s="5"/>
      <c r="AI622" s="5"/>
      <c r="AJ622" s="5"/>
      <c r="AK622" s="5" t="s">
        <v>7112</v>
      </c>
      <c r="AL622" s="5" t="s">
        <v>7111</v>
      </c>
      <c r="AM622" s="5"/>
      <c r="AN622" s="5"/>
      <c r="AO622" s="5"/>
      <c r="AP622" s="5"/>
      <c r="AQ622" s="5" t="s">
        <v>7111</v>
      </c>
      <c r="AR622" s="5" t="s">
        <v>175</v>
      </c>
      <c r="AS622" s="5" t="s">
        <v>7113</v>
      </c>
      <c r="AT622" s="5" t="s">
        <v>3744</v>
      </c>
      <c r="AU622" s="5"/>
      <c r="AV622" s="5" t="s">
        <v>178</v>
      </c>
      <c r="AW622" s="5" t="s">
        <v>7114</v>
      </c>
    </row>
    <row r="623" customFormat="false" ht="147" hidden="false" customHeight="false" outlineLevel="0" collapsed="false">
      <c r="A623" s="5" t="s">
        <v>7115</v>
      </c>
      <c r="B623" s="5" t="s">
        <v>7116</v>
      </c>
      <c r="C623" s="5" t="s">
        <v>7075</v>
      </c>
      <c r="D623" s="5" t="s">
        <v>7076</v>
      </c>
      <c r="E623" s="5" t="s">
        <v>514</v>
      </c>
      <c r="F623" s="5" t="s">
        <v>7117</v>
      </c>
      <c r="G623" s="5" t="s">
        <v>7118</v>
      </c>
      <c r="H623" s="5" t="n">
        <v>8</v>
      </c>
      <c r="I623" s="5" t="s">
        <v>152</v>
      </c>
      <c r="J623" s="5" t="s">
        <v>153</v>
      </c>
      <c r="K623" s="5" t="s">
        <v>7119</v>
      </c>
      <c r="L623" s="5" t="s">
        <v>30</v>
      </c>
      <c r="M623" s="5" t="s">
        <v>155</v>
      </c>
      <c r="N623" s="5" t="s">
        <v>1500</v>
      </c>
      <c r="O623" s="5" t="s">
        <v>157</v>
      </c>
      <c r="P623" s="5" t="s">
        <v>158</v>
      </c>
      <c r="Q623" s="5" t="s">
        <v>159</v>
      </c>
      <c r="R623" s="5" t="s">
        <v>7081</v>
      </c>
      <c r="S623" s="5" t="s">
        <v>7082</v>
      </c>
      <c r="T623" s="5" t="s">
        <v>162</v>
      </c>
      <c r="U623" s="5" t="n">
        <v>365</v>
      </c>
      <c r="V623" s="5" t="s">
        <v>7083</v>
      </c>
      <c r="W623" s="5" t="s">
        <v>7084</v>
      </c>
      <c r="X623" s="5" t="s">
        <v>7120</v>
      </c>
      <c r="Y623" s="5" t="s">
        <v>7121</v>
      </c>
      <c r="Z623" s="5" t="s">
        <v>7122</v>
      </c>
      <c r="AA623" s="5"/>
      <c r="AB623" s="5"/>
      <c r="AC623" s="5"/>
      <c r="AD623" s="5"/>
      <c r="AE623" s="5"/>
      <c r="AF623" s="5" t="s">
        <v>7123</v>
      </c>
      <c r="AG623" s="5" t="s">
        <v>7123</v>
      </c>
      <c r="AH623" s="5"/>
      <c r="AI623" s="5"/>
      <c r="AJ623" s="5" t="s">
        <v>7124</v>
      </c>
      <c r="AK623" s="5" t="s">
        <v>7112</v>
      </c>
      <c r="AL623" s="5" t="s">
        <v>7123</v>
      </c>
      <c r="AM623" s="5"/>
      <c r="AN623" s="5" t="s">
        <v>7125</v>
      </c>
      <c r="AO623" s="5"/>
      <c r="AP623" s="5"/>
      <c r="AQ623" s="5" t="s">
        <v>7123</v>
      </c>
      <c r="AR623" s="5" t="s">
        <v>687</v>
      </c>
      <c r="AS623" s="5"/>
      <c r="AT623" s="5"/>
      <c r="AU623" s="5"/>
      <c r="AV623" s="5" t="s">
        <v>178</v>
      </c>
      <c r="AW623" s="5" t="s">
        <v>7126</v>
      </c>
    </row>
    <row r="624" customFormat="false" ht="214.15" hidden="false" customHeight="false" outlineLevel="0" collapsed="false">
      <c r="A624" s="5" t="s">
        <v>7127</v>
      </c>
      <c r="B624" s="5" t="s">
        <v>7128</v>
      </c>
      <c r="C624" s="5" t="s">
        <v>7075</v>
      </c>
      <c r="D624" s="5" t="s">
        <v>7076</v>
      </c>
      <c r="E624" s="5" t="s">
        <v>514</v>
      </c>
      <c r="F624" s="5" t="s">
        <v>7129</v>
      </c>
      <c r="G624" s="5" t="s">
        <v>7130</v>
      </c>
      <c r="H624" s="5" t="n">
        <v>10</v>
      </c>
      <c r="I624" s="5" t="s">
        <v>152</v>
      </c>
      <c r="J624" s="5" t="s">
        <v>153</v>
      </c>
      <c r="K624" s="5" t="s">
        <v>7131</v>
      </c>
      <c r="L624" s="5" t="s">
        <v>30</v>
      </c>
      <c r="M624" s="5" t="s">
        <v>155</v>
      </c>
      <c r="N624" s="5" t="s">
        <v>7132</v>
      </c>
      <c r="O624" s="5" t="s">
        <v>157</v>
      </c>
      <c r="P624" s="5" t="s">
        <v>158</v>
      </c>
      <c r="Q624" s="5" t="s">
        <v>451</v>
      </c>
      <c r="R624" s="5" t="s">
        <v>7081</v>
      </c>
      <c r="S624" s="5" t="s">
        <v>7082</v>
      </c>
      <c r="T624" s="5" t="s">
        <v>162</v>
      </c>
      <c r="U624" s="5" t="n">
        <v>365</v>
      </c>
      <c r="V624" s="5" t="s">
        <v>7083</v>
      </c>
      <c r="W624" s="5" t="s">
        <v>7084</v>
      </c>
      <c r="X624" s="5" t="s">
        <v>7133</v>
      </c>
      <c r="Y624" s="5" t="s">
        <v>7134</v>
      </c>
      <c r="Z624" s="5" t="s">
        <v>7135</v>
      </c>
      <c r="AA624" s="5"/>
      <c r="AB624" s="5"/>
      <c r="AC624" s="5"/>
      <c r="AD624" s="5"/>
      <c r="AE624" s="5"/>
      <c r="AF624" s="5" t="s">
        <v>1770</v>
      </c>
      <c r="AG624" s="5" t="s">
        <v>1770</v>
      </c>
      <c r="AH624" s="5"/>
      <c r="AI624" s="5"/>
      <c r="AJ624" s="5"/>
      <c r="AK624" s="5"/>
      <c r="AL624" s="5" t="s">
        <v>1770</v>
      </c>
      <c r="AM624" s="5"/>
      <c r="AN624" s="5" t="s">
        <v>1772</v>
      </c>
      <c r="AO624" s="5" t="s">
        <v>7136</v>
      </c>
      <c r="AP624" s="5" t="s">
        <v>7137</v>
      </c>
      <c r="AQ624" s="5" t="s">
        <v>1770</v>
      </c>
      <c r="AR624" s="5" t="s">
        <v>1774</v>
      </c>
      <c r="AS624" s="5"/>
      <c r="AT624" s="5" t="s">
        <v>7138</v>
      </c>
      <c r="AU624" s="5"/>
      <c r="AV624" s="5" t="s">
        <v>178</v>
      </c>
      <c r="AW624" s="5" t="s">
        <v>7139</v>
      </c>
    </row>
    <row r="625" customFormat="false" ht="135.8" hidden="false" customHeight="false" outlineLevel="0" collapsed="false">
      <c r="A625" s="5" t="s">
        <v>7140</v>
      </c>
      <c r="B625" s="5" t="s">
        <v>7141</v>
      </c>
      <c r="C625" s="5" t="s">
        <v>7075</v>
      </c>
      <c r="D625" s="5" t="s">
        <v>7076</v>
      </c>
      <c r="E625" s="5" t="s">
        <v>514</v>
      </c>
      <c r="F625" s="5" t="s">
        <v>7142</v>
      </c>
      <c r="G625" s="5" t="s">
        <v>7143</v>
      </c>
      <c r="H625" s="5" t="n">
        <v>9</v>
      </c>
      <c r="I625" s="5" t="s">
        <v>152</v>
      </c>
      <c r="J625" s="5" t="s">
        <v>153</v>
      </c>
      <c r="K625" s="5" t="s">
        <v>7131</v>
      </c>
      <c r="L625" s="5" t="s">
        <v>55</v>
      </c>
      <c r="M625" s="5" t="s">
        <v>185</v>
      </c>
      <c r="N625" s="5" t="s">
        <v>7144</v>
      </c>
      <c r="O625" s="5" t="s">
        <v>187</v>
      </c>
      <c r="P625" s="5" t="s">
        <v>158</v>
      </c>
      <c r="Q625" s="5" t="s">
        <v>440</v>
      </c>
      <c r="R625" s="5" t="s">
        <v>7081</v>
      </c>
      <c r="S625" s="5" t="s">
        <v>7082</v>
      </c>
      <c r="T625" s="5" t="s">
        <v>162</v>
      </c>
      <c r="U625" s="5" t="n">
        <v>365</v>
      </c>
      <c r="V625" s="5" t="s">
        <v>7083</v>
      </c>
      <c r="W625" s="5" t="s">
        <v>7084</v>
      </c>
      <c r="X625" s="5" t="s">
        <v>7145</v>
      </c>
      <c r="Y625" s="5" t="s">
        <v>7146</v>
      </c>
      <c r="Z625" s="5" t="s">
        <v>7147</v>
      </c>
      <c r="AA625" s="5"/>
      <c r="AB625" s="5"/>
      <c r="AC625" s="5"/>
      <c r="AD625" s="5"/>
      <c r="AE625" s="5"/>
      <c r="AF625" s="5" t="s">
        <v>7148</v>
      </c>
      <c r="AG625" s="5"/>
      <c r="AH625" s="5"/>
      <c r="AI625" s="5"/>
      <c r="AJ625" s="5"/>
      <c r="AK625" s="5"/>
      <c r="AL625" s="5" t="s">
        <v>7148</v>
      </c>
      <c r="AM625" s="5" t="s">
        <v>7148</v>
      </c>
      <c r="AN625" s="5"/>
      <c r="AO625" s="5" t="s">
        <v>7149</v>
      </c>
      <c r="AP625" s="5" t="s">
        <v>7150</v>
      </c>
      <c r="AQ625" s="5" t="s">
        <v>7148</v>
      </c>
      <c r="AR625" s="5" t="s">
        <v>7151</v>
      </c>
      <c r="AS625" s="5"/>
      <c r="AT625" s="5" t="s">
        <v>7152</v>
      </c>
      <c r="AU625" s="5"/>
      <c r="AV625" s="5" t="s">
        <v>178</v>
      </c>
      <c r="AW625" s="5" t="s">
        <v>7153</v>
      </c>
    </row>
    <row r="626" customFormat="false" ht="169.4" hidden="false" customHeight="false" outlineLevel="0" collapsed="false">
      <c r="A626" s="5" t="s">
        <v>7154</v>
      </c>
      <c r="B626" s="5" t="s">
        <v>7155</v>
      </c>
      <c r="C626" s="5" t="s">
        <v>7075</v>
      </c>
      <c r="D626" s="5" t="s">
        <v>7076</v>
      </c>
      <c r="E626" s="5" t="s">
        <v>514</v>
      </c>
      <c r="F626" s="5" t="s">
        <v>7156</v>
      </c>
      <c r="G626" s="5" t="s">
        <v>7157</v>
      </c>
      <c r="H626" s="5" t="n">
        <v>7</v>
      </c>
      <c r="I626" s="5" t="s">
        <v>152</v>
      </c>
      <c r="J626" s="5" t="s">
        <v>153</v>
      </c>
      <c r="K626" s="5" t="s">
        <v>7131</v>
      </c>
      <c r="L626" s="5" t="s">
        <v>30</v>
      </c>
      <c r="M626" s="5" t="s">
        <v>155</v>
      </c>
      <c r="N626" s="5" t="s">
        <v>7158</v>
      </c>
      <c r="O626" s="5" t="s">
        <v>157</v>
      </c>
      <c r="P626" s="5" t="s">
        <v>158</v>
      </c>
      <c r="Q626" s="5" t="s">
        <v>399</v>
      </c>
      <c r="R626" s="5" t="s">
        <v>7081</v>
      </c>
      <c r="S626" s="5" t="s">
        <v>7082</v>
      </c>
      <c r="T626" s="5" t="s">
        <v>162</v>
      </c>
      <c r="U626" s="5" t="n">
        <v>365</v>
      </c>
      <c r="V626" s="5" t="s">
        <v>7083</v>
      </c>
      <c r="W626" s="5" t="s">
        <v>7084</v>
      </c>
      <c r="X626" s="5" t="s">
        <v>7159</v>
      </c>
      <c r="Y626" s="5" t="s">
        <v>7160</v>
      </c>
      <c r="Z626" s="5" t="s">
        <v>7161</v>
      </c>
      <c r="AA626" s="5"/>
      <c r="AB626" s="5"/>
      <c r="AC626" s="5"/>
      <c r="AD626" s="5"/>
      <c r="AE626" s="5"/>
      <c r="AF626" s="5" t="s">
        <v>7162</v>
      </c>
      <c r="AG626" s="5" t="s">
        <v>7162</v>
      </c>
      <c r="AH626" s="5"/>
      <c r="AI626" s="5"/>
      <c r="AJ626" s="5" t="s">
        <v>7163</v>
      </c>
      <c r="AK626" s="5"/>
      <c r="AL626" s="5" t="s">
        <v>7162</v>
      </c>
      <c r="AM626" s="5"/>
      <c r="AN626" s="5"/>
      <c r="AO626" s="5" t="s">
        <v>7164</v>
      </c>
      <c r="AP626" s="5" t="s">
        <v>7165</v>
      </c>
      <c r="AQ626" s="5" t="s">
        <v>7162</v>
      </c>
      <c r="AR626" s="5" t="s">
        <v>175</v>
      </c>
      <c r="AS626" s="5"/>
      <c r="AT626" s="5"/>
      <c r="AU626" s="5"/>
      <c r="AV626" s="5"/>
      <c r="AW626" s="5" t="s">
        <v>7166</v>
      </c>
    </row>
    <row r="627" customFormat="false" ht="191.75" hidden="false" customHeight="false" outlineLevel="0" collapsed="false">
      <c r="A627" s="5" t="s">
        <v>7167</v>
      </c>
      <c r="B627" s="5" t="s">
        <v>7168</v>
      </c>
      <c r="C627" s="5" t="s">
        <v>7075</v>
      </c>
      <c r="D627" s="5" t="s">
        <v>7076</v>
      </c>
      <c r="E627" s="5" t="s">
        <v>626</v>
      </c>
      <c r="F627" s="5" t="s">
        <v>7169</v>
      </c>
      <c r="G627" s="5" t="s">
        <v>7170</v>
      </c>
      <c r="H627" s="5" t="n">
        <v>10</v>
      </c>
      <c r="I627" s="5" t="s">
        <v>152</v>
      </c>
      <c r="J627" s="5" t="s">
        <v>153</v>
      </c>
      <c r="K627" s="5" t="s">
        <v>7171</v>
      </c>
      <c r="L627" s="5" t="s">
        <v>30</v>
      </c>
      <c r="M627" s="5" t="s">
        <v>155</v>
      </c>
      <c r="N627" s="5" t="s">
        <v>1766</v>
      </c>
      <c r="O627" s="5" t="s">
        <v>157</v>
      </c>
      <c r="P627" s="5" t="s">
        <v>158</v>
      </c>
      <c r="Q627" s="5" t="s">
        <v>399</v>
      </c>
      <c r="R627" s="5" t="s">
        <v>7081</v>
      </c>
      <c r="S627" s="5" t="s">
        <v>7082</v>
      </c>
      <c r="T627" s="5" t="s">
        <v>162</v>
      </c>
      <c r="U627" s="5" t="n">
        <v>365</v>
      </c>
      <c r="V627" s="5" t="s">
        <v>7083</v>
      </c>
      <c r="W627" s="5" t="s">
        <v>7084</v>
      </c>
      <c r="X627" s="5" t="s">
        <v>7172</v>
      </c>
      <c r="Y627" s="5" t="s">
        <v>7173</v>
      </c>
      <c r="Z627" s="5" t="s">
        <v>7174</v>
      </c>
      <c r="AA627" s="5"/>
      <c r="AB627" s="5"/>
      <c r="AC627" s="5"/>
      <c r="AD627" s="5"/>
      <c r="AE627" s="5"/>
      <c r="AF627" s="5" t="s">
        <v>7175</v>
      </c>
      <c r="AG627" s="5" t="s">
        <v>7176</v>
      </c>
      <c r="AH627" s="5"/>
      <c r="AI627" s="5"/>
      <c r="AJ627" s="5"/>
      <c r="AK627" s="5" t="s">
        <v>7177</v>
      </c>
      <c r="AL627" s="5" t="s">
        <v>7175</v>
      </c>
      <c r="AM627" s="5"/>
      <c r="AN627" s="5" t="s">
        <v>7178</v>
      </c>
      <c r="AO627" s="5" t="s">
        <v>7179</v>
      </c>
      <c r="AP627" s="5" t="s">
        <v>7137</v>
      </c>
      <c r="AQ627" s="5" t="s">
        <v>7175</v>
      </c>
      <c r="AR627" s="5" t="s">
        <v>687</v>
      </c>
      <c r="AS627" s="5"/>
      <c r="AT627" s="5" t="s">
        <v>7180</v>
      </c>
      <c r="AU627" s="5"/>
      <c r="AV627" s="5" t="s">
        <v>178</v>
      </c>
      <c r="AW627" s="5" t="s">
        <v>7166</v>
      </c>
    </row>
    <row r="628" customFormat="false" ht="102.2" hidden="false" customHeight="false" outlineLevel="0" collapsed="false">
      <c r="A628" s="5" t="s">
        <v>7181</v>
      </c>
      <c r="B628" s="5" t="s">
        <v>7182</v>
      </c>
      <c r="C628" s="5" t="s">
        <v>7075</v>
      </c>
      <c r="D628" s="5" t="s">
        <v>7076</v>
      </c>
      <c r="E628" s="5" t="s">
        <v>626</v>
      </c>
      <c r="F628" s="5" t="s">
        <v>7183</v>
      </c>
      <c r="G628" s="5" t="s">
        <v>7184</v>
      </c>
      <c r="H628" s="5" t="n">
        <v>5</v>
      </c>
      <c r="I628" s="5" t="s">
        <v>152</v>
      </c>
      <c r="J628" s="5" t="s">
        <v>153</v>
      </c>
      <c r="K628" s="5"/>
      <c r="L628" s="5" t="s">
        <v>30</v>
      </c>
      <c r="M628" s="5" t="s">
        <v>155</v>
      </c>
      <c r="N628" s="5" t="s">
        <v>836</v>
      </c>
      <c r="O628" s="5" t="s">
        <v>157</v>
      </c>
      <c r="P628" s="5" t="s">
        <v>215</v>
      </c>
      <c r="Q628" s="5" t="s">
        <v>451</v>
      </c>
      <c r="R628" s="5" t="s">
        <v>7081</v>
      </c>
      <c r="S628" s="5" t="s">
        <v>7082</v>
      </c>
      <c r="T628" s="5" t="s">
        <v>162</v>
      </c>
      <c r="U628" s="5" t="n">
        <v>365</v>
      </c>
      <c r="V628" s="5" t="s">
        <v>7083</v>
      </c>
      <c r="W628" s="5" t="s">
        <v>7084</v>
      </c>
      <c r="X628" s="5" t="s">
        <v>7185</v>
      </c>
      <c r="Y628" s="5" t="s">
        <v>7186</v>
      </c>
      <c r="Z628" s="5" t="s">
        <v>7187</v>
      </c>
      <c r="AA628" s="5"/>
      <c r="AB628" s="5"/>
      <c r="AC628" s="5"/>
      <c r="AD628" s="5"/>
      <c r="AE628" s="5"/>
      <c r="AF628" s="5"/>
      <c r="AG628" s="5"/>
      <c r="AH628" s="5"/>
      <c r="AI628" s="5" t="s">
        <v>3278</v>
      </c>
      <c r="AJ628" s="5"/>
      <c r="AK628" s="5"/>
      <c r="AL628" s="5"/>
      <c r="AM628" s="5"/>
      <c r="AN628" s="5"/>
      <c r="AO628" s="5"/>
      <c r="AP628" s="5"/>
      <c r="AQ628" s="5"/>
      <c r="AR628" s="5"/>
      <c r="AS628" s="5"/>
      <c r="AT628" s="5"/>
      <c r="AU628" s="5"/>
      <c r="AV628" s="5"/>
      <c r="AW628" s="5" t="s">
        <v>7093</v>
      </c>
    </row>
    <row r="629" customFormat="false" ht="270.1" hidden="false" customHeight="false" outlineLevel="0" collapsed="false">
      <c r="A629" s="5" t="s">
        <v>7188</v>
      </c>
      <c r="B629" s="5" t="s">
        <v>7189</v>
      </c>
      <c r="C629" s="5" t="s">
        <v>7190</v>
      </c>
      <c r="D629" s="5" t="s">
        <v>7191</v>
      </c>
      <c r="E629" s="5" t="s">
        <v>149</v>
      </c>
      <c r="F629" s="5" t="s">
        <v>7192</v>
      </c>
      <c r="G629" s="5" t="s">
        <v>7193</v>
      </c>
      <c r="H629" s="5" t="n">
        <v>10</v>
      </c>
      <c r="I629" s="5" t="s">
        <v>152</v>
      </c>
      <c r="J629" s="5" t="s">
        <v>153</v>
      </c>
      <c r="K629" s="5" t="s">
        <v>7194</v>
      </c>
      <c r="L629" s="5" t="s">
        <v>30</v>
      </c>
      <c r="M629" s="5" t="s">
        <v>155</v>
      </c>
      <c r="N629" s="5" t="s">
        <v>7195</v>
      </c>
      <c r="O629" s="5" t="s">
        <v>157</v>
      </c>
      <c r="P629" s="5" t="s">
        <v>158</v>
      </c>
      <c r="Q629" s="5" t="s">
        <v>159</v>
      </c>
      <c r="R629" s="5" t="s">
        <v>7196</v>
      </c>
      <c r="S629" s="5" t="s">
        <v>7197</v>
      </c>
      <c r="T629" s="5" t="s">
        <v>162</v>
      </c>
      <c r="U629" s="5" t="n">
        <v>365</v>
      </c>
      <c r="V629" s="5" t="s">
        <v>7198</v>
      </c>
      <c r="W629" s="5" t="s">
        <v>7199</v>
      </c>
      <c r="X629" s="5" t="s">
        <v>7200</v>
      </c>
      <c r="Y629" s="5" t="s">
        <v>7201</v>
      </c>
      <c r="Z629" s="5" t="s">
        <v>7202</v>
      </c>
      <c r="AA629" s="5" t="s">
        <v>7203</v>
      </c>
      <c r="AB629" s="5"/>
      <c r="AC629" s="5"/>
      <c r="AD629" s="5"/>
      <c r="AE629" s="5"/>
      <c r="AF629" s="5" t="s">
        <v>7204</v>
      </c>
      <c r="AG629" s="5" t="s">
        <v>7204</v>
      </c>
      <c r="AH629" s="5" t="s">
        <v>7205</v>
      </c>
      <c r="AI629" s="5"/>
      <c r="AJ629" s="5" t="s">
        <v>7206</v>
      </c>
      <c r="AK629" s="5" t="s">
        <v>7207</v>
      </c>
      <c r="AL629" s="5" t="s">
        <v>7204</v>
      </c>
      <c r="AM629" s="5"/>
      <c r="AN629" s="5" t="s">
        <v>7208</v>
      </c>
      <c r="AO629" s="5" t="s">
        <v>7209</v>
      </c>
      <c r="AP629" s="5" t="s">
        <v>7210</v>
      </c>
      <c r="AQ629" s="5" t="s">
        <v>7204</v>
      </c>
      <c r="AR629" s="5" t="s">
        <v>7211</v>
      </c>
      <c r="AS629" s="5" t="s">
        <v>7212</v>
      </c>
      <c r="AT629" s="5" t="s">
        <v>7213</v>
      </c>
      <c r="AU629" s="5"/>
      <c r="AV629" s="5" t="s">
        <v>178</v>
      </c>
      <c r="AW629" s="5" t="s">
        <v>7214</v>
      </c>
    </row>
    <row r="630" customFormat="false" ht="180.55" hidden="false" customHeight="false" outlineLevel="0" collapsed="false">
      <c r="A630" s="5" t="s">
        <v>7215</v>
      </c>
      <c r="B630" s="5" t="s">
        <v>7216</v>
      </c>
      <c r="C630" s="5" t="s">
        <v>7190</v>
      </c>
      <c r="D630" s="5" t="s">
        <v>7191</v>
      </c>
      <c r="E630" s="5" t="s">
        <v>514</v>
      </c>
      <c r="F630" s="5" t="s">
        <v>7217</v>
      </c>
      <c r="G630" s="5" t="s">
        <v>7218</v>
      </c>
      <c r="H630" s="5" t="n">
        <v>9</v>
      </c>
      <c r="I630" s="5" t="s">
        <v>152</v>
      </c>
      <c r="J630" s="5" t="s">
        <v>153</v>
      </c>
      <c r="K630" s="5" t="s">
        <v>7219</v>
      </c>
      <c r="L630" s="5" t="s">
        <v>30</v>
      </c>
      <c r="M630" s="5" t="s">
        <v>155</v>
      </c>
      <c r="N630" s="5" t="s">
        <v>7220</v>
      </c>
      <c r="O630" s="5" t="s">
        <v>157</v>
      </c>
      <c r="P630" s="5" t="s">
        <v>158</v>
      </c>
      <c r="Q630" s="5" t="s">
        <v>335</v>
      </c>
      <c r="R630" s="5" t="s">
        <v>7196</v>
      </c>
      <c r="S630" s="5" t="s">
        <v>7197</v>
      </c>
      <c r="T630" s="5" t="s">
        <v>162</v>
      </c>
      <c r="U630" s="5" t="n">
        <v>365</v>
      </c>
      <c r="V630" s="5" t="s">
        <v>7198</v>
      </c>
      <c r="W630" s="5" t="s">
        <v>7199</v>
      </c>
      <c r="X630" s="5" t="s">
        <v>7221</v>
      </c>
      <c r="Y630" s="5" t="s">
        <v>7222</v>
      </c>
      <c r="Z630" s="5" t="s">
        <v>7223</v>
      </c>
      <c r="AA630" s="5"/>
      <c r="AB630" s="5"/>
      <c r="AC630" s="5"/>
      <c r="AD630" s="5"/>
      <c r="AE630" s="5"/>
      <c r="AF630" s="5" t="s">
        <v>7224</v>
      </c>
      <c r="AG630" s="5" t="s">
        <v>7224</v>
      </c>
      <c r="AH630" s="5"/>
      <c r="AI630" s="5"/>
      <c r="AJ630" s="5" t="s">
        <v>7225</v>
      </c>
      <c r="AK630" s="5" t="s">
        <v>7226</v>
      </c>
      <c r="AL630" s="5" t="s">
        <v>7224</v>
      </c>
      <c r="AM630" s="5"/>
      <c r="AN630" s="5"/>
      <c r="AO630" s="5" t="s">
        <v>7209</v>
      </c>
      <c r="AP630" s="5" t="s">
        <v>7227</v>
      </c>
      <c r="AQ630" s="5" t="s">
        <v>7224</v>
      </c>
      <c r="AR630" s="5" t="s">
        <v>175</v>
      </c>
      <c r="AS630" s="5" t="s">
        <v>7228</v>
      </c>
      <c r="AT630" s="5" t="s">
        <v>7138</v>
      </c>
      <c r="AU630" s="5"/>
      <c r="AV630" s="5" t="s">
        <v>178</v>
      </c>
      <c r="AW630" s="5" t="s">
        <v>7214</v>
      </c>
    </row>
    <row r="631" customFormat="false" ht="124.6" hidden="false" customHeight="false" outlineLevel="0" collapsed="false">
      <c r="A631" s="5" t="s">
        <v>7229</v>
      </c>
      <c r="B631" s="5" t="s">
        <v>7230</v>
      </c>
      <c r="C631" s="5" t="s">
        <v>7190</v>
      </c>
      <c r="D631" s="5" t="s">
        <v>7191</v>
      </c>
      <c r="E631" s="5" t="s">
        <v>514</v>
      </c>
      <c r="F631" s="5" t="s">
        <v>7231</v>
      </c>
      <c r="G631" s="5" t="s">
        <v>7232</v>
      </c>
      <c r="H631" s="5" t="n">
        <v>9</v>
      </c>
      <c r="I631" s="5" t="s">
        <v>152</v>
      </c>
      <c r="J631" s="5" t="s">
        <v>153</v>
      </c>
      <c r="K631" s="5" t="s">
        <v>7233</v>
      </c>
      <c r="L631" s="5" t="s">
        <v>30</v>
      </c>
      <c r="M631" s="5" t="s">
        <v>155</v>
      </c>
      <c r="N631" s="5" t="s">
        <v>7234</v>
      </c>
      <c r="O631" s="5" t="s">
        <v>157</v>
      </c>
      <c r="P631" s="5" t="s">
        <v>158</v>
      </c>
      <c r="Q631" s="5" t="s">
        <v>188</v>
      </c>
      <c r="R631" s="5" t="s">
        <v>7196</v>
      </c>
      <c r="S631" s="5" t="s">
        <v>7197</v>
      </c>
      <c r="T631" s="5" t="s">
        <v>162</v>
      </c>
      <c r="U631" s="5" t="n">
        <v>365</v>
      </c>
      <c r="V631" s="5" t="s">
        <v>7198</v>
      </c>
      <c r="W631" s="5" t="s">
        <v>7199</v>
      </c>
      <c r="X631" s="5" t="s">
        <v>7235</v>
      </c>
      <c r="Y631" s="5" t="s">
        <v>7236</v>
      </c>
      <c r="Z631" s="5" t="s">
        <v>7237</v>
      </c>
      <c r="AA631" s="5" t="s">
        <v>7203</v>
      </c>
      <c r="AB631" s="5"/>
      <c r="AC631" s="5"/>
      <c r="AD631" s="5"/>
      <c r="AE631" s="5" t="s">
        <v>7238</v>
      </c>
      <c r="AF631" s="5"/>
      <c r="AG631" s="5"/>
      <c r="AH631" s="5"/>
      <c r="AI631" s="5"/>
      <c r="AJ631" s="5"/>
      <c r="AK631" s="5" t="s">
        <v>7239</v>
      </c>
      <c r="AL631" s="5"/>
      <c r="AM631" s="5"/>
      <c r="AN631" s="5"/>
      <c r="AO631" s="5"/>
      <c r="AP631" s="5" t="s">
        <v>7240</v>
      </c>
      <c r="AQ631" s="5"/>
      <c r="AR631" s="5"/>
      <c r="AS631" s="5"/>
      <c r="AT631" s="5"/>
      <c r="AU631" s="5"/>
      <c r="AV631" s="5" t="s">
        <v>178</v>
      </c>
      <c r="AW631" s="5" t="s">
        <v>7241</v>
      </c>
    </row>
    <row r="632" customFormat="false" ht="113.4" hidden="false" customHeight="false" outlineLevel="0" collapsed="false">
      <c r="A632" s="5" t="s">
        <v>7242</v>
      </c>
      <c r="B632" s="5" t="s">
        <v>7243</v>
      </c>
      <c r="C632" s="5" t="s">
        <v>7190</v>
      </c>
      <c r="D632" s="5" t="s">
        <v>7191</v>
      </c>
      <c r="E632" s="5" t="s">
        <v>514</v>
      </c>
      <c r="F632" s="5" t="s">
        <v>7244</v>
      </c>
      <c r="G632" s="5" t="s">
        <v>7245</v>
      </c>
      <c r="H632" s="5" t="n">
        <v>9</v>
      </c>
      <c r="I632" s="5" t="s">
        <v>152</v>
      </c>
      <c r="J632" s="5" t="s">
        <v>153</v>
      </c>
      <c r="K632" s="5" t="s">
        <v>7246</v>
      </c>
      <c r="L632" s="5" t="s">
        <v>30</v>
      </c>
      <c r="M632" s="5" t="s">
        <v>155</v>
      </c>
      <c r="N632" s="5" t="s">
        <v>387</v>
      </c>
      <c r="O632" s="5" t="s">
        <v>157</v>
      </c>
      <c r="P632" s="5" t="s">
        <v>158</v>
      </c>
      <c r="Q632" s="5" t="s">
        <v>188</v>
      </c>
      <c r="R632" s="5" t="s">
        <v>7196</v>
      </c>
      <c r="S632" s="5" t="s">
        <v>7197</v>
      </c>
      <c r="T632" s="5" t="s">
        <v>162</v>
      </c>
      <c r="U632" s="5" t="n">
        <v>365</v>
      </c>
      <c r="V632" s="5" t="s">
        <v>7198</v>
      </c>
      <c r="W632" s="5" t="s">
        <v>7199</v>
      </c>
      <c r="X632" s="5" t="s">
        <v>7247</v>
      </c>
      <c r="Y632" s="5" t="s">
        <v>7248</v>
      </c>
      <c r="Z632" s="5" t="s">
        <v>7249</v>
      </c>
      <c r="AA632" s="5"/>
      <c r="AB632" s="5"/>
      <c r="AC632" s="5"/>
      <c r="AD632" s="5"/>
      <c r="AE632" s="5" t="s">
        <v>7250</v>
      </c>
      <c r="AF632" s="5"/>
      <c r="AG632" s="5"/>
      <c r="AH632" s="5"/>
      <c r="AI632" s="5"/>
      <c r="AJ632" s="5"/>
      <c r="AK632" s="5" t="s">
        <v>7251</v>
      </c>
      <c r="AL632" s="5"/>
      <c r="AM632" s="5"/>
      <c r="AN632" s="5"/>
      <c r="AO632" s="5"/>
      <c r="AP632" s="5"/>
      <c r="AQ632" s="5"/>
      <c r="AR632" s="5"/>
      <c r="AS632" s="5"/>
      <c r="AT632" s="5"/>
      <c r="AU632" s="5"/>
      <c r="AV632" s="5" t="s">
        <v>178</v>
      </c>
      <c r="AW632" s="5" t="s">
        <v>7252</v>
      </c>
    </row>
    <row r="633" customFormat="false" ht="124.6" hidden="false" customHeight="false" outlineLevel="0" collapsed="false">
      <c r="A633" s="5" t="s">
        <v>7253</v>
      </c>
      <c r="B633" s="5" t="s">
        <v>7254</v>
      </c>
      <c r="C633" s="5" t="s">
        <v>7190</v>
      </c>
      <c r="D633" s="5" t="s">
        <v>7191</v>
      </c>
      <c r="E633" s="5" t="s">
        <v>514</v>
      </c>
      <c r="F633" s="5" t="s">
        <v>7255</v>
      </c>
      <c r="G633" s="5" t="s">
        <v>7256</v>
      </c>
      <c r="H633" s="5" t="n">
        <v>9</v>
      </c>
      <c r="I633" s="5" t="s">
        <v>152</v>
      </c>
      <c r="J633" s="5" t="s">
        <v>153</v>
      </c>
      <c r="K633" s="5" t="s">
        <v>7257</v>
      </c>
      <c r="L633" s="5" t="s">
        <v>30</v>
      </c>
      <c r="M633" s="5" t="s">
        <v>155</v>
      </c>
      <c r="N633" s="5" t="s">
        <v>7258</v>
      </c>
      <c r="O633" s="5" t="s">
        <v>157</v>
      </c>
      <c r="P633" s="5" t="s">
        <v>158</v>
      </c>
      <c r="Q633" s="5" t="s">
        <v>188</v>
      </c>
      <c r="R633" s="5" t="s">
        <v>7196</v>
      </c>
      <c r="S633" s="5" t="s">
        <v>7197</v>
      </c>
      <c r="T633" s="5" t="s">
        <v>162</v>
      </c>
      <c r="U633" s="5" t="n">
        <v>365</v>
      </c>
      <c r="V633" s="5" t="s">
        <v>7198</v>
      </c>
      <c r="W633" s="5" t="s">
        <v>7199</v>
      </c>
      <c r="X633" s="5" t="s">
        <v>7259</v>
      </c>
      <c r="Y633" s="5" t="s">
        <v>7260</v>
      </c>
      <c r="Z633" s="5" t="s">
        <v>7261</v>
      </c>
      <c r="AA633" s="5"/>
      <c r="AB633" s="5"/>
      <c r="AC633" s="5"/>
      <c r="AD633" s="5"/>
      <c r="AE633" s="5" t="s">
        <v>7262</v>
      </c>
      <c r="AF633" s="5"/>
      <c r="AG633" s="5"/>
      <c r="AH633" s="5"/>
      <c r="AI633" s="5"/>
      <c r="AJ633" s="5"/>
      <c r="AK633" s="5" t="s">
        <v>7239</v>
      </c>
      <c r="AL633" s="5"/>
      <c r="AM633" s="5"/>
      <c r="AN633" s="5"/>
      <c r="AO633" s="5"/>
      <c r="AP633" s="5" t="s">
        <v>7227</v>
      </c>
      <c r="AQ633" s="5"/>
      <c r="AR633" s="5"/>
      <c r="AS633" s="5"/>
      <c r="AT633" s="5"/>
      <c r="AU633" s="5"/>
      <c r="AV633" s="5" t="s">
        <v>178</v>
      </c>
      <c r="AW633" s="5" t="s">
        <v>7241</v>
      </c>
    </row>
    <row r="634" customFormat="false" ht="158.2" hidden="false" customHeight="false" outlineLevel="0" collapsed="false">
      <c r="A634" s="5" t="s">
        <v>7263</v>
      </c>
      <c r="B634" s="5" t="s">
        <v>7264</v>
      </c>
      <c r="C634" s="5" t="s">
        <v>7190</v>
      </c>
      <c r="D634" s="5" t="s">
        <v>7191</v>
      </c>
      <c r="E634" s="5" t="s">
        <v>514</v>
      </c>
      <c r="F634" s="5" t="s">
        <v>7265</v>
      </c>
      <c r="G634" s="5" t="s">
        <v>7266</v>
      </c>
      <c r="H634" s="5" t="n">
        <v>9</v>
      </c>
      <c r="I634" s="5" t="s">
        <v>152</v>
      </c>
      <c r="J634" s="5" t="s">
        <v>153</v>
      </c>
      <c r="K634" s="5" t="s">
        <v>7267</v>
      </c>
      <c r="L634" s="5" t="s">
        <v>30</v>
      </c>
      <c r="M634" s="5" t="s">
        <v>155</v>
      </c>
      <c r="N634" s="5" t="s">
        <v>7268</v>
      </c>
      <c r="O634" s="5" t="s">
        <v>157</v>
      </c>
      <c r="P634" s="5" t="s">
        <v>158</v>
      </c>
      <c r="Q634" s="5" t="s">
        <v>335</v>
      </c>
      <c r="R634" s="5" t="s">
        <v>7196</v>
      </c>
      <c r="S634" s="5" t="s">
        <v>7197</v>
      </c>
      <c r="T634" s="5" t="s">
        <v>162</v>
      </c>
      <c r="U634" s="5" t="n">
        <v>365</v>
      </c>
      <c r="V634" s="5" t="s">
        <v>7198</v>
      </c>
      <c r="W634" s="5" t="s">
        <v>7199</v>
      </c>
      <c r="X634" s="5" t="s">
        <v>7269</v>
      </c>
      <c r="Y634" s="5" t="s">
        <v>7270</v>
      </c>
      <c r="Z634" s="5" t="s">
        <v>7271</v>
      </c>
      <c r="AA634" s="5"/>
      <c r="AB634" s="5"/>
      <c r="AC634" s="5"/>
      <c r="AD634" s="5"/>
      <c r="AE634" s="5" t="s">
        <v>7272</v>
      </c>
      <c r="AF634" s="5" t="s">
        <v>7273</v>
      </c>
      <c r="AG634" s="5" t="s">
        <v>7273</v>
      </c>
      <c r="AH634" s="5"/>
      <c r="AI634" s="5"/>
      <c r="AJ634" s="5" t="s">
        <v>7274</v>
      </c>
      <c r="AK634" s="5" t="s">
        <v>685</v>
      </c>
      <c r="AL634" s="5" t="s">
        <v>7273</v>
      </c>
      <c r="AM634" s="5"/>
      <c r="AN634" s="5" t="s">
        <v>7275</v>
      </c>
      <c r="AO634" s="5" t="s">
        <v>7209</v>
      </c>
      <c r="AP634" s="5"/>
      <c r="AQ634" s="5"/>
      <c r="AR634" s="5" t="s">
        <v>7151</v>
      </c>
      <c r="AS634" s="5" t="s">
        <v>7276</v>
      </c>
      <c r="AT634" s="5"/>
      <c r="AU634" s="5"/>
      <c r="AV634" s="5" t="s">
        <v>178</v>
      </c>
      <c r="AW634" s="5" t="s">
        <v>7214</v>
      </c>
    </row>
    <row r="635" customFormat="false" ht="124.6" hidden="false" customHeight="false" outlineLevel="0" collapsed="false">
      <c r="A635" s="5" t="s">
        <v>7277</v>
      </c>
      <c r="B635" s="5" t="s">
        <v>7278</v>
      </c>
      <c r="C635" s="5" t="s">
        <v>7190</v>
      </c>
      <c r="D635" s="5" t="s">
        <v>7191</v>
      </c>
      <c r="E635" s="5" t="s">
        <v>514</v>
      </c>
      <c r="F635" s="5" t="s">
        <v>7279</v>
      </c>
      <c r="G635" s="5" t="s">
        <v>7280</v>
      </c>
      <c r="H635" s="5" t="n">
        <v>9</v>
      </c>
      <c r="I635" s="5" t="s">
        <v>152</v>
      </c>
      <c r="J635" s="5" t="s">
        <v>153</v>
      </c>
      <c r="K635" s="5" t="s">
        <v>7281</v>
      </c>
      <c r="L635" s="5" t="s">
        <v>30</v>
      </c>
      <c r="M635" s="5" t="s">
        <v>155</v>
      </c>
      <c r="N635" s="5" t="s">
        <v>7282</v>
      </c>
      <c r="O635" s="5" t="s">
        <v>157</v>
      </c>
      <c r="P635" s="5" t="s">
        <v>158</v>
      </c>
      <c r="Q635" s="5" t="s">
        <v>335</v>
      </c>
      <c r="R635" s="5" t="s">
        <v>7196</v>
      </c>
      <c r="S635" s="5" t="s">
        <v>7197</v>
      </c>
      <c r="T635" s="5" t="s">
        <v>162</v>
      </c>
      <c r="U635" s="5" t="n">
        <v>365</v>
      </c>
      <c r="V635" s="5" t="s">
        <v>7198</v>
      </c>
      <c r="W635" s="5" t="s">
        <v>7199</v>
      </c>
      <c r="X635" s="5" t="s">
        <v>7283</v>
      </c>
      <c r="Y635" s="5" t="s">
        <v>7284</v>
      </c>
      <c r="Z635" s="5" t="s">
        <v>7285</v>
      </c>
      <c r="AA635" s="5"/>
      <c r="AB635" s="5"/>
      <c r="AC635" s="5"/>
      <c r="AD635" s="5"/>
      <c r="AE635" s="5" t="s">
        <v>7286</v>
      </c>
      <c r="AF635" s="5" t="s">
        <v>7287</v>
      </c>
      <c r="AG635" s="5"/>
      <c r="AH635" s="5" t="s">
        <v>7288</v>
      </c>
      <c r="AI635" s="5"/>
      <c r="AJ635" s="5"/>
      <c r="AK635" s="5" t="s">
        <v>7289</v>
      </c>
      <c r="AL635" s="5" t="s">
        <v>7287</v>
      </c>
      <c r="AM635" s="5"/>
      <c r="AN635" s="5"/>
      <c r="AO635" s="5" t="s">
        <v>7209</v>
      </c>
      <c r="AP635" s="5"/>
      <c r="AQ635" s="5"/>
      <c r="AR635" s="5" t="s">
        <v>7151</v>
      </c>
      <c r="AS635" s="5"/>
      <c r="AT635" s="5"/>
      <c r="AU635" s="5"/>
      <c r="AV635" s="5" t="s">
        <v>178</v>
      </c>
      <c r="AW635" s="5" t="s">
        <v>7214</v>
      </c>
    </row>
    <row r="636" customFormat="false" ht="135.8" hidden="false" customHeight="false" outlineLevel="0" collapsed="false">
      <c r="A636" s="5" t="s">
        <v>7290</v>
      </c>
      <c r="B636" s="5" t="s">
        <v>7291</v>
      </c>
      <c r="C636" s="5" t="s">
        <v>7190</v>
      </c>
      <c r="D636" s="5" t="s">
        <v>7191</v>
      </c>
      <c r="E636" s="5" t="s">
        <v>514</v>
      </c>
      <c r="F636" s="5" t="s">
        <v>7292</v>
      </c>
      <c r="G636" s="5" t="s">
        <v>7293</v>
      </c>
      <c r="H636" s="5" t="n">
        <v>9</v>
      </c>
      <c r="I636" s="5" t="s">
        <v>152</v>
      </c>
      <c r="J636" s="5" t="s">
        <v>153</v>
      </c>
      <c r="K636" s="5" t="s">
        <v>7294</v>
      </c>
      <c r="L636" s="5" t="s">
        <v>55</v>
      </c>
      <c r="M636" s="5" t="s">
        <v>185</v>
      </c>
      <c r="N636" s="5" t="s">
        <v>7295</v>
      </c>
      <c r="O636" s="5" t="s">
        <v>187</v>
      </c>
      <c r="P636" s="5" t="s">
        <v>158</v>
      </c>
      <c r="Q636" s="5" t="s">
        <v>335</v>
      </c>
      <c r="R636" s="5" t="s">
        <v>7196</v>
      </c>
      <c r="S636" s="5" t="s">
        <v>7197</v>
      </c>
      <c r="T636" s="5" t="s">
        <v>162</v>
      </c>
      <c r="U636" s="5" t="n">
        <v>365</v>
      </c>
      <c r="V636" s="5" t="s">
        <v>7198</v>
      </c>
      <c r="W636" s="5" t="s">
        <v>7199</v>
      </c>
      <c r="X636" s="5" t="s">
        <v>7296</v>
      </c>
      <c r="Y636" s="5" t="s">
        <v>7297</v>
      </c>
      <c r="Z636" s="5" t="s">
        <v>7298</v>
      </c>
      <c r="AA636" s="5"/>
      <c r="AB636" s="5"/>
      <c r="AC636" s="5"/>
      <c r="AD636" s="5"/>
      <c r="AE636" s="5"/>
      <c r="AF636" s="5"/>
      <c r="AG636" s="5"/>
      <c r="AH636" s="5"/>
      <c r="AI636" s="5"/>
      <c r="AJ636" s="5" t="s">
        <v>7299</v>
      </c>
      <c r="AK636" s="5" t="s">
        <v>7300</v>
      </c>
      <c r="AL636" s="5"/>
      <c r="AM636" s="5"/>
      <c r="AN636" s="5"/>
      <c r="AO636" s="5" t="s">
        <v>475</v>
      </c>
      <c r="AP636" s="5"/>
      <c r="AQ636" s="5"/>
      <c r="AR636" s="5"/>
      <c r="AS636" s="5" t="s">
        <v>7301</v>
      </c>
      <c r="AT636" s="5" t="s">
        <v>7138</v>
      </c>
      <c r="AU636" s="5"/>
      <c r="AV636" s="5" t="s">
        <v>178</v>
      </c>
      <c r="AW636" s="5" t="s">
        <v>7214</v>
      </c>
    </row>
    <row r="637" customFormat="false" ht="135.8" hidden="false" customHeight="false" outlineLevel="0" collapsed="false">
      <c r="A637" s="5" t="s">
        <v>7302</v>
      </c>
      <c r="B637" s="5" t="s">
        <v>7303</v>
      </c>
      <c r="C637" s="5" t="s">
        <v>7190</v>
      </c>
      <c r="D637" s="5" t="s">
        <v>7191</v>
      </c>
      <c r="E637" s="5" t="s">
        <v>626</v>
      </c>
      <c r="F637" s="5" t="s">
        <v>7304</v>
      </c>
      <c r="G637" s="5" t="s">
        <v>7305</v>
      </c>
      <c r="H637" s="5" t="n">
        <v>5</v>
      </c>
      <c r="I637" s="5" t="s">
        <v>152</v>
      </c>
      <c r="J637" s="5" t="s">
        <v>153</v>
      </c>
      <c r="K637" s="5" t="s">
        <v>7306</v>
      </c>
      <c r="L637" s="5" t="s">
        <v>55</v>
      </c>
      <c r="M637" s="5" t="s">
        <v>185</v>
      </c>
      <c r="N637" s="5" t="s">
        <v>186</v>
      </c>
      <c r="O637" s="5" t="s">
        <v>187</v>
      </c>
      <c r="P637" s="5" t="s">
        <v>158</v>
      </c>
      <c r="Q637" s="5" t="s">
        <v>335</v>
      </c>
      <c r="R637" s="5" t="s">
        <v>7196</v>
      </c>
      <c r="S637" s="5" t="s">
        <v>7197</v>
      </c>
      <c r="T637" s="5" t="s">
        <v>162</v>
      </c>
      <c r="U637" s="5" t="n">
        <v>365</v>
      </c>
      <c r="V637" s="5" t="s">
        <v>7198</v>
      </c>
      <c r="W637" s="5" t="s">
        <v>7199</v>
      </c>
      <c r="X637" s="5" t="s">
        <v>7307</v>
      </c>
      <c r="Y637" s="5" t="s">
        <v>7308</v>
      </c>
      <c r="Z637" s="5" t="s">
        <v>7309</v>
      </c>
      <c r="AA637" s="5"/>
      <c r="AB637" s="5"/>
      <c r="AC637" s="5"/>
      <c r="AD637" s="5"/>
      <c r="AE637" s="5"/>
      <c r="AF637" s="5"/>
      <c r="AG637" s="5"/>
      <c r="AH637" s="5"/>
      <c r="AI637" s="5"/>
      <c r="AJ637" s="5" t="s">
        <v>7310</v>
      </c>
      <c r="AK637" s="5" t="s">
        <v>7300</v>
      </c>
      <c r="AL637" s="5"/>
      <c r="AM637" s="5"/>
      <c r="AN637" s="5"/>
      <c r="AO637" s="5"/>
      <c r="AP637" s="5"/>
      <c r="AQ637" s="5"/>
      <c r="AR637" s="5"/>
      <c r="AS637" s="5"/>
      <c r="AT637" s="5"/>
      <c r="AU637" s="5"/>
      <c r="AV637" s="5" t="s">
        <v>178</v>
      </c>
      <c r="AW637" s="5" t="s">
        <v>7311</v>
      </c>
    </row>
    <row r="638" customFormat="false" ht="214.15" hidden="false" customHeight="false" outlineLevel="0" collapsed="false">
      <c r="A638" s="5" t="s">
        <v>7312</v>
      </c>
      <c r="B638" s="5" t="s">
        <v>7313</v>
      </c>
      <c r="C638" s="5" t="s">
        <v>7190</v>
      </c>
      <c r="D638" s="5" t="s">
        <v>7191</v>
      </c>
      <c r="E638" s="5" t="s">
        <v>514</v>
      </c>
      <c r="F638" s="5" t="s">
        <v>7314</v>
      </c>
      <c r="G638" s="5" t="s">
        <v>7315</v>
      </c>
      <c r="H638" s="5" t="n">
        <v>10</v>
      </c>
      <c r="I638" s="5" t="s">
        <v>152</v>
      </c>
      <c r="J638" s="5" t="s">
        <v>153</v>
      </c>
      <c r="K638" s="5" t="s">
        <v>7294</v>
      </c>
      <c r="L638" s="5" t="s">
        <v>30</v>
      </c>
      <c r="M638" s="5" t="s">
        <v>155</v>
      </c>
      <c r="N638" s="5" t="s">
        <v>1672</v>
      </c>
      <c r="O638" s="5" t="s">
        <v>157</v>
      </c>
      <c r="P638" s="5" t="s">
        <v>158</v>
      </c>
      <c r="Q638" s="5" t="s">
        <v>335</v>
      </c>
      <c r="R638" s="5" t="s">
        <v>7196</v>
      </c>
      <c r="S638" s="5" t="s">
        <v>7197</v>
      </c>
      <c r="T638" s="5" t="s">
        <v>162</v>
      </c>
      <c r="U638" s="5" t="n">
        <v>365</v>
      </c>
      <c r="V638" s="5" t="s">
        <v>7198</v>
      </c>
      <c r="W638" s="5" t="s">
        <v>7199</v>
      </c>
      <c r="X638" s="5" t="s">
        <v>7316</v>
      </c>
      <c r="Y638" s="5" t="s">
        <v>7317</v>
      </c>
      <c r="Z638" s="5" t="s">
        <v>7318</v>
      </c>
      <c r="AA638" s="5"/>
      <c r="AB638" s="5"/>
      <c r="AC638" s="5"/>
      <c r="AD638" s="5"/>
      <c r="AE638" s="5" t="s">
        <v>7319</v>
      </c>
      <c r="AF638" s="5" t="s">
        <v>7320</v>
      </c>
      <c r="AG638" s="5" t="s">
        <v>7320</v>
      </c>
      <c r="AH638" s="5" t="s">
        <v>7321</v>
      </c>
      <c r="AI638" s="5"/>
      <c r="AJ638" s="5" t="s">
        <v>7322</v>
      </c>
      <c r="AK638" s="5" t="s">
        <v>7323</v>
      </c>
      <c r="AL638" s="5" t="s">
        <v>7320</v>
      </c>
      <c r="AM638" s="5"/>
      <c r="AN638" s="5" t="s">
        <v>7324</v>
      </c>
      <c r="AO638" s="5" t="s">
        <v>475</v>
      </c>
      <c r="AP638" s="5" t="s">
        <v>7325</v>
      </c>
      <c r="AQ638" s="5" t="s">
        <v>7320</v>
      </c>
      <c r="AR638" s="5" t="s">
        <v>7151</v>
      </c>
      <c r="AS638" s="5" t="s">
        <v>7326</v>
      </c>
      <c r="AT638" s="5" t="s">
        <v>7327</v>
      </c>
      <c r="AU638" s="5"/>
      <c r="AV638" s="5" t="s">
        <v>178</v>
      </c>
      <c r="AW638" s="5" t="s">
        <v>7328</v>
      </c>
    </row>
    <row r="639" customFormat="false" ht="124.6" hidden="false" customHeight="false" outlineLevel="0" collapsed="false">
      <c r="A639" s="5" t="s">
        <v>7329</v>
      </c>
      <c r="B639" s="5" t="s">
        <v>7330</v>
      </c>
      <c r="C639" s="5" t="s">
        <v>7190</v>
      </c>
      <c r="D639" s="5" t="s">
        <v>7191</v>
      </c>
      <c r="E639" s="5" t="s">
        <v>514</v>
      </c>
      <c r="F639" s="5" t="s">
        <v>7331</v>
      </c>
      <c r="G639" s="5" t="s">
        <v>7332</v>
      </c>
      <c r="H639" s="5" t="n">
        <v>10</v>
      </c>
      <c r="I639" s="5" t="s">
        <v>152</v>
      </c>
      <c r="J639" s="5" t="s">
        <v>652</v>
      </c>
      <c r="K639" s="5" t="s">
        <v>5378</v>
      </c>
      <c r="L639" s="5" t="s">
        <v>30</v>
      </c>
      <c r="M639" s="5" t="s">
        <v>155</v>
      </c>
      <c r="N639" s="5" t="s">
        <v>7333</v>
      </c>
      <c r="O639" s="5" t="s">
        <v>157</v>
      </c>
      <c r="P639" s="5" t="s">
        <v>158</v>
      </c>
      <c r="Q639" s="5" t="s">
        <v>335</v>
      </c>
      <c r="R639" s="5" t="s">
        <v>7196</v>
      </c>
      <c r="S639" s="5" t="s">
        <v>7197</v>
      </c>
      <c r="T639" s="5" t="s">
        <v>162</v>
      </c>
      <c r="U639" s="5" t="n">
        <v>180</v>
      </c>
      <c r="V639" s="5" t="s">
        <v>7198</v>
      </c>
      <c r="W639" s="5" t="s">
        <v>7199</v>
      </c>
      <c r="X639" s="5" t="s">
        <v>7334</v>
      </c>
      <c r="Y639" s="5" t="s">
        <v>7335</v>
      </c>
      <c r="Z639" s="5" t="s">
        <v>7336</v>
      </c>
      <c r="AA639" s="5"/>
      <c r="AB639" s="5"/>
      <c r="AC639" s="5"/>
      <c r="AD639" s="5"/>
      <c r="AE639" s="5" t="s">
        <v>7337</v>
      </c>
      <c r="AF639" s="5"/>
      <c r="AG639" s="5"/>
      <c r="AH639" s="5"/>
      <c r="AI639" s="5"/>
      <c r="AJ639" s="5" t="s">
        <v>7338</v>
      </c>
      <c r="AK639" s="5" t="s">
        <v>7339</v>
      </c>
      <c r="AL639" s="5"/>
      <c r="AM639" s="5"/>
      <c r="AN639" s="5"/>
      <c r="AO639" s="5"/>
      <c r="AP639" s="5"/>
      <c r="AQ639" s="5"/>
      <c r="AR639" s="5"/>
      <c r="AS639" s="5"/>
      <c r="AT639" s="5"/>
      <c r="AU639" s="5"/>
      <c r="AV639" s="5" t="s">
        <v>178</v>
      </c>
      <c r="AW639" s="5" t="s">
        <v>7340</v>
      </c>
    </row>
    <row r="640" customFormat="false" ht="135.8" hidden="false" customHeight="false" outlineLevel="0" collapsed="false">
      <c r="A640" s="5" t="s">
        <v>7341</v>
      </c>
      <c r="B640" s="5" t="s">
        <v>7342</v>
      </c>
      <c r="C640" s="5" t="s">
        <v>7190</v>
      </c>
      <c r="D640" s="5" t="s">
        <v>7191</v>
      </c>
      <c r="E640" s="5" t="s">
        <v>514</v>
      </c>
      <c r="F640" s="5" t="s">
        <v>7343</v>
      </c>
      <c r="G640" s="5" t="s">
        <v>7344</v>
      </c>
      <c r="H640" s="5" t="n">
        <v>8</v>
      </c>
      <c r="I640" s="5" t="s">
        <v>152</v>
      </c>
      <c r="J640" s="5" t="s">
        <v>153</v>
      </c>
      <c r="K640" s="5"/>
      <c r="L640" s="5" t="s">
        <v>30</v>
      </c>
      <c r="M640" s="5" t="s">
        <v>155</v>
      </c>
      <c r="N640" s="5" t="s">
        <v>7345</v>
      </c>
      <c r="O640" s="5" t="s">
        <v>157</v>
      </c>
      <c r="P640" s="5" t="s">
        <v>215</v>
      </c>
      <c r="Q640" s="5" t="s">
        <v>335</v>
      </c>
      <c r="R640" s="5" t="s">
        <v>7196</v>
      </c>
      <c r="S640" s="5" t="s">
        <v>7197</v>
      </c>
      <c r="T640" s="5" t="s">
        <v>162</v>
      </c>
      <c r="U640" s="5" t="n">
        <v>365</v>
      </c>
      <c r="V640" s="5" t="s">
        <v>7198</v>
      </c>
      <c r="W640" s="5" t="s">
        <v>7199</v>
      </c>
      <c r="X640" s="5" t="s">
        <v>7346</v>
      </c>
      <c r="Y640" s="5" t="s">
        <v>7347</v>
      </c>
      <c r="Z640" s="5" t="s">
        <v>7348</v>
      </c>
      <c r="AA640" s="5"/>
      <c r="AB640" s="5"/>
      <c r="AC640" s="5"/>
      <c r="AD640" s="5"/>
      <c r="AE640" s="5" t="s">
        <v>7349</v>
      </c>
      <c r="AF640" s="5"/>
      <c r="AG640" s="5"/>
      <c r="AH640" s="5"/>
      <c r="AI640" s="5"/>
      <c r="AJ640" s="5" t="s">
        <v>7350</v>
      </c>
      <c r="AK640" s="5"/>
      <c r="AL640" s="5"/>
      <c r="AM640" s="5"/>
      <c r="AN640" s="5"/>
      <c r="AO640" s="5"/>
      <c r="AP640" s="5"/>
      <c r="AQ640" s="5"/>
      <c r="AR640" s="5"/>
      <c r="AS640" s="5"/>
      <c r="AT640" s="5"/>
      <c r="AU640" s="5"/>
      <c r="AV640" s="5"/>
      <c r="AW640" s="5" t="s">
        <v>7351</v>
      </c>
    </row>
    <row r="641" customFormat="false" ht="113.4" hidden="false" customHeight="false" outlineLevel="0" collapsed="false">
      <c r="A641" s="5" t="s">
        <v>7352</v>
      </c>
      <c r="B641" s="5" t="s">
        <v>7353</v>
      </c>
      <c r="C641" s="5" t="s">
        <v>7190</v>
      </c>
      <c r="D641" s="5" t="s">
        <v>7191</v>
      </c>
      <c r="E641" s="5" t="s">
        <v>514</v>
      </c>
      <c r="F641" s="5" t="s">
        <v>7354</v>
      </c>
      <c r="G641" s="5" t="s">
        <v>7355</v>
      </c>
      <c r="H641" s="5" t="n">
        <v>9</v>
      </c>
      <c r="I641" s="5" t="s">
        <v>152</v>
      </c>
      <c r="J641" s="5" t="s">
        <v>153</v>
      </c>
      <c r="K641" s="5" t="s">
        <v>7356</v>
      </c>
      <c r="L641" s="5" t="s">
        <v>30</v>
      </c>
      <c r="M641" s="5" t="s">
        <v>155</v>
      </c>
      <c r="N641" s="5" t="s">
        <v>450</v>
      </c>
      <c r="O641" s="5" t="s">
        <v>157</v>
      </c>
      <c r="P641" s="5" t="s">
        <v>215</v>
      </c>
      <c r="Q641" s="5" t="s">
        <v>335</v>
      </c>
      <c r="R641" s="5" t="s">
        <v>7196</v>
      </c>
      <c r="S641" s="5" t="s">
        <v>7197</v>
      </c>
      <c r="T641" s="5" t="s">
        <v>162</v>
      </c>
      <c r="U641" s="5" t="n">
        <v>365</v>
      </c>
      <c r="V641" s="5" t="s">
        <v>7198</v>
      </c>
      <c r="W641" s="5" t="s">
        <v>7199</v>
      </c>
      <c r="X641" s="5" t="s">
        <v>7357</v>
      </c>
      <c r="Y641" s="5" t="s">
        <v>7358</v>
      </c>
      <c r="Z641" s="5" t="s">
        <v>7359</v>
      </c>
      <c r="AA641" s="5"/>
      <c r="AB641" s="5"/>
      <c r="AC641" s="5"/>
      <c r="AD641" s="5"/>
      <c r="AE641" s="5" t="s">
        <v>7360</v>
      </c>
      <c r="AF641" s="5"/>
      <c r="AG641" s="5"/>
      <c r="AH641" s="5"/>
      <c r="AI641" s="5"/>
      <c r="AJ641" s="5"/>
      <c r="AK641" s="5"/>
      <c r="AL641" s="5"/>
      <c r="AM641" s="5"/>
      <c r="AN641" s="5"/>
      <c r="AO641" s="5"/>
      <c r="AP641" s="5"/>
      <c r="AQ641" s="5"/>
      <c r="AR641" s="5"/>
      <c r="AS641" s="5"/>
      <c r="AT641" s="5"/>
      <c r="AU641" s="5"/>
      <c r="AV641" s="5"/>
      <c r="AW641" s="5" t="s">
        <v>7361</v>
      </c>
    </row>
    <row r="642" customFormat="false" ht="124.6" hidden="false" customHeight="false" outlineLevel="0" collapsed="false">
      <c r="A642" s="5" t="s">
        <v>7362</v>
      </c>
      <c r="B642" s="5" t="s">
        <v>7363</v>
      </c>
      <c r="C642" s="5" t="s">
        <v>7190</v>
      </c>
      <c r="D642" s="5" t="s">
        <v>7191</v>
      </c>
      <c r="E642" s="5" t="s">
        <v>626</v>
      </c>
      <c r="F642" s="5" t="s">
        <v>7364</v>
      </c>
      <c r="G642" s="5" t="s">
        <v>7365</v>
      </c>
      <c r="H642" s="5" t="n">
        <v>8</v>
      </c>
      <c r="I642" s="5" t="s">
        <v>152</v>
      </c>
      <c r="J642" s="5" t="s">
        <v>153</v>
      </c>
      <c r="K642" s="5"/>
      <c r="L642" s="5" t="s">
        <v>30</v>
      </c>
      <c r="M642" s="5" t="s">
        <v>155</v>
      </c>
      <c r="N642" s="5" t="s">
        <v>450</v>
      </c>
      <c r="O642" s="5" t="s">
        <v>157</v>
      </c>
      <c r="P642" s="5" t="s">
        <v>215</v>
      </c>
      <c r="Q642" s="5" t="s">
        <v>335</v>
      </c>
      <c r="R642" s="5" t="s">
        <v>7196</v>
      </c>
      <c r="S642" s="5" t="s">
        <v>7197</v>
      </c>
      <c r="T642" s="5" t="s">
        <v>162</v>
      </c>
      <c r="U642" s="5" t="n">
        <v>365</v>
      </c>
      <c r="V642" s="5" t="s">
        <v>7198</v>
      </c>
      <c r="W642" s="5" t="s">
        <v>7199</v>
      </c>
      <c r="X642" s="5" t="s">
        <v>7366</v>
      </c>
      <c r="Y642" s="5" t="s">
        <v>7367</v>
      </c>
      <c r="Z642" s="5" t="s">
        <v>7368</v>
      </c>
      <c r="AA642" s="5"/>
      <c r="AB642" s="5"/>
      <c r="AC642" s="5"/>
      <c r="AD642" s="5"/>
      <c r="AE642" s="5" t="s">
        <v>2869</v>
      </c>
      <c r="AF642" s="5"/>
      <c r="AG642" s="5"/>
      <c r="AH642" s="5"/>
      <c r="AI642" s="5"/>
      <c r="AJ642" s="5"/>
      <c r="AK642" s="5"/>
      <c r="AL642" s="5"/>
      <c r="AM642" s="5"/>
      <c r="AN642" s="5"/>
      <c r="AO642" s="5"/>
      <c r="AP642" s="5"/>
      <c r="AQ642" s="5"/>
      <c r="AR642" s="5"/>
      <c r="AS642" s="5"/>
      <c r="AT642" s="5"/>
      <c r="AU642" s="5"/>
      <c r="AV642" s="5"/>
      <c r="AW642" s="5" t="s">
        <v>7369</v>
      </c>
    </row>
    <row r="643" customFormat="false" ht="124.6" hidden="false" customHeight="false" outlineLevel="0" collapsed="false">
      <c r="A643" s="5" t="s">
        <v>7370</v>
      </c>
      <c r="B643" s="5" t="s">
        <v>7371</v>
      </c>
      <c r="C643" s="5" t="s">
        <v>7190</v>
      </c>
      <c r="D643" s="5" t="s">
        <v>7191</v>
      </c>
      <c r="E643" s="5" t="s">
        <v>514</v>
      </c>
      <c r="F643" s="5" t="s">
        <v>7372</v>
      </c>
      <c r="G643" s="5" t="s">
        <v>7373</v>
      </c>
      <c r="H643" s="5" t="n">
        <v>9</v>
      </c>
      <c r="I643" s="5" t="s">
        <v>152</v>
      </c>
      <c r="J643" s="5" t="s">
        <v>153</v>
      </c>
      <c r="K643" s="5" t="s">
        <v>7294</v>
      </c>
      <c r="L643" s="5" t="s">
        <v>30</v>
      </c>
      <c r="M643" s="5" t="s">
        <v>155</v>
      </c>
      <c r="N643" s="5" t="s">
        <v>7374</v>
      </c>
      <c r="O643" s="5" t="s">
        <v>157</v>
      </c>
      <c r="P643" s="5" t="s">
        <v>158</v>
      </c>
      <c r="Q643" s="5" t="s">
        <v>335</v>
      </c>
      <c r="R643" s="5" t="s">
        <v>7196</v>
      </c>
      <c r="S643" s="5" t="s">
        <v>7197</v>
      </c>
      <c r="T643" s="5" t="s">
        <v>162</v>
      </c>
      <c r="U643" s="5" t="n">
        <v>365</v>
      </c>
      <c r="V643" s="5" t="s">
        <v>7198</v>
      </c>
      <c r="W643" s="5" t="s">
        <v>7199</v>
      </c>
      <c r="X643" s="5" t="s">
        <v>7375</v>
      </c>
      <c r="Y643" s="5" t="s">
        <v>7376</v>
      </c>
      <c r="Z643" s="5" t="s">
        <v>7377</v>
      </c>
      <c r="AA643" s="5"/>
      <c r="AB643" s="5"/>
      <c r="AC643" s="5"/>
      <c r="AD643" s="5"/>
      <c r="AE643" s="5" t="s">
        <v>7378</v>
      </c>
      <c r="AF643" s="5"/>
      <c r="AG643" s="5"/>
      <c r="AH643" s="5"/>
      <c r="AI643" s="5"/>
      <c r="AJ643" s="5"/>
      <c r="AK643" s="5" t="s">
        <v>7379</v>
      </c>
      <c r="AL643" s="5"/>
      <c r="AM643" s="5"/>
      <c r="AN643" s="5"/>
      <c r="AO643" s="5" t="s">
        <v>7209</v>
      </c>
      <c r="AP643" s="5"/>
      <c r="AQ643" s="5"/>
      <c r="AR643" s="5"/>
      <c r="AS643" s="5"/>
      <c r="AT643" s="5"/>
      <c r="AU643" s="5"/>
      <c r="AV643" s="5" t="s">
        <v>178</v>
      </c>
      <c r="AW643" s="5" t="s">
        <v>7340</v>
      </c>
    </row>
    <row r="644" customFormat="false" ht="135.8" hidden="false" customHeight="false" outlineLevel="0" collapsed="false">
      <c r="A644" s="5" t="s">
        <v>7380</v>
      </c>
      <c r="B644" s="5" t="s">
        <v>7381</v>
      </c>
      <c r="C644" s="5" t="s">
        <v>7190</v>
      </c>
      <c r="D644" s="5" t="s">
        <v>7191</v>
      </c>
      <c r="E644" s="5" t="s">
        <v>514</v>
      </c>
      <c r="F644" s="5" t="s">
        <v>7382</v>
      </c>
      <c r="G644" s="5" t="s">
        <v>7383</v>
      </c>
      <c r="H644" s="5" t="n">
        <v>10</v>
      </c>
      <c r="I644" s="5" t="s">
        <v>152</v>
      </c>
      <c r="J644" s="5" t="s">
        <v>652</v>
      </c>
      <c r="K644" s="5" t="s">
        <v>5378</v>
      </c>
      <c r="L644" s="5" t="s">
        <v>30</v>
      </c>
      <c r="M644" s="5" t="s">
        <v>155</v>
      </c>
      <c r="N644" s="5" t="s">
        <v>7384</v>
      </c>
      <c r="O644" s="5" t="s">
        <v>157</v>
      </c>
      <c r="P644" s="5" t="s">
        <v>158</v>
      </c>
      <c r="Q644" s="5" t="s">
        <v>440</v>
      </c>
      <c r="R644" s="5" t="s">
        <v>7196</v>
      </c>
      <c r="S644" s="5" t="s">
        <v>7197</v>
      </c>
      <c r="T644" s="5" t="s">
        <v>162</v>
      </c>
      <c r="U644" s="5" t="n">
        <v>180</v>
      </c>
      <c r="V644" s="5" t="s">
        <v>7198</v>
      </c>
      <c r="W644" s="5" t="s">
        <v>7199</v>
      </c>
      <c r="X644" s="5" t="s">
        <v>7385</v>
      </c>
      <c r="Y644" s="5" t="s">
        <v>7386</v>
      </c>
      <c r="Z644" s="5" t="s">
        <v>7387</v>
      </c>
      <c r="AA644" s="5" t="s">
        <v>7203</v>
      </c>
      <c r="AB644" s="5"/>
      <c r="AC644" s="5"/>
      <c r="AD644" s="5"/>
      <c r="AE644" s="5" t="s">
        <v>7388</v>
      </c>
      <c r="AF644" s="5"/>
      <c r="AG644" s="5"/>
      <c r="AH644" s="5"/>
      <c r="AI644" s="5"/>
      <c r="AJ644" s="5" t="s">
        <v>7389</v>
      </c>
      <c r="AK644" s="5" t="s">
        <v>7390</v>
      </c>
      <c r="AL644" s="5"/>
      <c r="AM644" s="5"/>
      <c r="AN644" s="5"/>
      <c r="AO644" s="5" t="s">
        <v>7209</v>
      </c>
      <c r="AP644" s="5"/>
      <c r="AQ644" s="5"/>
      <c r="AR644" s="5"/>
      <c r="AS644" s="5" t="s">
        <v>7391</v>
      </c>
      <c r="AT644" s="5" t="s">
        <v>7138</v>
      </c>
      <c r="AU644" s="5"/>
      <c r="AV644" s="5" t="s">
        <v>178</v>
      </c>
      <c r="AW644" s="5" t="s">
        <v>7340</v>
      </c>
    </row>
    <row r="645" customFormat="false" ht="158.2" hidden="false" customHeight="false" outlineLevel="0" collapsed="false">
      <c r="A645" s="5" t="s">
        <v>7392</v>
      </c>
      <c r="B645" s="5" t="s">
        <v>7393</v>
      </c>
      <c r="C645" s="5" t="s">
        <v>7190</v>
      </c>
      <c r="D645" s="5" t="s">
        <v>7191</v>
      </c>
      <c r="E645" s="5" t="s">
        <v>514</v>
      </c>
      <c r="F645" s="5" t="s">
        <v>7394</v>
      </c>
      <c r="G645" s="5" t="s">
        <v>7395</v>
      </c>
      <c r="H645" s="5" t="n">
        <v>9</v>
      </c>
      <c r="I645" s="5" t="s">
        <v>152</v>
      </c>
      <c r="J645" s="5" t="s">
        <v>652</v>
      </c>
      <c r="K645" s="5" t="s">
        <v>5378</v>
      </c>
      <c r="L645" s="5" t="s">
        <v>30</v>
      </c>
      <c r="M645" s="5" t="s">
        <v>155</v>
      </c>
      <c r="N645" s="5" t="s">
        <v>7396</v>
      </c>
      <c r="O645" s="5" t="s">
        <v>157</v>
      </c>
      <c r="P645" s="5" t="s">
        <v>158</v>
      </c>
      <c r="Q645" s="5" t="s">
        <v>605</v>
      </c>
      <c r="R645" s="5" t="s">
        <v>7196</v>
      </c>
      <c r="S645" s="5" t="s">
        <v>7197</v>
      </c>
      <c r="T645" s="5" t="s">
        <v>162</v>
      </c>
      <c r="U645" s="5" t="n">
        <v>180</v>
      </c>
      <c r="V645" s="5" t="s">
        <v>7198</v>
      </c>
      <c r="W645" s="5" t="s">
        <v>7199</v>
      </c>
      <c r="X645" s="5" t="s">
        <v>7397</v>
      </c>
      <c r="Y645" s="5" t="s">
        <v>7398</v>
      </c>
      <c r="Z645" s="5" t="s">
        <v>7399</v>
      </c>
      <c r="AA645" s="5"/>
      <c r="AB645" s="5"/>
      <c r="AC645" s="5"/>
      <c r="AD645" s="5"/>
      <c r="AE645" s="5" t="s">
        <v>7400</v>
      </c>
      <c r="AF645" s="5" t="s">
        <v>7401</v>
      </c>
      <c r="AG645" s="5" t="s">
        <v>7401</v>
      </c>
      <c r="AH645" s="5"/>
      <c r="AI645" s="5"/>
      <c r="AJ645" s="5" t="s">
        <v>7389</v>
      </c>
      <c r="AK645" s="5" t="s">
        <v>7390</v>
      </c>
      <c r="AL645" s="5" t="s">
        <v>7401</v>
      </c>
      <c r="AM645" s="5"/>
      <c r="AN645" s="5" t="s">
        <v>7402</v>
      </c>
      <c r="AO645" s="5" t="s">
        <v>7209</v>
      </c>
      <c r="AP645" s="5"/>
      <c r="AQ645" s="5" t="s">
        <v>7401</v>
      </c>
      <c r="AR645" s="5" t="s">
        <v>7151</v>
      </c>
      <c r="AS645" s="5" t="s">
        <v>7391</v>
      </c>
      <c r="AT645" s="5" t="s">
        <v>7138</v>
      </c>
      <c r="AU645" s="5"/>
      <c r="AV645" s="5" t="s">
        <v>178</v>
      </c>
      <c r="AW645" s="5" t="s">
        <v>7340</v>
      </c>
    </row>
    <row r="646" customFormat="false" ht="124.6" hidden="false" customHeight="false" outlineLevel="0" collapsed="false">
      <c r="A646" s="5" t="s">
        <v>7403</v>
      </c>
      <c r="B646" s="5" t="s">
        <v>7404</v>
      </c>
      <c r="C646" s="5" t="s">
        <v>7190</v>
      </c>
      <c r="D646" s="5" t="s">
        <v>7191</v>
      </c>
      <c r="E646" s="5" t="s">
        <v>1298</v>
      </c>
      <c r="F646" s="5" t="s">
        <v>7405</v>
      </c>
      <c r="G646" s="5" t="s">
        <v>7406</v>
      </c>
      <c r="H646" s="5" t="n">
        <v>9</v>
      </c>
      <c r="I646" s="5" t="s">
        <v>152</v>
      </c>
      <c r="J646" s="5" t="s">
        <v>153</v>
      </c>
      <c r="K646" s="5" t="s">
        <v>7407</v>
      </c>
      <c r="L646" s="5" t="s">
        <v>30</v>
      </c>
      <c r="M646" s="5" t="s">
        <v>155</v>
      </c>
      <c r="N646" s="5" t="s">
        <v>7408</v>
      </c>
      <c r="O646" s="5" t="s">
        <v>157</v>
      </c>
      <c r="P646" s="5" t="s">
        <v>158</v>
      </c>
      <c r="Q646" s="5" t="s">
        <v>605</v>
      </c>
      <c r="R646" s="5" t="s">
        <v>7196</v>
      </c>
      <c r="S646" s="5" t="s">
        <v>7197</v>
      </c>
      <c r="T646" s="5" t="s">
        <v>162</v>
      </c>
      <c r="U646" s="5" t="n">
        <v>365</v>
      </c>
      <c r="V646" s="5" t="s">
        <v>7198</v>
      </c>
      <c r="W646" s="5" t="s">
        <v>7199</v>
      </c>
      <c r="X646" s="5" t="s">
        <v>7409</v>
      </c>
      <c r="Y646" s="5" t="s">
        <v>7410</v>
      </c>
      <c r="Z646" s="5" t="s">
        <v>7411</v>
      </c>
      <c r="AA646" s="5" t="s">
        <v>7412</v>
      </c>
      <c r="AB646" s="5"/>
      <c r="AC646" s="5"/>
      <c r="AD646" s="5"/>
      <c r="AE646" s="5" t="s">
        <v>7413</v>
      </c>
      <c r="AF646" s="5"/>
      <c r="AG646" s="5"/>
      <c r="AH646" s="5"/>
      <c r="AI646" s="5" t="s">
        <v>7414</v>
      </c>
      <c r="AJ646" s="5"/>
      <c r="AK646" s="5" t="s">
        <v>7415</v>
      </c>
      <c r="AL646" s="5"/>
      <c r="AM646" s="5"/>
      <c r="AN646" s="5"/>
      <c r="AO646" s="5"/>
      <c r="AP646" s="5"/>
      <c r="AQ646" s="5"/>
      <c r="AR646" s="5"/>
      <c r="AS646" s="5"/>
      <c r="AT646" s="5"/>
      <c r="AU646" s="5"/>
      <c r="AV646" s="5" t="s">
        <v>178</v>
      </c>
      <c r="AW646" s="5" t="s">
        <v>7214</v>
      </c>
    </row>
    <row r="647" customFormat="false" ht="113.4" hidden="false" customHeight="false" outlineLevel="0" collapsed="false">
      <c r="A647" s="5" t="s">
        <v>7416</v>
      </c>
      <c r="B647" s="5" t="s">
        <v>7417</v>
      </c>
      <c r="C647" s="5" t="s">
        <v>7190</v>
      </c>
      <c r="D647" s="5" t="s">
        <v>7191</v>
      </c>
      <c r="E647" s="5" t="s">
        <v>626</v>
      </c>
      <c r="F647" s="5" t="s">
        <v>7418</v>
      </c>
      <c r="G647" s="5" t="s">
        <v>7419</v>
      </c>
      <c r="H647" s="5" t="n">
        <v>9</v>
      </c>
      <c r="I647" s="5" t="s">
        <v>152</v>
      </c>
      <c r="J647" s="5" t="s">
        <v>153</v>
      </c>
      <c r="K647" s="5" t="s">
        <v>7420</v>
      </c>
      <c r="L647" s="5" t="s">
        <v>30</v>
      </c>
      <c r="M647" s="5" t="s">
        <v>155</v>
      </c>
      <c r="N647" s="5" t="s">
        <v>7345</v>
      </c>
      <c r="O647" s="5" t="s">
        <v>157</v>
      </c>
      <c r="P647" s="5" t="s">
        <v>215</v>
      </c>
      <c r="Q647" s="5" t="s">
        <v>335</v>
      </c>
      <c r="R647" s="5" t="s">
        <v>7196</v>
      </c>
      <c r="S647" s="5" t="s">
        <v>7197</v>
      </c>
      <c r="T647" s="5" t="s">
        <v>162</v>
      </c>
      <c r="U647" s="5" t="n">
        <v>365</v>
      </c>
      <c r="V647" s="5" t="s">
        <v>7198</v>
      </c>
      <c r="W647" s="5" t="s">
        <v>7199</v>
      </c>
      <c r="X647" s="5" t="s">
        <v>7421</v>
      </c>
      <c r="Y647" s="5" t="s">
        <v>7422</v>
      </c>
      <c r="Z647" s="5" t="s">
        <v>7423</v>
      </c>
      <c r="AA647" s="5"/>
      <c r="AB647" s="5"/>
      <c r="AC647" s="5"/>
      <c r="AD647" s="5"/>
      <c r="AE647" s="5" t="s">
        <v>7424</v>
      </c>
      <c r="AF647" s="5"/>
      <c r="AG647" s="5"/>
      <c r="AH647" s="5"/>
      <c r="AI647" s="5"/>
      <c r="AJ647" s="5" t="s">
        <v>7425</v>
      </c>
      <c r="AK647" s="5"/>
      <c r="AL647" s="5"/>
      <c r="AM647" s="5"/>
      <c r="AN647" s="5"/>
      <c r="AO647" s="5"/>
      <c r="AP647" s="5"/>
      <c r="AQ647" s="5"/>
      <c r="AR647" s="5"/>
      <c r="AS647" s="5"/>
      <c r="AT647" s="5"/>
      <c r="AU647" s="5"/>
      <c r="AV647" s="5"/>
      <c r="AW647" s="5" t="s">
        <v>7426</v>
      </c>
    </row>
    <row r="648" customFormat="false" ht="124.6" hidden="false" customHeight="false" outlineLevel="0" collapsed="false">
      <c r="A648" s="5" t="s">
        <v>7427</v>
      </c>
      <c r="B648" s="5" t="s">
        <v>7428</v>
      </c>
      <c r="C648" s="5" t="s">
        <v>7190</v>
      </c>
      <c r="D648" s="5" t="s">
        <v>7191</v>
      </c>
      <c r="E648" s="5" t="s">
        <v>626</v>
      </c>
      <c r="F648" s="5" t="s">
        <v>7429</v>
      </c>
      <c r="G648" s="5" t="s">
        <v>7430</v>
      </c>
      <c r="H648" s="5" t="n">
        <v>9</v>
      </c>
      <c r="I648" s="5" t="s">
        <v>152</v>
      </c>
      <c r="J648" s="5" t="s">
        <v>652</v>
      </c>
      <c r="K648" s="5" t="s">
        <v>7431</v>
      </c>
      <c r="L648" s="5" t="s">
        <v>30</v>
      </c>
      <c r="M648" s="5" t="s">
        <v>155</v>
      </c>
      <c r="N648" s="5" t="s">
        <v>450</v>
      </c>
      <c r="O648" s="5" t="s">
        <v>157</v>
      </c>
      <c r="P648" s="5" t="s">
        <v>215</v>
      </c>
      <c r="Q648" s="5" t="s">
        <v>335</v>
      </c>
      <c r="R648" s="5" t="s">
        <v>7196</v>
      </c>
      <c r="S648" s="5" t="s">
        <v>7197</v>
      </c>
      <c r="T648" s="5" t="s">
        <v>162</v>
      </c>
      <c r="U648" s="5" t="n">
        <v>180</v>
      </c>
      <c r="V648" s="5" t="s">
        <v>7198</v>
      </c>
      <c r="W648" s="5" t="s">
        <v>7199</v>
      </c>
      <c r="X648" s="5" t="s">
        <v>7432</v>
      </c>
      <c r="Y648" s="5" t="s">
        <v>7433</v>
      </c>
      <c r="Z648" s="5" t="s">
        <v>7434</v>
      </c>
      <c r="AA648" s="5"/>
      <c r="AB648" s="5"/>
      <c r="AC648" s="5"/>
      <c r="AD648" s="5"/>
      <c r="AE648" s="5" t="s">
        <v>7435</v>
      </c>
      <c r="AF648" s="5"/>
      <c r="AG648" s="5"/>
      <c r="AH648" s="5"/>
      <c r="AI648" s="5"/>
      <c r="AJ648" s="5"/>
      <c r="AK648" s="5"/>
      <c r="AL648" s="5"/>
      <c r="AM648" s="5"/>
      <c r="AN648" s="5"/>
      <c r="AO648" s="5"/>
      <c r="AP648" s="5"/>
      <c r="AQ648" s="5"/>
      <c r="AR648" s="5"/>
      <c r="AS648" s="5"/>
      <c r="AT648" s="5"/>
      <c r="AU648" s="5"/>
      <c r="AV648" s="5"/>
      <c r="AW648" s="5" t="s">
        <v>7436</v>
      </c>
    </row>
    <row r="649" customFormat="false" ht="113.4" hidden="false" customHeight="false" outlineLevel="0" collapsed="false">
      <c r="A649" s="5" t="s">
        <v>7437</v>
      </c>
      <c r="B649" s="5" t="s">
        <v>7438</v>
      </c>
      <c r="C649" s="5" t="s">
        <v>7190</v>
      </c>
      <c r="D649" s="5" t="s">
        <v>7191</v>
      </c>
      <c r="E649" s="5" t="s">
        <v>514</v>
      </c>
      <c r="F649" s="5" t="s">
        <v>7439</v>
      </c>
      <c r="G649" s="5" t="s">
        <v>7440</v>
      </c>
      <c r="H649" s="5" t="n">
        <v>9</v>
      </c>
      <c r="I649" s="5" t="s">
        <v>152</v>
      </c>
      <c r="J649" s="5" t="s">
        <v>153</v>
      </c>
      <c r="K649" s="5"/>
      <c r="L649" s="5" t="s">
        <v>30</v>
      </c>
      <c r="M649" s="5" t="s">
        <v>155</v>
      </c>
      <c r="N649" s="5" t="s">
        <v>7441</v>
      </c>
      <c r="O649" s="5" t="s">
        <v>157</v>
      </c>
      <c r="P649" s="5" t="s">
        <v>158</v>
      </c>
      <c r="Q649" s="5" t="s">
        <v>335</v>
      </c>
      <c r="R649" s="5" t="s">
        <v>7196</v>
      </c>
      <c r="S649" s="5" t="s">
        <v>7197</v>
      </c>
      <c r="T649" s="5" t="s">
        <v>162</v>
      </c>
      <c r="U649" s="5" t="n">
        <v>365</v>
      </c>
      <c r="V649" s="5" t="s">
        <v>7198</v>
      </c>
      <c r="W649" s="5" t="s">
        <v>7199</v>
      </c>
      <c r="X649" s="5" t="s">
        <v>7442</v>
      </c>
      <c r="Y649" s="5" t="s">
        <v>7443</v>
      </c>
      <c r="Z649" s="5" t="s">
        <v>7444</v>
      </c>
      <c r="AA649" s="5"/>
      <c r="AB649" s="5"/>
      <c r="AC649" s="5"/>
      <c r="AD649" s="5"/>
      <c r="AE649" s="5" t="s">
        <v>7445</v>
      </c>
      <c r="AF649" s="5"/>
      <c r="AG649" s="5"/>
      <c r="AH649" s="5"/>
      <c r="AI649" s="5"/>
      <c r="AJ649" s="5"/>
      <c r="AK649" s="5"/>
      <c r="AL649" s="5"/>
      <c r="AM649" s="5"/>
      <c r="AN649" s="5"/>
      <c r="AO649" s="5"/>
      <c r="AP649" s="5" t="s">
        <v>7325</v>
      </c>
      <c r="AQ649" s="5"/>
      <c r="AR649" s="5"/>
      <c r="AS649" s="5"/>
      <c r="AT649" s="5"/>
      <c r="AU649" s="5"/>
      <c r="AV649" s="5" t="s">
        <v>178</v>
      </c>
      <c r="AW649" s="5" t="s">
        <v>7214</v>
      </c>
    </row>
    <row r="650" customFormat="false" ht="113.4" hidden="false" customHeight="false" outlineLevel="0" collapsed="false">
      <c r="A650" s="5" t="s">
        <v>7446</v>
      </c>
      <c r="B650" s="5" t="s">
        <v>7447</v>
      </c>
      <c r="C650" s="5" t="s">
        <v>7190</v>
      </c>
      <c r="D650" s="5" t="s">
        <v>7191</v>
      </c>
      <c r="E650" s="5" t="s">
        <v>514</v>
      </c>
      <c r="F650" s="5" t="s">
        <v>7448</v>
      </c>
      <c r="G650" s="5" t="s">
        <v>7449</v>
      </c>
      <c r="H650" s="5" t="n">
        <v>8</v>
      </c>
      <c r="I650" s="5" t="s">
        <v>152</v>
      </c>
      <c r="J650" s="5" t="s">
        <v>153</v>
      </c>
      <c r="K650" s="5" t="s">
        <v>7450</v>
      </c>
      <c r="L650" s="5" t="s">
        <v>30</v>
      </c>
      <c r="M650" s="5" t="s">
        <v>155</v>
      </c>
      <c r="N650" s="5" t="s">
        <v>7451</v>
      </c>
      <c r="O650" s="5" t="s">
        <v>157</v>
      </c>
      <c r="P650" s="5" t="s">
        <v>158</v>
      </c>
      <c r="Q650" s="5" t="s">
        <v>335</v>
      </c>
      <c r="R650" s="5" t="s">
        <v>7196</v>
      </c>
      <c r="S650" s="5" t="s">
        <v>7197</v>
      </c>
      <c r="T650" s="5" t="s">
        <v>162</v>
      </c>
      <c r="U650" s="5" t="n">
        <v>365</v>
      </c>
      <c r="V650" s="5" t="s">
        <v>7198</v>
      </c>
      <c r="W650" s="5" t="s">
        <v>7199</v>
      </c>
      <c r="X650" s="5" t="s">
        <v>7452</v>
      </c>
      <c r="Y650" s="5" t="s">
        <v>7453</v>
      </c>
      <c r="Z650" s="5" t="s">
        <v>7454</v>
      </c>
      <c r="AA650" s="5"/>
      <c r="AB650" s="5"/>
      <c r="AC650" s="5"/>
      <c r="AD650" s="5"/>
      <c r="AE650" s="5" t="s">
        <v>966</v>
      </c>
      <c r="AF650" s="5"/>
      <c r="AG650" s="5"/>
      <c r="AH650" s="5"/>
      <c r="AI650" s="5"/>
      <c r="AJ650" s="5"/>
      <c r="AK650" s="5"/>
      <c r="AL650" s="5"/>
      <c r="AM650" s="5"/>
      <c r="AN650" s="5"/>
      <c r="AO650" s="5" t="s">
        <v>7455</v>
      </c>
      <c r="AP650" s="5"/>
      <c r="AQ650" s="5"/>
      <c r="AR650" s="5"/>
      <c r="AS650" s="5"/>
      <c r="AT650" s="5" t="s">
        <v>5042</v>
      </c>
      <c r="AU650" s="5"/>
      <c r="AV650" s="5"/>
      <c r="AW650" s="5" t="s">
        <v>7456</v>
      </c>
    </row>
    <row r="651" customFormat="false" ht="214.15" hidden="false" customHeight="false" outlineLevel="0" collapsed="false">
      <c r="A651" s="5" t="s">
        <v>7457</v>
      </c>
      <c r="B651" s="5" t="s">
        <v>7458</v>
      </c>
      <c r="C651" s="5" t="s">
        <v>7190</v>
      </c>
      <c r="D651" s="5" t="s">
        <v>7191</v>
      </c>
      <c r="E651" s="5" t="s">
        <v>514</v>
      </c>
      <c r="F651" s="5" t="s">
        <v>7459</v>
      </c>
      <c r="G651" s="5" t="s">
        <v>7460</v>
      </c>
      <c r="H651" s="5" t="n">
        <v>10</v>
      </c>
      <c r="I651" s="5" t="s">
        <v>152</v>
      </c>
      <c r="J651" s="5" t="s">
        <v>153</v>
      </c>
      <c r="K651" s="5" t="s">
        <v>5159</v>
      </c>
      <c r="L651" s="5" t="s">
        <v>30</v>
      </c>
      <c r="M651" s="5" t="s">
        <v>155</v>
      </c>
      <c r="N651" s="5" t="s">
        <v>7461</v>
      </c>
      <c r="O651" s="5" t="s">
        <v>157</v>
      </c>
      <c r="P651" s="5" t="s">
        <v>158</v>
      </c>
      <c r="Q651" s="5" t="s">
        <v>227</v>
      </c>
      <c r="R651" s="5" t="s">
        <v>7196</v>
      </c>
      <c r="S651" s="5" t="s">
        <v>7197</v>
      </c>
      <c r="T651" s="5" t="s">
        <v>162</v>
      </c>
      <c r="U651" s="5" t="n">
        <v>365</v>
      </c>
      <c r="V651" s="5" t="s">
        <v>7198</v>
      </c>
      <c r="W651" s="5" t="s">
        <v>7199</v>
      </c>
      <c r="X651" s="5" t="s">
        <v>7462</v>
      </c>
      <c r="Y651" s="5" t="s">
        <v>7463</v>
      </c>
      <c r="Z651" s="5" t="s">
        <v>7464</v>
      </c>
      <c r="AA651" s="5"/>
      <c r="AB651" s="5"/>
      <c r="AC651" s="5"/>
      <c r="AD651" s="5"/>
      <c r="AE651" s="5"/>
      <c r="AF651" s="5" t="s">
        <v>7465</v>
      </c>
      <c r="AG651" s="5" t="s">
        <v>7466</v>
      </c>
      <c r="AH651" s="5" t="s">
        <v>7467</v>
      </c>
      <c r="AI651" s="5"/>
      <c r="AJ651" s="5"/>
      <c r="AK651" s="5" t="s">
        <v>7468</v>
      </c>
      <c r="AL651" s="5" t="s">
        <v>7465</v>
      </c>
      <c r="AM651" s="5"/>
      <c r="AN651" s="5" t="s">
        <v>7469</v>
      </c>
      <c r="AO651" s="5" t="s">
        <v>7470</v>
      </c>
      <c r="AP651" s="5" t="s">
        <v>7471</v>
      </c>
      <c r="AQ651" s="5" t="s">
        <v>7472</v>
      </c>
      <c r="AR651" s="5" t="s">
        <v>7473</v>
      </c>
      <c r="AS651" s="5"/>
      <c r="AT651" s="5" t="s">
        <v>7474</v>
      </c>
      <c r="AU651" s="5"/>
      <c r="AV651" s="5" t="s">
        <v>178</v>
      </c>
      <c r="AW651" s="5" t="s">
        <v>7475</v>
      </c>
    </row>
    <row r="652" customFormat="false" ht="202.95" hidden="false" customHeight="false" outlineLevel="0" collapsed="false">
      <c r="A652" s="5" t="s">
        <v>7476</v>
      </c>
      <c r="B652" s="5" t="s">
        <v>7477</v>
      </c>
      <c r="C652" s="5" t="s">
        <v>7190</v>
      </c>
      <c r="D652" s="5" t="s">
        <v>7191</v>
      </c>
      <c r="E652" s="5" t="s">
        <v>514</v>
      </c>
      <c r="F652" s="5" t="s">
        <v>7478</v>
      </c>
      <c r="G652" s="5" t="s">
        <v>7479</v>
      </c>
      <c r="H652" s="5" t="n">
        <v>9</v>
      </c>
      <c r="I652" s="5" t="s">
        <v>152</v>
      </c>
      <c r="J652" s="5" t="s">
        <v>153</v>
      </c>
      <c r="K652" s="5" t="s">
        <v>7480</v>
      </c>
      <c r="L652" s="5" t="s">
        <v>30</v>
      </c>
      <c r="M652" s="5" t="s">
        <v>155</v>
      </c>
      <c r="N652" s="5" t="s">
        <v>7481</v>
      </c>
      <c r="O652" s="5" t="s">
        <v>157</v>
      </c>
      <c r="P652" s="5" t="s">
        <v>158</v>
      </c>
      <c r="Q652" s="5" t="s">
        <v>227</v>
      </c>
      <c r="R652" s="5" t="s">
        <v>7196</v>
      </c>
      <c r="S652" s="5" t="s">
        <v>7197</v>
      </c>
      <c r="T652" s="5" t="s">
        <v>162</v>
      </c>
      <c r="U652" s="5" t="n">
        <v>365</v>
      </c>
      <c r="V652" s="5" t="s">
        <v>7198</v>
      </c>
      <c r="W652" s="5" t="s">
        <v>7199</v>
      </c>
      <c r="X652" s="5" t="s">
        <v>7482</v>
      </c>
      <c r="Y652" s="5" t="s">
        <v>7483</v>
      </c>
      <c r="Z652" s="5" t="s">
        <v>7484</v>
      </c>
      <c r="AA652" s="5"/>
      <c r="AB652" s="5"/>
      <c r="AC652" s="5"/>
      <c r="AD652" s="5"/>
      <c r="AE652" s="5"/>
      <c r="AF652" s="5" t="s">
        <v>7485</v>
      </c>
      <c r="AG652" s="5" t="s">
        <v>7485</v>
      </c>
      <c r="AH652" s="5"/>
      <c r="AI652" s="5"/>
      <c r="AJ652" s="5"/>
      <c r="AK652" s="5" t="s">
        <v>7486</v>
      </c>
      <c r="AL652" s="5" t="s">
        <v>7485</v>
      </c>
      <c r="AM652" s="5"/>
      <c r="AN652" s="5" t="s">
        <v>7487</v>
      </c>
      <c r="AO652" s="5"/>
      <c r="AP652" s="5" t="s">
        <v>7325</v>
      </c>
      <c r="AQ652" s="5"/>
      <c r="AR652" s="5" t="s">
        <v>7151</v>
      </c>
      <c r="AS652" s="5"/>
      <c r="AT652" s="5" t="s">
        <v>7488</v>
      </c>
      <c r="AU652" s="5"/>
      <c r="AV652" s="5" t="s">
        <v>178</v>
      </c>
      <c r="AW652" s="5" t="s">
        <v>7456</v>
      </c>
    </row>
    <row r="653" customFormat="false" ht="180.55" hidden="false" customHeight="false" outlineLevel="0" collapsed="false">
      <c r="A653" s="5" t="s">
        <v>7489</v>
      </c>
      <c r="B653" s="5" t="s">
        <v>7490</v>
      </c>
      <c r="C653" s="5" t="s">
        <v>7190</v>
      </c>
      <c r="D653" s="5" t="s">
        <v>7191</v>
      </c>
      <c r="E653" s="5" t="s">
        <v>514</v>
      </c>
      <c r="F653" s="5" t="s">
        <v>7491</v>
      </c>
      <c r="G653" s="5" t="s">
        <v>7492</v>
      </c>
      <c r="H653" s="5" t="n">
        <v>9</v>
      </c>
      <c r="I653" s="5" t="s">
        <v>152</v>
      </c>
      <c r="J653" s="5" t="s">
        <v>153</v>
      </c>
      <c r="K653" s="5" t="s">
        <v>7493</v>
      </c>
      <c r="L653" s="5" t="s">
        <v>68</v>
      </c>
      <c r="M653" s="5" t="s">
        <v>185</v>
      </c>
      <c r="N653" s="5" t="s">
        <v>3214</v>
      </c>
      <c r="O653" s="5" t="s">
        <v>187</v>
      </c>
      <c r="P653" s="5" t="s">
        <v>158</v>
      </c>
      <c r="Q653" s="5" t="s">
        <v>461</v>
      </c>
      <c r="R653" s="5" t="s">
        <v>7196</v>
      </c>
      <c r="S653" s="5" t="s">
        <v>7197</v>
      </c>
      <c r="T653" s="5" t="s">
        <v>162</v>
      </c>
      <c r="U653" s="5" t="n">
        <v>365</v>
      </c>
      <c r="V653" s="5" t="s">
        <v>7198</v>
      </c>
      <c r="W653" s="5" t="s">
        <v>7199</v>
      </c>
      <c r="X653" s="5" t="s">
        <v>7494</v>
      </c>
      <c r="Y653" s="5" t="s">
        <v>7495</v>
      </c>
      <c r="Z653" s="5" t="s">
        <v>7496</v>
      </c>
      <c r="AA653" s="5"/>
      <c r="AB653" s="5"/>
      <c r="AC653" s="5"/>
      <c r="AD653" s="5"/>
      <c r="AE653" s="5"/>
      <c r="AF653" s="5" t="s">
        <v>7497</v>
      </c>
      <c r="AG653" s="5"/>
      <c r="AH653" s="5"/>
      <c r="AI653" s="5"/>
      <c r="AJ653" s="5"/>
      <c r="AK653" s="5"/>
      <c r="AL653" s="5" t="s">
        <v>7497</v>
      </c>
      <c r="AM653" s="5"/>
      <c r="AN653" s="5"/>
      <c r="AO653" s="5" t="s">
        <v>7498</v>
      </c>
      <c r="AP653" s="5" t="s">
        <v>7499</v>
      </c>
      <c r="AQ653" s="5" t="s">
        <v>7497</v>
      </c>
      <c r="AR653" s="5" t="s">
        <v>7151</v>
      </c>
      <c r="AS653" s="5"/>
      <c r="AT653" s="5" t="s">
        <v>6811</v>
      </c>
      <c r="AU653" s="5"/>
      <c r="AV653" s="5"/>
      <c r="AW653" s="5" t="s">
        <v>7500</v>
      </c>
    </row>
    <row r="654" customFormat="false" ht="135.8" hidden="false" customHeight="false" outlineLevel="0" collapsed="false">
      <c r="A654" s="5" t="s">
        <v>7501</v>
      </c>
      <c r="B654" s="5" t="s">
        <v>7502</v>
      </c>
      <c r="C654" s="5" t="s">
        <v>7190</v>
      </c>
      <c r="D654" s="5" t="s">
        <v>7191</v>
      </c>
      <c r="E654" s="5" t="s">
        <v>600</v>
      </c>
      <c r="F654" s="5" t="s">
        <v>7503</v>
      </c>
      <c r="G654" s="5" t="s">
        <v>7504</v>
      </c>
      <c r="H654" s="5" t="n">
        <v>9</v>
      </c>
      <c r="I654" s="5" t="s">
        <v>152</v>
      </c>
      <c r="J654" s="5" t="s">
        <v>153</v>
      </c>
      <c r="K654" s="5"/>
      <c r="L654" s="5" t="s">
        <v>30</v>
      </c>
      <c r="M654" s="5" t="s">
        <v>155</v>
      </c>
      <c r="N654" s="5" t="s">
        <v>398</v>
      </c>
      <c r="O654" s="5" t="s">
        <v>157</v>
      </c>
      <c r="P654" s="5" t="s">
        <v>215</v>
      </c>
      <c r="Q654" s="5" t="s">
        <v>335</v>
      </c>
      <c r="R654" s="5" t="s">
        <v>7196</v>
      </c>
      <c r="S654" s="5" t="s">
        <v>7197</v>
      </c>
      <c r="T654" s="5" t="s">
        <v>162</v>
      </c>
      <c r="U654" s="5" t="n">
        <v>365</v>
      </c>
      <c r="V654" s="5" t="s">
        <v>7198</v>
      </c>
      <c r="W654" s="5" t="s">
        <v>7199</v>
      </c>
      <c r="X654" s="5" t="s">
        <v>7505</v>
      </c>
      <c r="Y654" s="5" t="s">
        <v>7506</v>
      </c>
      <c r="Z654" s="5" t="s">
        <v>7507</v>
      </c>
      <c r="AA654" s="5"/>
      <c r="AB654" s="5"/>
      <c r="AC654" s="5"/>
      <c r="AD654" s="5"/>
      <c r="AE654" s="5"/>
      <c r="AF654" s="5" t="s">
        <v>7508</v>
      </c>
      <c r="AG654" s="5" t="s">
        <v>7508</v>
      </c>
      <c r="AH654" s="5"/>
      <c r="AI654" s="5"/>
      <c r="AJ654" s="5"/>
      <c r="AK654" s="5"/>
      <c r="AL654" s="5" t="s">
        <v>7508</v>
      </c>
      <c r="AM654" s="5"/>
      <c r="AN654" s="5"/>
      <c r="AO654" s="5"/>
      <c r="AP654" s="5"/>
      <c r="AQ654" s="5" t="s">
        <v>7508</v>
      </c>
      <c r="AR654" s="5" t="s">
        <v>1774</v>
      </c>
      <c r="AS654" s="5"/>
      <c r="AT654" s="5"/>
      <c r="AU654" s="5"/>
      <c r="AV654" s="5"/>
      <c r="AW654" s="5" t="s">
        <v>7340</v>
      </c>
    </row>
    <row r="655" customFormat="false" ht="124.6" hidden="false" customHeight="false" outlineLevel="0" collapsed="false">
      <c r="A655" s="5" t="s">
        <v>7509</v>
      </c>
      <c r="B655" s="5" t="s">
        <v>7510</v>
      </c>
      <c r="C655" s="5" t="s">
        <v>7190</v>
      </c>
      <c r="D655" s="5" t="s">
        <v>7191</v>
      </c>
      <c r="E655" s="5" t="s">
        <v>514</v>
      </c>
      <c r="F655" s="5" t="s">
        <v>7511</v>
      </c>
      <c r="G655" s="5" t="s">
        <v>7512</v>
      </c>
      <c r="H655" s="5" t="n">
        <v>4</v>
      </c>
      <c r="I655" s="5" t="s">
        <v>152</v>
      </c>
      <c r="J655" s="5" t="s">
        <v>153</v>
      </c>
      <c r="K655" s="5" t="s">
        <v>7194</v>
      </c>
      <c r="L655" s="5" t="s">
        <v>55</v>
      </c>
      <c r="M655" s="5" t="s">
        <v>185</v>
      </c>
      <c r="N655" s="5" t="s">
        <v>54</v>
      </c>
      <c r="O655" s="5" t="s">
        <v>187</v>
      </c>
      <c r="P655" s="5" t="s">
        <v>215</v>
      </c>
      <c r="Q655" s="5" t="s">
        <v>335</v>
      </c>
      <c r="R655" s="5" t="s">
        <v>7196</v>
      </c>
      <c r="S655" s="5" t="s">
        <v>7197</v>
      </c>
      <c r="T655" s="5" t="s">
        <v>162</v>
      </c>
      <c r="U655" s="5" t="n">
        <v>365</v>
      </c>
      <c r="V655" s="5" t="s">
        <v>7198</v>
      </c>
      <c r="W655" s="5" t="s">
        <v>7199</v>
      </c>
      <c r="X655" s="5" t="s">
        <v>7513</v>
      </c>
      <c r="Y655" s="5" t="s">
        <v>7514</v>
      </c>
      <c r="Z655" s="5" t="s">
        <v>7515</v>
      </c>
      <c r="AA655" s="5"/>
      <c r="AB655" s="5"/>
      <c r="AC655" s="5"/>
      <c r="AD655" s="5"/>
      <c r="AE655" s="5"/>
      <c r="AF655" s="5"/>
      <c r="AG655" s="5"/>
      <c r="AH655" s="5"/>
      <c r="AI655" s="5"/>
      <c r="AJ655" s="5"/>
      <c r="AK655" s="5" t="s">
        <v>7251</v>
      </c>
      <c r="AL655" s="5"/>
      <c r="AM655" s="5"/>
      <c r="AN655" s="5"/>
      <c r="AO655" s="5"/>
      <c r="AP655" s="5"/>
      <c r="AQ655" s="5"/>
      <c r="AR655" s="5"/>
      <c r="AS655" s="5"/>
      <c r="AT655" s="5"/>
      <c r="AU655" s="5"/>
      <c r="AV655" s="5" t="s">
        <v>178</v>
      </c>
      <c r="AW655" s="5" t="s">
        <v>7214</v>
      </c>
    </row>
    <row r="656" customFormat="false" ht="124.6" hidden="false" customHeight="false" outlineLevel="0" collapsed="false">
      <c r="A656" s="5" t="s">
        <v>7516</v>
      </c>
      <c r="B656" s="5" t="s">
        <v>7517</v>
      </c>
      <c r="C656" s="5" t="s">
        <v>7190</v>
      </c>
      <c r="D656" s="5" t="s">
        <v>7191</v>
      </c>
      <c r="E656" s="5" t="s">
        <v>149</v>
      </c>
      <c r="F656" s="5" t="s">
        <v>7518</v>
      </c>
      <c r="G656" s="5" t="s">
        <v>7519</v>
      </c>
      <c r="H656" s="5" t="n">
        <v>9</v>
      </c>
      <c r="I656" s="5" t="s">
        <v>152</v>
      </c>
      <c r="J656" s="5" t="s">
        <v>153</v>
      </c>
      <c r="K656" s="5" t="s">
        <v>7520</v>
      </c>
      <c r="L656" s="5" t="s">
        <v>30</v>
      </c>
      <c r="M656" s="5" t="s">
        <v>155</v>
      </c>
      <c r="N656" s="5" t="s">
        <v>450</v>
      </c>
      <c r="O656" s="5" t="s">
        <v>157</v>
      </c>
      <c r="P656" s="5" t="s">
        <v>215</v>
      </c>
      <c r="Q656" s="5" t="s">
        <v>335</v>
      </c>
      <c r="R656" s="5" t="s">
        <v>7196</v>
      </c>
      <c r="S656" s="5" t="s">
        <v>7197</v>
      </c>
      <c r="T656" s="5" t="s">
        <v>162</v>
      </c>
      <c r="U656" s="5" t="n">
        <v>365</v>
      </c>
      <c r="V656" s="5" t="s">
        <v>7198</v>
      </c>
      <c r="W656" s="5" t="s">
        <v>7199</v>
      </c>
      <c r="X656" s="5" t="s">
        <v>7521</v>
      </c>
      <c r="Y656" s="5" t="s">
        <v>7522</v>
      </c>
      <c r="Z656" s="5" t="s">
        <v>7523</v>
      </c>
      <c r="AA656" s="5"/>
      <c r="AB656" s="5"/>
      <c r="AC656" s="5"/>
      <c r="AD656" s="5"/>
      <c r="AE656" s="5" t="s">
        <v>7524</v>
      </c>
      <c r="AF656" s="5"/>
      <c r="AG656" s="5"/>
      <c r="AH656" s="5"/>
      <c r="AI656" s="5"/>
      <c r="AJ656" s="5"/>
      <c r="AK656" s="5"/>
      <c r="AL656" s="5"/>
      <c r="AM656" s="5"/>
      <c r="AN656" s="5"/>
      <c r="AO656" s="5"/>
      <c r="AP656" s="5"/>
      <c r="AQ656" s="5"/>
      <c r="AR656" s="5"/>
      <c r="AS656" s="5"/>
      <c r="AT656" s="5"/>
      <c r="AU656" s="5"/>
      <c r="AV656" s="5"/>
      <c r="AW656" s="5" t="s">
        <v>7525</v>
      </c>
    </row>
    <row r="657" customFormat="false" ht="191.75" hidden="false" customHeight="false" outlineLevel="0" collapsed="false">
      <c r="A657" s="5" t="s">
        <v>7526</v>
      </c>
      <c r="B657" s="5" t="s">
        <v>7527</v>
      </c>
      <c r="C657" s="5" t="s">
        <v>7528</v>
      </c>
      <c r="D657" s="5" t="s">
        <v>7529</v>
      </c>
      <c r="E657" s="5" t="s">
        <v>149</v>
      </c>
      <c r="F657" s="5" t="s">
        <v>7530</v>
      </c>
      <c r="G657" s="5" t="s">
        <v>7531</v>
      </c>
      <c r="H657" s="5" t="n">
        <v>10</v>
      </c>
      <c r="I657" s="5" t="s">
        <v>152</v>
      </c>
      <c r="J657" s="5" t="s">
        <v>153</v>
      </c>
      <c r="K657" s="5" t="s">
        <v>7532</v>
      </c>
      <c r="L657" s="5" t="s">
        <v>30</v>
      </c>
      <c r="M657" s="5" t="s">
        <v>155</v>
      </c>
      <c r="N657" s="5" t="s">
        <v>7533</v>
      </c>
      <c r="O657" s="5" t="s">
        <v>157</v>
      </c>
      <c r="P657" s="5" t="s">
        <v>158</v>
      </c>
      <c r="Q657" s="5" t="s">
        <v>605</v>
      </c>
      <c r="R657" s="5" t="s">
        <v>7534</v>
      </c>
      <c r="S657" s="5" t="s">
        <v>7535</v>
      </c>
      <c r="T657" s="5" t="s">
        <v>162</v>
      </c>
      <c r="U657" s="5" t="n">
        <v>365</v>
      </c>
      <c r="V657" s="5" t="s">
        <v>7536</v>
      </c>
      <c r="W657" s="5" t="s">
        <v>7537</v>
      </c>
      <c r="X657" s="5" t="s">
        <v>7538</v>
      </c>
      <c r="Y657" s="5" t="s">
        <v>7539</v>
      </c>
      <c r="Z657" s="5" t="s">
        <v>7540</v>
      </c>
      <c r="AA657" s="5"/>
      <c r="AB657" s="5"/>
      <c r="AC657" s="5"/>
      <c r="AD657" s="5"/>
      <c r="AE657" s="5" t="s">
        <v>7541</v>
      </c>
      <c r="AF657" s="5" t="s">
        <v>7542</v>
      </c>
      <c r="AG657" s="5" t="s">
        <v>7543</v>
      </c>
      <c r="AH657" s="5" t="s">
        <v>170</v>
      </c>
      <c r="AI657" s="5" t="s">
        <v>7414</v>
      </c>
      <c r="AJ657" s="5" t="s">
        <v>7544</v>
      </c>
      <c r="AK657" s="5" t="s">
        <v>7545</v>
      </c>
      <c r="AL657" s="5" t="s">
        <v>7542</v>
      </c>
      <c r="AM657" s="5"/>
      <c r="AN657" s="5" t="s">
        <v>7546</v>
      </c>
      <c r="AO657" s="5" t="s">
        <v>7547</v>
      </c>
      <c r="AP657" s="5" t="s">
        <v>7548</v>
      </c>
      <c r="AQ657" s="5" t="s">
        <v>7549</v>
      </c>
      <c r="AR657" s="5" t="s">
        <v>7550</v>
      </c>
      <c r="AS657" s="5"/>
      <c r="AT657" s="5" t="s">
        <v>7551</v>
      </c>
      <c r="AU657" s="5"/>
      <c r="AV657" s="5" t="s">
        <v>178</v>
      </c>
      <c r="AW657" s="5" t="s">
        <v>7552</v>
      </c>
    </row>
    <row r="658" customFormat="false" ht="135.8" hidden="false" customHeight="false" outlineLevel="0" collapsed="false">
      <c r="A658" s="5" t="s">
        <v>7553</v>
      </c>
      <c r="B658" s="5" t="s">
        <v>7554</v>
      </c>
      <c r="C658" s="5" t="s">
        <v>7528</v>
      </c>
      <c r="D658" s="5" t="s">
        <v>7529</v>
      </c>
      <c r="E658" s="5" t="s">
        <v>626</v>
      </c>
      <c r="F658" s="5" t="s">
        <v>7555</v>
      </c>
      <c r="G658" s="5" t="s">
        <v>7556</v>
      </c>
      <c r="H658" s="5" t="n">
        <v>9</v>
      </c>
      <c r="I658" s="5" t="s">
        <v>152</v>
      </c>
      <c r="J658" s="5" t="s">
        <v>153</v>
      </c>
      <c r="K658" s="5" t="s">
        <v>7557</v>
      </c>
      <c r="L658" s="5" t="s">
        <v>55</v>
      </c>
      <c r="M658" s="5" t="s">
        <v>185</v>
      </c>
      <c r="N658" s="5" t="s">
        <v>7558</v>
      </c>
      <c r="O658" s="5" t="s">
        <v>187</v>
      </c>
      <c r="P658" s="5" t="s">
        <v>158</v>
      </c>
      <c r="Q658" s="5" t="s">
        <v>159</v>
      </c>
      <c r="R658" s="5" t="s">
        <v>7534</v>
      </c>
      <c r="S658" s="5" t="s">
        <v>7535</v>
      </c>
      <c r="T658" s="5" t="s">
        <v>162</v>
      </c>
      <c r="U658" s="5" t="n">
        <v>365</v>
      </c>
      <c r="V658" s="5" t="s">
        <v>7536</v>
      </c>
      <c r="W658" s="5" t="s">
        <v>7537</v>
      </c>
      <c r="X658" s="5" t="s">
        <v>7559</v>
      </c>
      <c r="Y658" s="5" t="s">
        <v>7560</v>
      </c>
      <c r="Z658" s="5" t="s">
        <v>7561</v>
      </c>
      <c r="AA658" s="5"/>
      <c r="AB658" s="5"/>
      <c r="AC658" s="5"/>
      <c r="AD658" s="5"/>
      <c r="AE658" s="5"/>
      <c r="AF658" s="5" t="s">
        <v>2345</v>
      </c>
      <c r="AG658" s="5"/>
      <c r="AH658" s="5"/>
      <c r="AI658" s="5"/>
      <c r="AJ658" s="5" t="s">
        <v>7562</v>
      </c>
      <c r="AK658" s="5" t="s">
        <v>7563</v>
      </c>
      <c r="AL658" s="5" t="s">
        <v>2345</v>
      </c>
      <c r="AM658" s="5"/>
      <c r="AN658" s="5"/>
      <c r="AO658" s="5" t="s">
        <v>7564</v>
      </c>
      <c r="AP658" s="5" t="s">
        <v>423</v>
      </c>
      <c r="AQ658" s="5" t="s">
        <v>2345</v>
      </c>
      <c r="AR658" s="5" t="s">
        <v>1933</v>
      </c>
      <c r="AS658" s="5"/>
      <c r="AT658" s="5" t="s">
        <v>1907</v>
      </c>
      <c r="AU658" s="5"/>
      <c r="AV658" s="5" t="s">
        <v>178</v>
      </c>
      <c r="AW658" s="5" t="s">
        <v>1703</v>
      </c>
    </row>
    <row r="659" customFormat="false" ht="135.8" hidden="false" customHeight="false" outlineLevel="0" collapsed="false">
      <c r="A659" s="5" t="s">
        <v>7565</v>
      </c>
      <c r="B659" s="5" t="s">
        <v>7566</v>
      </c>
      <c r="C659" s="5" t="s">
        <v>7528</v>
      </c>
      <c r="D659" s="5" t="s">
        <v>7529</v>
      </c>
      <c r="E659" s="5" t="s">
        <v>626</v>
      </c>
      <c r="F659" s="5" t="s">
        <v>7567</v>
      </c>
      <c r="G659" s="5" t="s">
        <v>7568</v>
      </c>
      <c r="H659" s="5" t="n">
        <v>4</v>
      </c>
      <c r="I659" s="5" t="s">
        <v>152</v>
      </c>
      <c r="J659" s="5" t="s">
        <v>153</v>
      </c>
      <c r="K659" s="5" t="s">
        <v>7569</v>
      </c>
      <c r="L659" s="5" t="s">
        <v>55</v>
      </c>
      <c r="M659" s="5" t="s">
        <v>185</v>
      </c>
      <c r="N659" s="5" t="s">
        <v>186</v>
      </c>
      <c r="O659" s="5" t="s">
        <v>187</v>
      </c>
      <c r="P659" s="5" t="s">
        <v>158</v>
      </c>
      <c r="Q659" s="5" t="s">
        <v>519</v>
      </c>
      <c r="R659" s="5" t="s">
        <v>7534</v>
      </c>
      <c r="S659" s="5" t="s">
        <v>7535</v>
      </c>
      <c r="T659" s="5" t="s">
        <v>162</v>
      </c>
      <c r="U659" s="5" t="n">
        <v>365</v>
      </c>
      <c r="V659" s="5" t="s">
        <v>7536</v>
      </c>
      <c r="W659" s="5" t="s">
        <v>7537</v>
      </c>
      <c r="X659" s="5" t="s">
        <v>7570</v>
      </c>
      <c r="Y659" s="5" t="s">
        <v>7571</v>
      </c>
      <c r="Z659" s="5" t="s">
        <v>7572</v>
      </c>
      <c r="AA659" s="5"/>
      <c r="AB659" s="5"/>
      <c r="AC659" s="5"/>
      <c r="AD659" s="5"/>
      <c r="AE659" s="5"/>
      <c r="AF659" s="5"/>
      <c r="AG659" s="5"/>
      <c r="AH659" s="5"/>
      <c r="AI659" s="5"/>
      <c r="AJ659" s="5" t="s">
        <v>7573</v>
      </c>
      <c r="AK659" s="5" t="s">
        <v>7574</v>
      </c>
      <c r="AL659" s="5"/>
      <c r="AM659" s="5"/>
      <c r="AN659" s="5"/>
      <c r="AO659" s="5"/>
      <c r="AP659" s="5"/>
      <c r="AQ659" s="5"/>
      <c r="AR659" s="5"/>
      <c r="AS659" s="5"/>
      <c r="AT659" s="5"/>
      <c r="AU659" s="5"/>
      <c r="AV659" s="5" t="s">
        <v>178</v>
      </c>
      <c r="AW659" s="5" t="s">
        <v>7552</v>
      </c>
    </row>
    <row r="660" customFormat="false" ht="113.4" hidden="false" customHeight="false" outlineLevel="0" collapsed="false">
      <c r="A660" s="5" t="s">
        <v>7575</v>
      </c>
      <c r="B660" s="5" t="s">
        <v>7576</v>
      </c>
      <c r="C660" s="5" t="s">
        <v>7528</v>
      </c>
      <c r="D660" s="5" t="s">
        <v>7529</v>
      </c>
      <c r="E660" s="5" t="s">
        <v>626</v>
      </c>
      <c r="F660" s="5" t="s">
        <v>7577</v>
      </c>
      <c r="G660" s="5" t="s">
        <v>7578</v>
      </c>
      <c r="H660" s="5" t="n">
        <v>5</v>
      </c>
      <c r="I660" s="5" t="s">
        <v>603</v>
      </c>
      <c r="J660" s="5" t="s">
        <v>153</v>
      </c>
      <c r="K660" s="5"/>
      <c r="L660" s="5" t="s">
        <v>55</v>
      </c>
      <c r="M660" s="5" t="s">
        <v>185</v>
      </c>
      <c r="N660" s="5" t="s">
        <v>439</v>
      </c>
      <c r="O660" s="5" t="s">
        <v>187</v>
      </c>
      <c r="P660" s="5" t="s">
        <v>215</v>
      </c>
      <c r="Q660" s="5" t="s">
        <v>519</v>
      </c>
      <c r="R660" s="5" t="s">
        <v>7534</v>
      </c>
      <c r="S660" s="5" t="s">
        <v>7535</v>
      </c>
      <c r="T660" s="5" t="s">
        <v>606</v>
      </c>
      <c r="U660" s="5" t="n">
        <v>365</v>
      </c>
      <c r="V660" s="5" t="s">
        <v>7536</v>
      </c>
      <c r="W660" s="5" t="s">
        <v>7537</v>
      </c>
      <c r="X660" s="5" t="s">
        <v>7579</v>
      </c>
      <c r="Y660" s="5" t="s">
        <v>7580</v>
      </c>
      <c r="Z660" s="5" t="s">
        <v>7581</v>
      </c>
      <c r="AA660" s="5"/>
      <c r="AB660" s="5"/>
      <c r="AC660" s="5"/>
      <c r="AD660" s="5"/>
      <c r="AE660" s="5"/>
      <c r="AF660" s="5"/>
      <c r="AG660" s="5"/>
      <c r="AH660" s="5"/>
      <c r="AI660" s="5"/>
      <c r="AJ660" s="5" t="s">
        <v>7573</v>
      </c>
      <c r="AK660" s="5"/>
      <c r="AL660" s="5"/>
      <c r="AM660" s="5"/>
      <c r="AN660" s="5"/>
      <c r="AO660" s="5"/>
      <c r="AP660" s="5"/>
      <c r="AQ660" s="5"/>
      <c r="AR660" s="5"/>
      <c r="AS660" s="5"/>
      <c r="AT660" s="5"/>
      <c r="AU660" s="5"/>
      <c r="AV660" s="5"/>
      <c r="AW660" s="5" t="s">
        <v>7582</v>
      </c>
    </row>
    <row r="661" customFormat="false" ht="202.95" hidden="false" customHeight="false" outlineLevel="0" collapsed="false">
      <c r="A661" s="5" t="s">
        <v>7583</v>
      </c>
      <c r="B661" s="5" t="s">
        <v>7584</v>
      </c>
      <c r="C661" s="5" t="s">
        <v>7528</v>
      </c>
      <c r="D661" s="5" t="s">
        <v>7529</v>
      </c>
      <c r="E661" s="5" t="s">
        <v>626</v>
      </c>
      <c r="F661" s="5" t="s">
        <v>7585</v>
      </c>
      <c r="G661" s="5" t="s">
        <v>7586</v>
      </c>
      <c r="H661" s="5" t="n">
        <v>9</v>
      </c>
      <c r="I661" s="5" t="s">
        <v>152</v>
      </c>
      <c r="J661" s="5" t="s">
        <v>153</v>
      </c>
      <c r="K661" s="5" t="s">
        <v>7587</v>
      </c>
      <c r="L661" s="5" t="s">
        <v>30</v>
      </c>
      <c r="M661" s="5" t="s">
        <v>155</v>
      </c>
      <c r="N661" s="5" t="s">
        <v>7588</v>
      </c>
      <c r="O661" s="5" t="s">
        <v>157</v>
      </c>
      <c r="P661" s="5" t="s">
        <v>158</v>
      </c>
      <c r="Q661" s="5" t="s">
        <v>519</v>
      </c>
      <c r="R661" s="5" t="s">
        <v>7534</v>
      </c>
      <c r="S661" s="5" t="s">
        <v>7535</v>
      </c>
      <c r="T661" s="5" t="s">
        <v>162</v>
      </c>
      <c r="U661" s="5" t="n">
        <v>365</v>
      </c>
      <c r="V661" s="5" t="s">
        <v>7536</v>
      </c>
      <c r="W661" s="5" t="s">
        <v>7537</v>
      </c>
      <c r="X661" s="5" t="s">
        <v>7589</v>
      </c>
      <c r="Y661" s="5" t="s">
        <v>7590</v>
      </c>
      <c r="Z661" s="5" t="s">
        <v>7591</v>
      </c>
      <c r="AA661" s="5"/>
      <c r="AB661" s="5"/>
      <c r="AC661" s="5"/>
      <c r="AD661" s="5"/>
      <c r="AE661" s="5" t="s">
        <v>6268</v>
      </c>
      <c r="AF661" s="5" t="s">
        <v>7592</v>
      </c>
      <c r="AG661" s="5" t="s">
        <v>7592</v>
      </c>
      <c r="AH661" s="5"/>
      <c r="AI661" s="5"/>
      <c r="AJ661" s="5" t="s">
        <v>7593</v>
      </c>
      <c r="AK661" s="5" t="s">
        <v>7545</v>
      </c>
      <c r="AL661" s="5" t="s">
        <v>7592</v>
      </c>
      <c r="AM661" s="5" t="s">
        <v>7594</v>
      </c>
      <c r="AN661" s="5"/>
      <c r="AO661" s="5" t="s">
        <v>7595</v>
      </c>
      <c r="AP661" s="5" t="s">
        <v>423</v>
      </c>
      <c r="AQ661" s="5" t="s">
        <v>7592</v>
      </c>
      <c r="AR661" s="5" t="s">
        <v>290</v>
      </c>
      <c r="AS661" s="5"/>
      <c r="AT661" s="5" t="s">
        <v>7596</v>
      </c>
      <c r="AU661" s="5"/>
      <c r="AV661" s="5" t="s">
        <v>178</v>
      </c>
      <c r="AW661" s="5" t="s">
        <v>7597</v>
      </c>
    </row>
    <row r="662" customFormat="false" ht="113.4" hidden="false" customHeight="false" outlineLevel="0" collapsed="false">
      <c r="A662" s="5" t="s">
        <v>7598</v>
      </c>
      <c r="B662" s="5" t="s">
        <v>7599</v>
      </c>
      <c r="C662" s="5" t="s">
        <v>7528</v>
      </c>
      <c r="D662" s="5" t="s">
        <v>7529</v>
      </c>
      <c r="E662" s="5" t="s">
        <v>626</v>
      </c>
      <c r="F662" s="5" t="s">
        <v>7600</v>
      </c>
      <c r="G662" s="5" t="s">
        <v>7601</v>
      </c>
      <c r="H662" s="5" t="n">
        <v>3</v>
      </c>
      <c r="I662" s="5" t="s">
        <v>152</v>
      </c>
      <c r="J662" s="5" t="s">
        <v>153</v>
      </c>
      <c r="K662" s="5"/>
      <c r="L662" s="5" t="s">
        <v>85</v>
      </c>
      <c r="M662" s="5" t="s">
        <v>185</v>
      </c>
      <c r="N662" s="5" t="s">
        <v>84</v>
      </c>
      <c r="O662" s="5" t="s">
        <v>214</v>
      </c>
      <c r="P662" s="5" t="s">
        <v>158</v>
      </c>
      <c r="Q662" s="5" t="s">
        <v>519</v>
      </c>
      <c r="R662" s="5" t="s">
        <v>7534</v>
      </c>
      <c r="S662" s="5" t="s">
        <v>7535</v>
      </c>
      <c r="T662" s="5" t="s">
        <v>162</v>
      </c>
      <c r="U662" s="5" t="n">
        <v>365</v>
      </c>
      <c r="V662" s="5" t="s">
        <v>7536</v>
      </c>
      <c r="W662" s="5" t="s">
        <v>7537</v>
      </c>
      <c r="X662" s="5" t="s">
        <v>7602</v>
      </c>
      <c r="Y662" s="5" t="s">
        <v>7603</v>
      </c>
      <c r="Z662" s="5" t="s">
        <v>7604</v>
      </c>
      <c r="AA662" s="5"/>
      <c r="AB662" s="5"/>
      <c r="AC662" s="5"/>
      <c r="AD662" s="5"/>
      <c r="AE662" s="5"/>
      <c r="AF662" s="5"/>
      <c r="AG662" s="5"/>
      <c r="AH662" s="5"/>
      <c r="AI662" s="5"/>
      <c r="AJ662" s="5"/>
      <c r="AK662" s="5"/>
      <c r="AL662" s="5"/>
      <c r="AM662" s="5"/>
      <c r="AN662" s="5"/>
      <c r="AO662" s="5"/>
      <c r="AP662" s="5" t="s">
        <v>423</v>
      </c>
      <c r="AQ662" s="5"/>
      <c r="AR662" s="5"/>
      <c r="AS662" s="5" t="s">
        <v>7605</v>
      </c>
      <c r="AT662" s="5" t="s">
        <v>7606</v>
      </c>
      <c r="AU662" s="5"/>
      <c r="AV662" s="5"/>
      <c r="AW662" s="5" t="s">
        <v>7607</v>
      </c>
    </row>
    <row r="663" customFormat="false" ht="113.4" hidden="false" customHeight="false" outlineLevel="0" collapsed="false">
      <c r="A663" s="5" t="s">
        <v>7608</v>
      </c>
      <c r="B663" s="5" t="s">
        <v>7609</v>
      </c>
      <c r="C663" s="5" t="s">
        <v>7528</v>
      </c>
      <c r="D663" s="5" t="s">
        <v>7529</v>
      </c>
      <c r="E663" s="5" t="s">
        <v>626</v>
      </c>
      <c r="F663" s="5" t="s">
        <v>7610</v>
      </c>
      <c r="G663" s="5" t="s">
        <v>7611</v>
      </c>
      <c r="H663" s="5" t="n">
        <v>9</v>
      </c>
      <c r="I663" s="5" t="s">
        <v>152</v>
      </c>
      <c r="J663" s="5" t="s">
        <v>153</v>
      </c>
      <c r="K663" s="5"/>
      <c r="L663" s="5" t="s">
        <v>30</v>
      </c>
      <c r="M663" s="5" t="s">
        <v>155</v>
      </c>
      <c r="N663" s="5" t="s">
        <v>836</v>
      </c>
      <c r="O663" s="5" t="s">
        <v>157</v>
      </c>
      <c r="P663" s="5" t="s">
        <v>215</v>
      </c>
      <c r="Q663" s="5" t="s">
        <v>519</v>
      </c>
      <c r="R663" s="5" t="s">
        <v>7534</v>
      </c>
      <c r="S663" s="5" t="s">
        <v>7535</v>
      </c>
      <c r="T663" s="5" t="s">
        <v>162</v>
      </c>
      <c r="U663" s="5" t="n">
        <v>365</v>
      </c>
      <c r="V663" s="5" t="s">
        <v>7536</v>
      </c>
      <c r="W663" s="5" t="s">
        <v>7537</v>
      </c>
      <c r="X663" s="5" t="s">
        <v>7612</v>
      </c>
      <c r="Y663" s="5" t="s">
        <v>7613</v>
      </c>
      <c r="Z663" s="5" t="s">
        <v>7614</v>
      </c>
      <c r="AA663" s="5"/>
      <c r="AB663" s="5"/>
      <c r="AC663" s="5"/>
      <c r="AD663" s="5"/>
      <c r="AE663" s="5"/>
      <c r="AF663" s="5"/>
      <c r="AG663" s="5"/>
      <c r="AH663" s="5"/>
      <c r="AI663" s="5" t="s">
        <v>2621</v>
      </c>
      <c r="AJ663" s="5"/>
      <c r="AK663" s="5"/>
      <c r="AL663" s="5"/>
      <c r="AM663" s="5"/>
      <c r="AN663" s="5"/>
      <c r="AO663" s="5"/>
      <c r="AP663" s="5"/>
      <c r="AQ663" s="5"/>
      <c r="AR663" s="5"/>
      <c r="AS663" s="5"/>
      <c r="AT663" s="5"/>
      <c r="AU663" s="5"/>
      <c r="AV663" s="5"/>
      <c r="AW663" s="5" t="s">
        <v>7615</v>
      </c>
    </row>
    <row r="664" customFormat="false" ht="135.8" hidden="false" customHeight="false" outlineLevel="0" collapsed="false">
      <c r="A664" s="5" t="s">
        <v>7616</v>
      </c>
      <c r="B664" s="5" t="s">
        <v>7617</v>
      </c>
      <c r="C664" s="5" t="s">
        <v>7528</v>
      </c>
      <c r="D664" s="5" t="s">
        <v>7529</v>
      </c>
      <c r="E664" s="5" t="s">
        <v>626</v>
      </c>
      <c r="F664" s="5" t="s">
        <v>7618</v>
      </c>
      <c r="G664" s="5" t="s">
        <v>7619</v>
      </c>
      <c r="H664" s="5" t="n">
        <v>10</v>
      </c>
      <c r="I664" s="5" t="s">
        <v>603</v>
      </c>
      <c r="J664" s="5" t="s">
        <v>153</v>
      </c>
      <c r="K664" s="5" t="s">
        <v>7587</v>
      </c>
      <c r="L664" s="5" t="s">
        <v>30</v>
      </c>
      <c r="M664" s="5" t="s">
        <v>155</v>
      </c>
      <c r="N664" s="5" t="s">
        <v>7620</v>
      </c>
      <c r="O664" s="5" t="s">
        <v>157</v>
      </c>
      <c r="P664" s="5" t="s">
        <v>158</v>
      </c>
      <c r="Q664" s="5" t="s">
        <v>519</v>
      </c>
      <c r="R664" s="5" t="s">
        <v>7534</v>
      </c>
      <c r="S664" s="5" t="s">
        <v>7535</v>
      </c>
      <c r="T664" s="5" t="s">
        <v>606</v>
      </c>
      <c r="U664" s="5" t="n">
        <v>365</v>
      </c>
      <c r="V664" s="5" t="s">
        <v>7536</v>
      </c>
      <c r="W664" s="5" t="s">
        <v>7537</v>
      </c>
      <c r="X664" s="5" t="s">
        <v>7621</v>
      </c>
      <c r="Y664" s="5" t="s">
        <v>7622</v>
      </c>
      <c r="Z664" s="5" t="s">
        <v>7623</v>
      </c>
      <c r="AA664" s="5"/>
      <c r="AB664" s="5"/>
      <c r="AC664" s="5" t="s">
        <v>7624</v>
      </c>
      <c r="AD664" s="5"/>
      <c r="AE664" s="5" t="s">
        <v>7625</v>
      </c>
      <c r="AF664" s="5" t="s">
        <v>7626</v>
      </c>
      <c r="AG664" s="5"/>
      <c r="AH664" s="5"/>
      <c r="AI664" s="5" t="s">
        <v>7414</v>
      </c>
      <c r="AJ664" s="5" t="s">
        <v>7627</v>
      </c>
      <c r="AK664" s="5"/>
      <c r="AL664" s="5" t="s">
        <v>7626</v>
      </c>
      <c r="AM664" s="5"/>
      <c r="AN664" s="5"/>
      <c r="AO664" s="5"/>
      <c r="AP664" s="5"/>
      <c r="AQ664" s="5"/>
      <c r="AR664" s="5" t="s">
        <v>7628</v>
      </c>
      <c r="AS664" s="5"/>
      <c r="AT664" s="5"/>
      <c r="AU664" s="5"/>
      <c r="AV664" s="5" t="s">
        <v>178</v>
      </c>
      <c r="AW664" s="5" t="s">
        <v>7629</v>
      </c>
    </row>
    <row r="665" customFormat="false" ht="124.6" hidden="false" customHeight="false" outlineLevel="0" collapsed="false">
      <c r="A665" s="5" t="s">
        <v>7630</v>
      </c>
      <c r="B665" s="5" t="s">
        <v>7631</v>
      </c>
      <c r="C665" s="5" t="s">
        <v>7528</v>
      </c>
      <c r="D665" s="5" t="s">
        <v>7529</v>
      </c>
      <c r="E665" s="5" t="s">
        <v>626</v>
      </c>
      <c r="F665" s="5" t="s">
        <v>7632</v>
      </c>
      <c r="G665" s="5" t="s">
        <v>7633</v>
      </c>
      <c r="H665" s="5" t="n">
        <v>8</v>
      </c>
      <c r="I665" s="5" t="s">
        <v>603</v>
      </c>
      <c r="J665" s="5" t="s">
        <v>153</v>
      </c>
      <c r="K665" s="5"/>
      <c r="L665" s="5" t="s">
        <v>30</v>
      </c>
      <c r="M665" s="5" t="s">
        <v>155</v>
      </c>
      <c r="N665" s="5" t="s">
        <v>450</v>
      </c>
      <c r="O665" s="5" t="s">
        <v>157</v>
      </c>
      <c r="P665" s="5" t="s">
        <v>215</v>
      </c>
      <c r="Q665" s="5" t="s">
        <v>519</v>
      </c>
      <c r="R665" s="5" t="s">
        <v>7534</v>
      </c>
      <c r="S665" s="5" t="s">
        <v>7535</v>
      </c>
      <c r="T665" s="5" t="s">
        <v>606</v>
      </c>
      <c r="U665" s="5" t="n">
        <v>365</v>
      </c>
      <c r="V665" s="5" t="s">
        <v>7536</v>
      </c>
      <c r="W665" s="5" t="s">
        <v>7537</v>
      </c>
      <c r="X665" s="5" t="s">
        <v>7634</v>
      </c>
      <c r="Y665" s="5" t="s">
        <v>7635</v>
      </c>
      <c r="Z665" s="5" t="s">
        <v>7636</v>
      </c>
      <c r="AA665" s="5"/>
      <c r="AB665" s="5"/>
      <c r="AC665" s="5"/>
      <c r="AD665" s="5"/>
      <c r="AE665" s="5" t="s">
        <v>7637</v>
      </c>
      <c r="AF665" s="5" t="s">
        <v>7638</v>
      </c>
      <c r="AG665" s="5"/>
      <c r="AH665" s="5"/>
      <c r="AI665" s="5"/>
      <c r="AJ665" s="5"/>
      <c r="AK665" s="5"/>
      <c r="AL665" s="5" t="s">
        <v>7638</v>
      </c>
      <c r="AM665" s="5"/>
      <c r="AN665" s="5"/>
      <c r="AO665" s="5"/>
      <c r="AP665" s="5"/>
      <c r="AQ665" s="5"/>
      <c r="AR665" s="5" t="s">
        <v>646</v>
      </c>
      <c r="AS665" s="5"/>
      <c r="AT665" s="5"/>
      <c r="AU665" s="5"/>
      <c r="AV665" s="5"/>
      <c r="AW665" s="5" t="s">
        <v>1664</v>
      </c>
    </row>
    <row r="666" customFormat="false" ht="124.6" hidden="false" customHeight="false" outlineLevel="0" collapsed="false">
      <c r="A666" s="5" t="s">
        <v>7639</v>
      </c>
      <c r="B666" s="5" t="s">
        <v>7640</v>
      </c>
      <c r="C666" s="5" t="s">
        <v>7528</v>
      </c>
      <c r="D666" s="5" t="s">
        <v>7529</v>
      </c>
      <c r="E666" s="5" t="s">
        <v>626</v>
      </c>
      <c r="F666" s="5" t="s">
        <v>7641</v>
      </c>
      <c r="G666" s="5" t="s">
        <v>7642</v>
      </c>
      <c r="H666" s="5" t="n">
        <v>8</v>
      </c>
      <c r="I666" s="5" t="s">
        <v>603</v>
      </c>
      <c r="J666" s="5" t="s">
        <v>153</v>
      </c>
      <c r="K666" s="5"/>
      <c r="L666" s="5" t="s">
        <v>30</v>
      </c>
      <c r="M666" s="5" t="s">
        <v>155</v>
      </c>
      <c r="N666" s="5" t="s">
        <v>6519</v>
      </c>
      <c r="O666" s="5" t="s">
        <v>157</v>
      </c>
      <c r="P666" s="5" t="s">
        <v>641</v>
      </c>
      <c r="Q666" s="5" t="s">
        <v>399</v>
      </c>
      <c r="R666" s="5" t="s">
        <v>7534</v>
      </c>
      <c r="S666" s="5" t="s">
        <v>7535</v>
      </c>
      <c r="T666" s="5" t="s">
        <v>606</v>
      </c>
      <c r="U666" s="5" t="n">
        <v>365</v>
      </c>
      <c r="V666" s="5" t="s">
        <v>7536</v>
      </c>
      <c r="W666" s="5" t="s">
        <v>7537</v>
      </c>
      <c r="X666" s="5" t="s">
        <v>7643</v>
      </c>
      <c r="Y666" s="5" t="s">
        <v>7644</v>
      </c>
      <c r="Z666" s="5" t="s">
        <v>7645</v>
      </c>
      <c r="AA666" s="5"/>
      <c r="AB666" s="5" t="s">
        <v>7646</v>
      </c>
      <c r="AC666" s="5"/>
      <c r="AD666" s="5"/>
      <c r="AE666" s="5"/>
      <c r="AF666" s="5" t="s">
        <v>7647</v>
      </c>
      <c r="AG666" s="5" t="s">
        <v>7648</v>
      </c>
      <c r="AH666" s="5"/>
      <c r="AI666" s="5"/>
      <c r="AJ666" s="5"/>
      <c r="AK666" s="5"/>
      <c r="AL666" s="5" t="s">
        <v>7647</v>
      </c>
      <c r="AM666" s="5" t="s">
        <v>7648</v>
      </c>
      <c r="AN666" s="5"/>
      <c r="AO666" s="5"/>
      <c r="AP666" s="5"/>
      <c r="AQ666" s="5"/>
      <c r="AR666" s="5" t="s">
        <v>646</v>
      </c>
      <c r="AS666" s="5"/>
      <c r="AT666" s="5"/>
      <c r="AU666" s="5"/>
      <c r="AV666" s="5"/>
      <c r="AW666" s="5" t="s">
        <v>1664</v>
      </c>
    </row>
    <row r="667" customFormat="false" ht="102.2" hidden="false" customHeight="false" outlineLevel="0" collapsed="false">
      <c r="A667" s="5" t="s">
        <v>7649</v>
      </c>
      <c r="B667" s="5" t="s">
        <v>7650</v>
      </c>
      <c r="C667" s="5" t="s">
        <v>7528</v>
      </c>
      <c r="D667" s="5" t="s">
        <v>7529</v>
      </c>
      <c r="E667" s="5" t="s">
        <v>626</v>
      </c>
      <c r="F667" s="5" t="s">
        <v>7651</v>
      </c>
      <c r="G667" s="5" t="s">
        <v>7652</v>
      </c>
      <c r="H667" s="5" t="n">
        <v>7</v>
      </c>
      <c r="I667" s="5" t="s">
        <v>603</v>
      </c>
      <c r="J667" s="5" t="s">
        <v>153</v>
      </c>
      <c r="K667" s="5"/>
      <c r="L667" s="5" t="s">
        <v>30</v>
      </c>
      <c r="M667" s="5" t="s">
        <v>155</v>
      </c>
      <c r="N667" s="5" t="s">
        <v>42</v>
      </c>
      <c r="O667" s="5" t="s">
        <v>157</v>
      </c>
      <c r="P667" s="5" t="s">
        <v>215</v>
      </c>
      <c r="Q667" s="5" t="s">
        <v>519</v>
      </c>
      <c r="R667" s="5" t="s">
        <v>7534</v>
      </c>
      <c r="S667" s="5" t="s">
        <v>7535</v>
      </c>
      <c r="T667" s="5" t="s">
        <v>606</v>
      </c>
      <c r="U667" s="5" t="n">
        <v>365</v>
      </c>
      <c r="V667" s="5" t="s">
        <v>7536</v>
      </c>
      <c r="W667" s="5" t="s">
        <v>7537</v>
      </c>
      <c r="X667" s="5" t="s">
        <v>7653</v>
      </c>
      <c r="Y667" s="5" t="s">
        <v>7654</v>
      </c>
      <c r="Z667" s="5" t="s">
        <v>7655</v>
      </c>
      <c r="AA667" s="5"/>
      <c r="AB667" s="5"/>
      <c r="AC667" s="5"/>
      <c r="AD667" s="5"/>
      <c r="AE667" s="5"/>
      <c r="AF667" s="5" t="s">
        <v>7656</v>
      </c>
      <c r="AG667" s="5" t="s">
        <v>7656</v>
      </c>
      <c r="AH667" s="5"/>
      <c r="AI667" s="5"/>
      <c r="AJ667" s="5"/>
      <c r="AK667" s="5"/>
      <c r="AL667" s="5" t="s">
        <v>7656</v>
      </c>
      <c r="AM667" s="5"/>
      <c r="AN667" s="5"/>
      <c r="AO667" s="5"/>
      <c r="AP667" s="5"/>
      <c r="AQ667" s="5"/>
      <c r="AR667" s="5" t="s">
        <v>646</v>
      </c>
      <c r="AS667" s="5"/>
      <c r="AT667" s="5"/>
      <c r="AU667" s="5"/>
      <c r="AV667" s="5"/>
      <c r="AW667" s="5" t="s">
        <v>1664</v>
      </c>
    </row>
    <row r="668" customFormat="false" ht="102.2" hidden="false" customHeight="false" outlineLevel="0" collapsed="false">
      <c r="A668" s="5" t="s">
        <v>7657</v>
      </c>
      <c r="B668" s="5" t="s">
        <v>7658</v>
      </c>
      <c r="C668" s="5" t="s">
        <v>7528</v>
      </c>
      <c r="D668" s="5" t="s">
        <v>7529</v>
      </c>
      <c r="E668" s="5" t="s">
        <v>626</v>
      </c>
      <c r="F668" s="5" t="s">
        <v>7659</v>
      </c>
      <c r="G668" s="5" t="s">
        <v>7660</v>
      </c>
      <c r="H668" s="5" t="n">
        <v>7</v>
      </c>
      <c r="I668" s="5" t="s">
        <v>603</v>
      </c>
      <c r="J668" s="5" t="s">
        <v>153</v>
      </c>
      <c r="K668" s="5"/>
      <c r="L668" s="5" t="s">
        <v>85</v>
      </c>
      <c r="M668" s="5" t="s">
        <v>185</v>
      </c>
      <c r="N668" s="5" t="s">
        <v>88</v>
      </c>
      <c r="O668" s="5" t="s">
        <v>214</v>
      </c>
      <c r="P668" s="5" t="s">
        <v>215</v>
      </c>
      <c r="Q668" s="5" t="s">
        <v>519</v>
      </c>
      <c r="R668" s="5" t="s">
        <v>7534</v>
      </c>
      <c r="S668" s="5" t="s">
        <v>7535</v>
      </c>
      <c r="T668" s="5" t="s">
        <v>606</v>
      </c>
      <c r="U668" s="5" t="n">
        <v>365</v>
      </c>
      <c r="V668" s="5" t="s">
        <v>7536</v>
      </c>
      <c r="W668" s="5" t="s">
        <v>7537</v>
      </c>
      <c r="X668" s="5" t="s">
        <v>7661</v>
      </c>
      <c r="Y668" s="5" t="s">
        <v>7662</v>
      </c>
      <c r="Z668" s="5" t="s">
        <v>7663</v>
      </c>
      <c r="AA668" s="5"/>
      <c r="AB668" s="5"/>
      <c r="AC668" s="5"/>
      <c r="AD668" s="5"/>
      <c r="AE668" s="5"/>
      <c r="AF668" s="5" t="s">
        <v>3719</v>
      </c>
      <c r="AG668" s="5"/>
      <c r="AH668" s="5"/>
      <c r="AI668" s="5"/>
      <c r="AJ668" s="5"/>
      <c r="AK668" s="5"/>
      <c r="AL668" s="5" t="s">
        <v>3719</v>
      </c>
      <c r="AM668" s="5"/>
      <c r="AN668" s="5"/>
      <c r="AO668" s="5"/>
      <c r="AP668" s="5"/>
      <c r="AQ668" s="5" t="s">
        <v>3719</v>
      </c>
      <c r="AR668" s="5" t="s">
        <v>646</v>
      </c>
      <c r="AS668" s="5"/>
      <c r="AT668" s="5"/>
      <c r="AU668" s="5"/>
      <c r="AV668" s="5"/>
      <c r="AW668" s="5" t="s">
        <v>1664</v>
      </c>
    </row>
    <row r="669" customFormat="false" ht="124.6" hidden="false" customHeight="false" outlineLevel="0" collapsed="false">
      <c r="A669" s="5" t="s">
        <v>7664</v>
      </c>
      <c r="B669" s="5" t="s">
        <v>7665</v>
      </c>
      <c r="C669" s="5" t="s">
        <v>7528</v>
      </c>
      <c r="D669" s="5" t="s">
        <v>7529</v>
      </c>
      <c r="E669" s="5" t="s">
        <v>626</v>
      </c>
      <c r="F669" s="5" t="s">
        <v>7666</v>
      </c>
      <c r="G669" s="5" t="s">
        <v>7667</v>
      </c>
      <c r="H669" s="5" t="n">
        <v>8</v>
      </c>
      <c r="I669" s="5" t="s">
        <v>603</v>
      </c>
      <c r="J669" s="5" t="s">
        <v>153</v>
      </c>
      <c r="K669" s="5"/>
      <c r="L669" s="5" t="s">
        <v>30</v>
      </c>
      <c r="M669" s="5" t="s">
        <v>155</v>
      </c>
      <c r="N669" s="5" t="s">
        <v>1030</v>
      </c>
      <c r="O669" s="5" t="s">
        <v>157</v>
      </c>
      <c r="P669" s="5" t="s">
        <v>641</v>
      </c>
      <c r="Q669" s="5" t="s">
        <v>519</v>
      </c>
      <c r="R669" s="5" t="s">
        <v>7534</v>
      </c>
      <c r="S669" s="5" t="s">
        <v>7535</v>
      </c>
      <c r="T669" s="5" t="s">
        <v>606</v>
      </c>
      <c r="U669" s="5" t="n">
        <v>365</v>
      </c>
      <c r="V669" s="5" t="s">
        <v>7536</v>
      </c>
      <c r="W669" s="5" t="s">
        <v>7537</v>
      </c>
      <c r="X669" s="5" t="s">
        <v>7668</v>
      </c>
      <c r="Y669" s="5" t="s">
        <v>7669</v>
      </c>
      <c r="Z669" s="5" t="s">
        <v>7670</v>
      </c>
      <c r="AA669" s="5"/>
      <c r="AB669" s="5"/>
      <c r="AC669" s="5"/>
      <c r="AD669" s="5"/>
      <c r="AE669" s="5"/>
      <c r="AF669" s="5" t="s">
        <v>7671</v>
      </c>
      <c r="AG669" s="5" t="s">
        <v>7671</v>
      </c>
      <c r="AH669" s="5"/>
      <c r="AI669" s="5"/>
      <c r="AJ669" s="5"/>
      <c r="AK669" s="5"/>
      <c r="AL669" s="5" t="s">
        <v>7671</v>
      </c>
      <c r="AM669" s="5" t="s">
        <v>7671</v>
      </c>
      <c r="AN669" s="5"/>
      <c r="AO669" s="5"/>
      <c r="AP669" s="5"/>
      <c r="AQ669" s="5"/>
      <c r="AR669" s="5" t="s">
        <v>646</v>
      </c>
      <c r="AS669" s="5"/>
      <c r="AT669" s="5"/>
      <c r="AU669" s="5"/>
      <c r="AV669" s="5" t="s">
        <v>178</v>
      </c>
      <c r="AW669" s="5" t="s">
        <v>7672</v>
      </c>
    </row>
    <row r="670" customFormat="false" ht="113.4" hidden="false" customHeight="false" outlineLevel="0" collapsed="false">
      <c r="A670" s="5" t="s">
        <v>7673</v>
      </c>
      <c r="B670" s="5" t="s">
        <v>7674</v>
      </c>
      <c r="C670" s="5" t="s">
        <v>7528</v>
      </c>
      <c r="D670" s="5" t="s">
        <v>7529</v>
      </c>
      <c r="E670" s="5" t="s">
        <v>626</v>
      </c>
      <c r="F670" s="5" t="s">
        <v>7675</v>
      </c>
      <c r="G670" s="5" t="s">
        <v>7676</v>
      </c>
      <c r="H670" s="5" t="n">
        <v>8</v>
      </c>
      <c r="I670" s="5" t="s">
        <v>603</v>
      </c>
      <c r="J670" s="5" t="s">
        <v>557</v>
      </c>
      <c r="K670" s="5"/>
      <c r="L670" s="5" t="s">
        <v>30</v>
      </c>
      <c r="M670" s="5" t="s">
        <v>155</v>
      </c>
      <c r="N670" s="5" t="s">
        <v>994</v>
      </c>
      <c r="O670" s="5" t="s">
        <v>157</v>
      </c>
      <c r="P670" s="5" t="s">
        <v>215</v>
      </c>
      <c r="Q670" s="5" t="s">
        <v>519</v>
      </c>
      <c r="R670" s="5" t="s">
        <v>7534</v>
      </c>
      <c r="S670" s="5" t="s">
        <v>7535</v>
      </c>
      <c r="T670" s="5" t="s">
        <v>606</v>
      </c>
      <c r="U670" s="5" t="n">
        <v>90</v>
      </c>
      <c r="V670" s="5" t="s">
        <v>7536</v>
      </c>
      <c r="W670" s="5" t="s">
        <v>7537</v>
      </c>
      <c r="X670" s="5" t="s">
        <v>7677</v>
      </c>
      <c r="Y670" s="5" t="s">
        <v>7678</v>
      </c>
      <c r="Z670" s="5" t="s">
        <v>7679</v>
      </c>
      <c r="AA670" s="5"/>
      <c r="AB670" s="5"/>
      <c r="AC670" s="5"/>
      <c r="AD670" s="5"/>
      <c r="AE670" s="5"/>
      <c r="AF670" s="5" t="s">
        <v>1970</v>
      </c>
      <c r="AG670" s="5" t="s">
        <v>1970</v>
      </c>
      <c r="AH670" s="5"/>
      <c r="AI670" s="5"/>
      <c r="AJ670" s="5"/>
      <c r="AK670" s="5"/>
      <c r="AL670" s="5" t="s">
        <v>1970</v>
      </c>
      <c r="AM670" s="5" t="s">
        <v>1970</v>
      </c>
      <c r="AN670" s="5"/>
      <c r="AO670" s="5"/>
      <c r="AP670" s="5"/>
      <c r="AQ670" s="5" t="s">
        <v>1970</v>
      </c>
      <c r="AR670" s="5" t="s">
        <v>596</v>
      </c>
      <c r="AS670" s="5"/>
      <c r="AT670" s="5"/>
      <c r="AU670" s="5"/>
      <c r="AV670" s="5"/>
      <c r="AW670" s="5" t="s">
        <v>1664</v>
      </c>
    </row>
    <row r="671" customFormat="false" ht="135.8" hidden="false" customHeight="false" outlineLevel="0" collapsed="false">
      <c r="A671" s="5" t="s">
        <v>7680</v>
      </c>
      <c r="B671" s="5" t="s">
        <v>7681</v>
      </c>
      <c r="C671" s="5" t="s">
        <v>7528</v>
      </c>
      <c r="D671" s="5" t="s">
        <v>7529</v>
      </c>
      <c r="E671" s="5" t="s">
        <v>626</v>
      </c>
      <c r="F671" s="5" t="s">
        <v>7682</v>
      </c>
      <c r="G671" s="5" t="s">
        <v>7683</v>
      </c>
      <c r="H671" s="5" t="n">
        <v>5</v>
      </c>
      <c r="I671" s="5" t="s">
        <v>152</v>
      </c>
      <c r="J671" s="5" t="s">
        <v>153</v>
      </c>
      <c r="K671" s="5" t="s">
        <v>7684</v>
      </c>
      <c r="L671" s="5" t="s">
        <v>55</v>
      </c>
      <c r="M671" s="5" t="s">
        <v>185</v>
      </c>
      <c r="N671" s="5" t="s">
        <v>7685</v>
      </c>
      <c r="O671" s="5" t="s">
        <v>187</v>
      </c>
      <c r="P671" s="5" t="s">
        <v>215</v>
      </c>
      <c r="Q671" s="5" t="s">
        <v>519</v>
      </c>
      <c r="R671" s="5" t="s">
        <v>7534</v>
      </c>
      <c r="S671" s="5" t="s">
        <v>7535</v>
      </c>
      <c r="T671" s="5" t="s">
        <v>162</v>
      </c>
      <c r="U671" s="5" t="n">
        <v>365</v>
      </c>
      <c r="V671" s="5" t="s">
        <v>7536</v>
      </c>
      <c r="W671" s="5" t="s">
        <v>7537</v>
      </c>
      <c r="X671" s="5" t="s">
        <v>7686</v>
      </c>
      <c r="Y671" s="5" t="s">
        <v>7687</v>
      </c>
      <c r="Z671" s="5" t="s">
        <v>7688</v>
      </c>
      <c r="AA671" s="5"/>
      <c r="AB671" s="5"/>
      <c r="AC671" s="5"/>
      <c r="AD671" s="5"/>
      <c r="AE671" s="5"/>
      <c r="AF671" s="5" t="s">
        <v>1292</v>
      </c>
      <c r="AG671" s="5"/>
      <c r="AH671" s="5"/>
      <c r="AI671" s="5"/>
      <c r="AJ671" s="5"/>
      <c r="AK671" s="5" t="s">
        <v>7689</v>
      </c>
      <c r="AL671" s="5" t="s">
        <v>1292</v>
      </c>
      <c r="AM671" s="5"/>
      <c r="AN671" s="5"/>
      <c r="AO671" s="5"/>
      <c r="AP671" s="5"/>
      <c r="AQ671" s="5" t="s">
        <v>1292</v>
      </c>
      <c r="AR671" s="5" t="s">
        <v>1294</v>
      </c>
      <c r="AS671" s="5"/>
      <c r="AT671" s="5"/>
      <c r="AU671" s="5"/>
      <c r="AV671" s="5" t="s">
        <v>178</v>
      </c>
      <c r="AW671" s="5" t="s">
        <v>7690</v>
      </c>
    </row>
    <row r="672" customFormat="false" ht="147" hidden="false" customHeight="false" outlineLevel="0" collapsed="false">
      <c r="A672" s="5" t="s">
        <v>7691</v>
      </c>
      <c r="B672" s="5" t="s">
        <v>7692</v>
      </c>
      <c r="C672" s="5" t="s">
        <v>7528</v>
      </c>
      <c r="D672" s="5" t="s">
        <v>7529</v>
      </c>
      <c r="E672" s="5" t="s">
        <v>626</v>
      </c>
      <c r="F672" s="5" t="s">
        <v>7693</v>
      </c>
      <c r="G672" s="5" t="s">
        <v>7694</v>
      </c>
      <c r="H672" s="5" t="n">
        <v>7</v>
      </c>
      <c r="I672" s="5" t="s">
        <v>152</v>
      </c>
      <c r="J672" s="5" t="s">
        <v>153</v>
      </c>
      <c r="K672" s="5" t="s">
        <v>7684</v>
      </c>
      <c r="L672" s="5" t="s">
        <v>30</v>
      </c>
      <c r="M672" s="5" t="s">
        <v>155</v>
      </c>
      <c r="N672" s="5" t="s">
        <v>7695</v>
      </c>
      <c r="O672" s="5" t="s">
        <v>157</v>
      </c>
      <c r="P672" s="5" t="s">
        <v>215</v>
      </c>
      <c r="Q672" s="5" t="s">
        <v>519</v>
      </c>
      <c r="R672" s="5" t="s">
        <v>7534</v>
      </c>
      <c r="S672" s="5" t="s">
        <v>7535</v>
      </c>
      <c r="T672" s="5" t="s">
        <v>162</v>
      </c>
      <c r="U672" s="5" t="n">
        <v>365</v>
      </c>
      <c r="V672" s="5" t="s">
        <v>7536</v>
      </c>
      <c r="W672" s="5" t="s">
        <v>7537</v>
      </c>
      <c r="X672" s="5" t="s">
        <v>7696</v>
      </c>
      <c r="Y672" s="5" t="s">
        <v>7697</v>
      </c>
      <c r="Z672" s="5" t="s">
        <v>7698</v>
      </c>
      <c r="AA672" s="5"/>
      <c r="AB672" s="5"/>
      <c r="AC672" s="5"/>
      <c r="AD672" s="5"/>
      <c r="AE672" s="5"/>
      <c r="AF672" s="5" t="s">
        <v>7699</v>
      </c>
      <c r="AG672" s="5" t="s">
        <v>7176</v>
      </c>
      <c r="AH672" s="5"/>
      <c r="AI672" s="5"/>
      <c r="AJ672" s="5" t="s">
        <v>7700</v>
      </c>
      <c r="AK672" s="5" t="s">
        <v>7177</v>
      </c>
      <c r="AL672" s="5" t="s">
        <v>7699</v>
      </c>
      <c r="AM672" s="5"/>
      <c r="AN672" s="5" t="s">
        <v>7178</v>
      </c>
      <c r="AO672" s="5" t="s">
        <v>7701</v>
      </c>
      <c r="AP672" s="5"/>
      <c r="AQ672" s="5" t="s">
        <v>7699</v>
      </c>
      <c r="AR672" s="5" t="s">
        <v>687</v>
      </c>
      <c r="AS672" s="5"/>
      <c r="AT672" s="5"/>
      <c r="AU672" s="5"/>
      <c r="AV672" s="5" t="s">
        <v>178</v>
      </c>
      <c r="AW672" s="5" t="s">
        <v>7690</v>
      </c>
    </row>
    <row r="673" customFormat="false" ht="169.4" hidden="false" customHeight="false" outlineLevel="0" collapsed="false">
      <c r="A673" s="5" t="s">
        <v>7702</v>
      </c>
      <c r="B673" s="5" t="s">
        <v>7703</v>
      </c>
      <c r="C673" s="5" t="s">
        <v>7528</v>
      </c>
      <c r="D673" s="5" t="s">
        <v>7529</v>
      </c>
      <c r="E673" s="5" t="s">
        <v>626</v>
      </c>
      <c r="F673" s="5" t="s">
        <v>7704</v>
      </c>
      <c r="G673" s="5" t="s">
        <v>7705</v>
      </c>
      <c r="H673" s="5" t="n">
        <v>8</v>
      </c>
      <c r="I673" s="5" t="s">
        <v>603</v>
      </c>
      <c r="J673" s="5" t="s">
        <v>153</v>
      </c>
      <c r="K673" s="5"/>
      <c r="L673" s="5" t="s">
        <v>30</v>
      </c>
      <c r="M673" s="5" t="s">
        <v>155</v>
      </c>
      <c r="N673" s="5" t="s">
        <v>2350</v>
      </c>
      <c r="O673" s="5" t="s">
        <v>570</v>
      </c>
      <c r="P673" s="5" t="s">
        <v>215</v>
      </c>
      <c r="Q673" s="5" t="s">
        <v>519</v>
      </c>
      <c r="R673" s="5" t="s">
        <v>7534</v>
      </c>
      <c r="S673" s="5" t="s">
        <v>7535</v>
      </c>
      <c r="T673" s="5" t="s">
        <v>606</v>
      </c>
      <c r="U673" s="5" t="n">
        <v>365</v>
      </c>
      <c r="V673" s="5" t="s">
        <v>7536</v>
      </c>
      <c r="W673" s="5" t="s">
        <v>7537</v>
      </c>
      <c r="X673" s="5" t="s">
        <v>7706</v>
      </c>
      <c r="Y673" s="5" t="s">
        <v>7707</v>
      </c>
      <c r="Z673" s="5" t="s">
        <v>7708</v>
      </c>
      <c r="AA673" s="5"/>
      <c r="AB673" s="5" t="s">
        <v>7709</v>
      </c>
      <c r="AC673" s="5"/>
      <c r="AD673" s="5" t="s">
        <v>7710</v>
      </c>
      <c r="AE673" s="5"/>
      <c r="AF673" s="5" t="s">
        <v>7711</v>
      </c>
      <c r="AG673" s="5" t="s">
        <v>7712</v>
      </c>
      <c r="AH673" s="5"/>
      <c r="AI673" s="5"/>
      <c r="AJ673" s="5"/>
      <c r="AK673" s="5"/>
      <c r="AL673" s="5" t="s">
        <v>7711</v>
      </c>
      <c r="AM673" s="5"/>
      <c r="AN673" s="5"/>
      <c r="AO673" s="5"/>
      <c r="AP673" s="5"/>
      <c r="AQ673" s="5"/>
      <c r="AR673" s="5" t="s">
        <v>7713</v>
      </c>
      <c r="AS673" s="5"/>
      <c r="AT673" s="5"/>
      <c r="AU673" s="5"/>
      <c r="AV673" s="5"/>
      <c r="AW673" s="5" t="s">
        <v>1664</v>
      </c>
    </row>
    <row r="674" customFormat="false" ht="113.4" hidden="false" customHeight="false" outlineLevel="0" collapsed="false">
      <c r="A674" s="5" t="s">
        <v>7714</v>
      </c>
      <c r="B674" s="5" t="s">
        <v>7715</v>
      </c>
      <c r="C674" s="5" t="s">
        <v>7528</v>
      </c>
      <c r="D674" s="5" t="s">
        <v>7529</v>
      </c>
      <c r="E674" s="5" t="s">
        <v>626</v>
      </c>
      <c r="F674" s="5" t="s">
        <v>7716</v>
      </c>
      <c r="G674" s="5" t="s">
        <v>7717</v>
      </c>
      <c r="H674" s="5" t="n">
        <v>8</v>
      </c>
      <c r="I674" s="5" t="s">
        <v>603</v>
      </c>
      <c r="J674" s="5" t="s">
        <v>153</v>
      </c>
      <c r="K674" s="5"/>
      <c r="L674" s="5" t="s">
        <v>30</v>
      </c>
      <c r="M674" s="5" t="s">
        <v>155</v>
      </c>
      <c r="N674" s="5" t="s">
        <v>7718</v>
      </c>
      <c r="O674" s="5" t="s">
        <v>570</v>
      </c>
      <c r="P674" s="5" t="s">
        <v>215</v>
      </c>
      <c r="Q674" s="5" t="s">
        <v>519</v>
      </c>
      <c r="R674" s="5" t="s">
        <v>7534</v>
      </c>
      <c r="S674" s="5" t="s">
        <v>7535</v>
      </c>
      <c r="T674" s="5" t="s">
        <v>606</v>
      </c>
      <c r="U674" s="5" t="n">
        <v>365</v>
      </c>
      <c r="V674" s="5" t="s">
        <v>7536</v>
      </c>
      <c r="W674" s="5" t="s">
        <v>7537</v>
      </c>
      <c r="X674" s="5" t="s">
        <v>7719</v>
      </c>
      <c r="Y674" s="5" t="s">
        <v>7720</v>
      </c>
      <c r="Z674" s="5" t="s">
        <v>7721</v>
      </c>
      <c r="AA674" s="5" t="s">
        <v>7722</v>
      </c>
      <c r="AB674" s="5"/>
      <c r="AC674" s="5"/>
      <c r="AD674" s="5" t="s">
        <v>7723</v>
      </c>
      <c r="AE674" s="5"/>
      <c r="AF674" s="5" t="s">
        <v>7724</v>
      </c>
      <c r="AG674" s="5" t="s">
        <v>7724</v>
      </c>
      <c r="AH674" s="5"/>
      <c r="AI674" s="5"/>
      <c r="AJ674" s="5"/>
      <c r="AK674" s="5"/>
      <c r="AL674" s="5" t="s">
        <v>7724</v>
      </c>
      <c r="AM674" s="5"/>
      <c r="AN674" s="5"/>
      <c r="AO674" s="5"/>
      <c r="AP674" s="5"/>
      <c r="AQ674" s="5"/>
      <c r="AR674" s="5" t="s">
        <v>1294</v>
      </c>
      <c r="AS674" s="5"/>
      <c r="AT674" s="5"/>
      <c r="AU674" s="5"/>
      <c r="AV674" s="5"/>
      <c r="AW674" s="5" t="s">
        <v>1664</v>
      </c>
    </row>
    <row r="675" customFormat="false" ht="124.6" hidden="false" customHeight="false" outlineLevel="0" collapsed="false">
      <c r="A675" s="5" t="s">
        <v>7725</v>
      </c>
      <c r="B675" s="5" t="s">
        <v>7726</v>
      </c>
      <c r="C675" s="5" t="s">
        <v>7528</v>
      </c>
      <c r="D675" s="5" t="s">
        <v>7529</v>
      </c>
      <c r="E675" s="5" t="s">
        <v>626</v>
      </c>
      <c r="F675" s="5" t="s">
        <v>7727</v>
      </c>
      <c r="G675" s="5" t="s">
        <v>7728</v>
      </c>
      <c r="H675" s="5" t="n">
        <v>9</v>
      </c>
      <c r="I675" s="5" t="s">
        <v>603</v>
      </c>
      <c r="J675" s="5" t="s">
        <v>153</v>
      </c>
      <c r="K675" s="5"/>
      <c r="L675" s="5" t="s">
        <v>30</v>
      </c>
      <c r="M675" s="5" t="s">
        <v>155</v>
      </c>
      <c r="N675" s="5" t="s">
        <v>2383</v>
      </c>
      <c r="O675" s="5" t="s">
        <v>570</v>
      </c>
      <c r="P675" s="5" t="s">
        <v>215</v>
      </c>
      <c r="Q675" s="5" t="s">
        <v>519</v>
      </c>
      <c r="R675" s="5" t="s">
        <v>7534</v>
      </c>
      <c r="S675" s="5" t="s">
        <v>7535</v>
      </c>
      <c r="T675" s="5" t="s">
        <v>606</v>
      </c>
      <c r="U675" s="5" t="n">
        <v>365</v>
      </c>
      <c r="V675" s="5" t="s">
        <v>7536</v>
      </c>
      <c r="W675" s="5" t="s">
        <v>7537</v>
      </c>
      <c r="X675" s="5" t="s">
        <v>7729</v>
      </c>
      <c r="Y675" s="5" t="s">
        <v>7730</v>
      </c>
      <c r="Z675" s="5" t="s">
        <v>7731</v>
      </c>
      <c r="AA675" s="5"/>
      <c r="AB675" s="5" t="s">
        <v>7732</v>
      </c>
      <c r="AC675" s="5"/>
      <c r="AD675" s="5" t="s">
        <v>7733</v>
      </c>
      <c r="AE675" s="5"/>
      <c r="AF675" s="5" t="s">
        <v>7734</v>
      </c>
      <c r="AG675" s="5"/>
      <c r="AH675" s="5"/>
      <c r="AI675" s="5"/>
      <c r="AJ675" s="5"/>
      <c r="AK675" s="5"/>
      <c r="AL675" s="5" t="s">
        <v>7734</v>
      </c>
      <c r="AM675" s="5"/>
      <c r="AN675" s="5"/>
      <c r="AO675" s="5"/>
      <c r="AP675" s="5"/>
      <c r="AQ675" s="5"/>
      <c r="AR675" s="5" t="s">
        <v>1294</v>
      </c>
      <c r="AS675" s="5"/>
      <c r="AT675" s="5"/>
      <c r="AU675" s="5"/>
      <c r="AV675" s="5"/>
      <c r="AW675" s="5" t="s">
        <v>1664</v>
      </c>
    </row>
    <row r="676" customFormat="false" ht="214.15" hidden="false" customHeight="false" outlineLevel="0" collapsed="false">
      <c r="A676" s="5" t="s">
        <v>7735</v>
      </c>
      <c r="B676" s="5" t="s">
        <v>7736</v>
      </c>
      <c r="C676" s="5" t="s">
        <v>7528</v>
      </c>
      <c r="D676" s="5" t="s">
        <v>7529</v>
      </c>
      <c r="E676" s="5" t="s">
        <v>626</v>
      </c>
      <c r="F676" s="5" t="s">
        <v>7737</v>
      </c>
      <c r="G676" s="5" t="s">
        <v>7738</v>
      </c>
      <c r="H676" s="5" t="n">
        <v>5</v>
      </c>
      <c r="I676" s="5" t="s">
        <v>152</v>
      </c>
      <c r="J676" s="5" t="s">
        <v>153</v>
      </c>
      <c r="K676" s="5"/>
      <c r="L676" s="5" t="s">
        <v>30</v>
      </c>
      <c r="M676" s="5" t="s">
        <v>155</v>
      </c>
      <c r="N676" s="5" t="s">
        <v>7739</v>
      </c>
      <c r="O676" s="5" t="s">
        <v>570</v>
      </c>
      <c r="P676" s="5" t="s">
        <v>215</v>
      </c>
      <c r="Q676" s="5" t="s">
        <v>519</v>
      </c>
      <c r="R676" s="5" t="s">
        <v>7534</v>
      </c>
      <c r="S676" s="5" t="s">
        <v>7535</v>
      </c>
      <c r="T676" s="5" t="s">
        <v>162</v>
      </c>
      <c r="U676" s="5" t="n">
        <v>365</v>
      </c>
      <c r="V676" s="5" t="s">
        <v>7536</v>
      </c>
      <c r="W676" s="5" t="s">
        <v>7537</v>
      </c>
      <c r="X676" s="5" t="s">
        <v>7740</v>
      </c>
      <c r="Y676" s="5" t="s">
        <v>7741</v>
      </c>
      <c r="Z676" s="5" t="s">
        <v>7742</v>
      </c>
      <c r="AA676" s="5"/>
      <c r="AB676" s="5"/>
      <c r="AC676" s="5"/>
      <c r="AD676" s="5" t="s">
        <v>7743</v>
      </c>
      <c r="AE676" s="5"/>
      <c r="AF676" s="5" t="s">
        <v>7744</v>
      </c>
      <c r="AG676" s="5"/>
      <c r="AH676" s="5"/>
      <c r="AI676" s="5"/>
      <c r="AJ676" s="5"/>
      <c r="AK676" s="5"/>
      <c r="AL676" s="5" t="s">
        <v>7744</v>
      </c>
      <c r="AM676" s="5"/>
      <c r="AN676" s="5"/>
      <c r="AO676" s="5" t="s">
        <v>7745</v>
      </c>
      <c r="AP676" s="5"/>
      <c r="AQ676" s="5" t="s">
        <v>7746</v>
      </c>
      <c r="AR676" s="5" t="s">
        <v>7747</v>
      </c>
      <c r="AS676" s="5"/>
      <c r="AT676" s="5"/>
      <c r="AU676" s="5"/>
      <c r="AV676" s="5"/>
      <c r="AW676" s="5" t="s">
        <v>7748</v>
      </c>
    </row>
    <row r="677" customFormat="false" ht="113.4" hidden="false" customHeight="false" outlineLevel="0" collapsed="false">
      <c r="A677" s="5" t="s">
        <v>7749</v>
      </c>
      <c r="B677" s="5" t="s">
        <v>7750</v>
      </c>
      <c r="C677" s="5" t="s">
        <v>7528</v>
      </c>
      <c r="D677" s="5" t="s">
        <v>7529</v>
      </c>
      <c r="E677" s="5" t="s">
        <v>626</v>
      </c>
      <c r="F677" s="5" t="s">
        <v>7751</v>
      </c>
      <c r="G677" s="5" t="s">
        <v>7752</v>
      </c>
      <c r="H677" s="5" t="n">
        <v>8</v>
      </c>
      <c r="I677" s="5" t="s">
        <v>603</v>
      </c>
      <c r="J677" s="5" t="s">
        <v>153</v>
      </c>
      <c r="K677" s="5"/>
      <c r="L677" s="5" t="s">
        <v>30</v>
      </c>
      <c r="M677" s="5" t="s">
        <v>155</v>
      </c>
      <c r="N677" s="5" t="s">
        <v>1030</v>
      </c>
      <c r="O677" s="5" t="s">
        <v>157</v>
      </c>
      <c r="P677" s="5" t="s">
        <v>215</v>
      </c>
      <c r="Q677" s="5" t="s">
        <v>519</v>
      </c>
      <c r="R677" s="5" t="s">
        <v>7534</v>
      </c>
      <c r="S677" s="5" t="s">
        <v>7535</v>
      </c>
      <c r="T677" s="5" t="s">
        <v>606</v>
      </c>
      <c r="U677" s="5" t="n">
        <v>365</v>
      </c>
      <c r="V677" s="5" t="s">
        <v>7536</v>
      </c>
      <c r="W677" s="5" t="s">
        <v>7537</v>
      </c>
      <c r="X677" s="5" t="s">
        <v>7753</v>
      </c>
      <c r="Y677" s="5" t="s">
        <v>7754</v>
      </c>
      <c r="Z677" s="5" t="s">
        <v>7755</v>
      </c>
      <c r="AA677" s="5"/>
      <c r="AB677" s="5"/>
      <c r="AC677" s="5"/>
      <c r="AD677" s="5"/>
      <c r="AE677" s="5"/>
      <c r="AF677" s="5" t="s">
        <v>7756</v>
      </c>
      <c r="AG677" s="5" t="s">
        <v>7756</v>
      </c>
      <c r="AH677" s="5"/>
      <c r="AI677" s="5"/>
      <c r="AJ677" s="5"/>
      <c r="AK677" s="5"/>
      <c r="AL677" s="5" t="s">
        <v>7756</v>
      </c>
      <c r="AM677" s="5" t="s">
        <v>7756</v>
      </c>
      <c r="AN677" s="5"/>
      <c r="AO677" s="5"/>
      <c r="AP677" s="5"/>
      <c r="AQ677" s="5"/>
      <c r="AR677" s="5" t="s">
        <v>1294</v>
      </c>
      <c r="AS677" s="5"/>
      <c r="AT677" s="5"/>
      <c r="AU677" s="5"/>
      <c r="AV677" s="5"/>
      <c r="AW677" s="5" t="s">
        <v>1664</v>
      </c>
    </row>
    <row r="678" customFormat="false" ht="191.75" hidden="false" customHeight="false" outlineLevel="0" collapsed="false">
      <c r="A678" s="5" t="s">
        <v>7757</v>
      </c>
      <c r="B678" s="5" t="s">
        <v>7758</v>
      </c>
      <c r="C678" s="5" t="s">
        <v>7528</v>
      </c>
      <c r="D678" s="5" t="s">
        <v>7529</v>
      </c>
      <c r="E678" s="5" t="s">
        <v>626</v>
      </c>
      <c r="F678" s="5" t="s">
        <v>7759</v>
      </c>
      <c r="G678" s="5" t="s">
        <v>7760</v>
      </c>
      <c r="H678" s="5" t="n">
        <v>3</v>
      </c>
      <c r="I678" s="5" t="s">
        <v>603</v>
      </c>
      <c r="J678" s="5" t="s">
        <v>153</v>
      </c>
      <c r="K678" s="5"/>
      <c r="L678" s="5" t="s">
        <v>85</v>
      </c>
      <c r="M678" s="5" t="s">
        <v>185</v>
      </c>
      <c r="N678" s="5" t="s">
        <v>88</v>
      </c>
      <c r="O678" s="5" t="s">
        <v>214</v>
      </c>
      <c r="P678" s="5" t="s">
        <v>215</v>
      </c>
      <c r="Q678" s="5" t="s">
        <v>519</v>
      </c>
      <c r="R678" s="5" t="s">
        <v>7534</v>
      </c>
      <c r="S678" s="5" t="s">
        <v>7535</v>
      </c>
      <c r="T678" s="5" t="s">
        <v>606</v>
      </c>
      <c r="U678" s="5" t="n">
        <v>365</v>
      </c>
      <c r="V678" s="5" t="s">
        <v>7536</v>
      </c>
      <c r="W678" s="5" t="s">
        <v>7537</v>
      </c>
      <c r="X678" s="5" t="s">
        <v>7761</v>
      </c>
      <c r="Y678" s="5" t="s">
        <v>7762</v>
      </c>
      <c r="Z678" s="5" t="s">
        <v>7763</v>
      </c>
      <c r="AA678" s="5"/>
      <c r="AB678" s="5"/>
      <c r="AC678" s="5"/>
      <c r="AD678" s="5"/>
      <c r="AE678" s="5"/>
      <c r="AF678" s="5" t="s">
        <v>7764</v>
      </c>
      <c r="AG678" s="5"/>
      <c r="AH678" s="5"/>
      <c r="AI678" s="5"/>
      <c r="AJ678" s="5"/>
      <c r="AK678" s="5"/>
      <c r="AL678" s="5" t="s">
        <v>7764</v>
      </c>
      <c r="AM678" s="5"/>
      <c r="AN678" s="5"/>
      <c r="AO678" s="5"/>
      <c r="AP678" s="5"/>
      <c r="AQ678" s="5" t="s">
        <v>2543</v>
      </c>
      <c r="AR678" s="5" t="s">
        <v>7765</v>
      </c>
      <c r="AS678" s="5"/>
      <c r="AT678" s="5"/>
      <c r="AU678" s="5"/>
      <c r="AV678" s="5" t="s">
        <v>178</v>
      </c>
      <c r="AW678" s="5" t="s">
        <v>7766</v>
      </c>
    </row>
    <row r="679" customFormat="false" ht="124.6" hidden="false" customHeight="false" outlineLevel="0" collapsed="false">
      <c r="A679" s="5" t="s">
        <v>7767</v>
      </c>
      <c r="B679" s="5" t="s">
        <v>7768</v>
      </c>
      <c r="C679" s="5" t="s">
        <v>7528</v>
      </c>
      <c r="D679" s="5" t="s">
        <v>7529</v>
      </c>
      <c r="E679" s="5" t="s">
        <v>626</v>
      </c>
      <c r="F679" s="5" t="s">
        <v>7769</v>
      </c>
      <c r="G679" s="5" t="s">
        <v>7770</v>
      </c>
      <c r="H679" s="5" t="n">
        <v>3</v>
      </c>
      <c r="I679" s="5" t="s">
        <v>603</v>
      </c>
      <c r="J679" s="5" t="s">
        <v>557</v>
      </c>
      <c r="K679" s="5"/>
      <c r="L679" s="5" t="s">
        <v>85</v>
      </c>
      <c r="M679" s="5" t="s">
        <v>185</v>
      </c>
      <c r="N679" s="5" t="s">
        <v>88</v>
      </c>
      <c r="O679" s="5" t="s">
        <v>214</v>
      </c>
      <c r="P679" s="5" t="s">
        <v>215</v>
      </c>
      <c r="Q679" s="5" t="s">
        <v>519</v>
      </c>
      <c r="R679" s="5" t="s">
        <v>7534</v>
      </c>
      <c r="S679" s="5" t="s">
        <v>7535</v>
      </c>
      <c r="T679" s="5" t="s">
        <v>606</v>
      </c>
      <c r="U679" s="5" t="n">
        <v>90</v>
      </c>
      <c r="V679" s="5" t="s">
        <v>7536</v>
      </c>
      <c r="W679" s="5" t="s">
        <v>7537</v>
      </c>
      <c r="X679" s="5" t="s">
        <v>7771</v>
      </c>
      <c r="Y679" s="5" t="s">
        <v>7772</v>
      </c>
      <c r="Z679" s="5" t="s">
        <v>7773</v>
      </c>
      <c r="AA679" s="5"/>
      <c r="AB679" s="5"/>
      <c r="AC679" s="5"/>
      <c r="AD679" s="5"/>
      <c r="AE679" s="5"/>
      <c r="AF679" s="5" t="s">
        <v>7774</v>
      </c>
      <c r="AG679" s="5"/>
      <c r="AH679" s="5"/>
      <c r="AI679" s="5"/>
      <c r="AJ679" s="5"/>
      <c r="AK679" s="5"/>
      <c r="AL679" s="5" t="s">
        <v>7774</v>
      </c>
      <c r="AM679" s="5"/>
      <c r="AN679" s="5"/>
      <c r="AO679" s="5"/>
      <c r="AP679" s="5"/>
      <c r="AQ679" s="5" t="s">
        <v>2543</v>
      </c>
      <c r="AR679" s="5" t="s">
        <v>7765</v>
      </c>
      <c r="AS679" s="5"/>
      <c r="AT679" s="5"/>
      <c r="AU679" s="5"/>
      <c r="AV679" s="5"/>
      <c r="AW679" s="5" t="s">
        <v>7775</v>
      </c>
    </row>
    <row r="680" customFormat="false" ht="169.4" hidden="false" customHeight="false" outlineLevel="0" collapsed="false">
      <c r="A680" s="5" t="s">
        <v>7776</v>
      </c>
      <c r="B680" s="5" t="s">
        <v>7777</v>
      </c>
      <c r="C680" s="5" t="s">
        <v>7528</v>
      </c>
      <c r="D680" s="5" t="s">
        <v>7529</v>
      </c>
      <c r="E680" s="5" t="s">
        <v>626</v>
      </c>
      <c r="F680" s="5" t="s">
        <v>7778</v>
      </c>
      <c r="G680" s="5" t="s">
        <v>7779</v>
      </c>
      <c r="H680" s="5" t="n">
        <v>4</v>
      </c>
      <c r="I680" s="5" t="s">
        <v>603</v>
      </c>
      <c r="J680" s="5" t="s">
        <v>153</v>
      </c>
      <c r="K680" s="5"/>
      <c r="L680" s="5" t="s">
        <v>85</v>
      </c>
      <c r="M680" s="5" t="s">
        <v>185</v>
      </c>
      <c r="N680" s="5" t="s">
        <v>88</v>
      </c>
      <c r="O680" s="5" t="s">
        <v>214</v>
      </c>
      <c r="P680" s="5" t="s">
        <v>215</v>
      </c>
      <c r="Q680" s="5" t="s">
        <v>519</v>
      </c>
      <c r="R680" s="5" t="s">
        <v>7534</v>
      </c>
      <c r="S680" s="5" t="s">
        <v>7535</v>
      </c>
      <c r="T680" s="5" t="s">
        <v>606</v>
      </c>
      <c r="U680" s="5" t="n">
        <v>365</v>
      </c>
      <c r="V680" s="5" t="s">
        <v>7536</v>
      </c>
      <c r="W680" s="5" t="s">
        <v>7537</v>
      </c>
      <c r="X680" s="5" t="s">
        <v>7780</v>
      </c>
      <c r="Y680" s="5" t="s">
        <v>7781</v>
      </c>
      <c r="Z680" s="5" t="s">
        <v>7782</v>
      </c>
      <c r="AA680" s="5"/>
      <c r="AB680" s="5"/>
      <c r="AC680" s="5"/>
      <c r="AD680" s="5"/>
      <c r="AE680" s="5"/>
      <c r="AF680" s="5" t="s">
        <v>7783</v>
      </c>
      <c r="AG680" s="5"/>
      <c r="AH680" s="5"/>
      <c r="AI680" s="5"/>
      <c r="AJ680" s="5"/>
      <c r="AK680" s="5"/>
      <c r="AL680" s="5" t="s">
        <v>7783</v>
      </c>
      <c r="AM680" s="5"/>
      <c r="AN680" s="5"/>
      <c r="AO680" s="5"/>
      <c r="AP680" s="5"/>
      <c r="AQ680" s="5" t="s">
        <v>1090</v>
      </c>
      <c r="AR680" s="5" t="s">
        <v>6375</v>
      </c>
      <c r="AS680" s="5"/>
      <c r="AT680" s="5"/>
      <c r="AU680" s="5"/>
      <c r="AV680" s="5"/>
      <c r="AW680" s="5" t="s">
        <v>7784</v>
      </c>
    </row>
    <row r="681" customFormat="false" ht="225.35" hidden="false" customHeight="false" outlineLevel="0" collapsed="false">
      <c r="A681" s="5" t="s">
        <v>7785</v>
      </c>
      <c r="B681" s="5" t="s">
        <v>7786</v>
      </c>
      <c r="C681" s="5" t="s">
        <v>7528</v>
      </c>
      <c r="D681" s="5" t="s">
        <v>7529</v>
      </c>
      <c r="E681" s="5" t="s">
        <v>626</v>
      </c>
      <c r="F681" s="5" t="s">
        <v>7787</v>
      </c>
      <c r="G681" s="5" t="s">
        <v>7788</v>
      </c>
      <c r="H681" s="5" t="n">
        <v>9</v>
      </c>
      <c r="I681" s="5" t="s">
        <v>603</v>
      </c>
      <c r="J681" s="5" t="s">
        <v>153</v>
      </c>
      <c r="K681" s="5" t="s">
        <v>7789</v>
      </c>
      <c r="L681" s="5" t="s">
        <v>30</v>
      </c>
      <c r="M681" s="5" t="s">
        <v>155</v>
      </c>
      <c r="N681" s="5" t="s">
        <v>2350</v>
      </c>
      <c r="O681" s="5" t="s">
        <v>570</v>
      </c>
      <c r="P681" s="5" t="s">
        <v>641</v>
      </c>
      <c r="Q681" s="5" t="s">
        <v>519</v>
      </c>
      <c r="R681" s="5" t="s">
        <v>7534</v>
      </c>
      <c r="S681" s="5" t="s">
        <v>7535</v>
      </c>
      <c r="T681" s="5" t="s">
        <v>606</v>
      </c>
      <c r="U681" s="5" t="n">
        <v>365</v>
      </c>
      <c r="V681" s="5" t="s">
        <v>7536</v>
      </c>
      <c r="W681" s="5" t="s">
        <v>7537</v>
      </c>
      <c r="X681" s="5" t="s">
        <v>7790</v>
      </c>
      <c r="Y681" s="5" t="s">
        <v>7791</v>
      </c>
      <c r="Z681" s="5" t="s">
        <v>7792</v>
      </c>
      <c r="AA681" s="5"/>
      <c r="AB681" s="5" t="s">
        <v>7793</v>
      </c>
      <c r="AC681" s="5"/>
      <c r="AD681" s="5" t="s">
        <v>7794</v>
      </c>
      <c r="AE681" s="5"/>
      <c r="AF681" s="5" t="s">
        <v>7795</v>
      </c>
      <c r="AG681" s="5" t="s">
        <v>7795</v>
      </c>
      <c r="AH681" s="5"/>
      <c r="AI681" s="5"/>
      <c r="AJ681" s="5"/>
      <c r="AK681" s="5"/>
      <c r="AL681" s="5" t="s">
        <v>7795</v>
      </c>
      <c r="AM681" s="5"/>
      <c r="AN681" s="5"/>
      <c r="AO681" s="5"/>
      <c r="AP681" s="5"/>
      <c r="AQ681" s="5"/>
      <c r="AR681" s="5" t="s">
        <v>2921</v>
      </c>
      <c r="AS681" s="5"/>
      <c r="AT681" s="5"/>
      <c r="AU681" s="5"/>
      <c r="AV681" s="5" t="s">
        <v>178</v>
      </c>
      <c r="AW681" s="5" t="s">
        <v>1664</v>
      </c>
    </row>
    <row r="682" customFormat="false" ht="102.2" hidden="false" customHeight="false" outlineLevel="0" collapsed="false">
      <c r="A682" s="5" t="s">
        <v>7796</v>
      </c>
      <c r="B682" s="5" t="s">
        <v>7797</v>
      </c>
      <c r="C682" s="5" t="s">
        <v>7528</v>
      </c>
      <c r="D682" s="5" t="s">
        <v>7529</v>
      </c>
      <c r="E682" s="5" t="s">
        <v>626</v>
      </c>
      <c r="F682" s="5" t="s">
        <v>7798</v>
      </c>
      <c r="G682" s="5" t="s">
        <v>7799</v>
      </c>
      <c r="H682" s="5" t="n">
        <v>9</v>
      </c>
      <c r="I682" s="5" t="s">
        <v>603</v>
      </c>
      <c r="J682" s="5" t="s">
        <v>153</v>
      </c>
      <c r="K682" s="5" t="s">
        <v>7789</v>
      </c>
      <c r="L682" s="5" t="s">
        <v>30</v>
      </c>
      <c r="M682" s="5" t="s">
        <v>155</v>
      </c>
      <c r="N682" s="5" t="s">
        <v>2383</v>
      </c>
      <c r="O682" s="5" t="s">
        <v>570</v>
      </c>
      <c r="P682" s="5" t="s">
        <v>641</v>
      </c>
      <c r="Q682" s="5" t="s">
        <v>519</v>
      </c>
      <c r="R682" s="5" t="s">
        <v>7534</v>
      </c>
      <c r="S682" s="5" t="s">
        <v>7535</v>
      </c>
      <c r="T682" s="5" t="s">
        <v>606</v>
      </c>
      <c r="U682" s="5" t="n">
        <v>365</v>
      </c>
      <c r="V682" s="5" t="s">
        <v>7536</v>
      </c>
      <c r="W682" s="5" t="s">
        <v>7537</v>
      </c>
      <c r="X682" s="5" t="s">
        <v>7800</v>
      </c>
      <c r="Y682" s="5" t="s">
        <v>7801</v>
      </c>
      <c r="Z682" s="5" t="s">
        <v>7802</v>
      </c>
      <c r="AA682" s="5"/>
      <c r="AB682" s="5" t="s">
        <v>7793</v>
      </c>
      <c r="AC682" s="5"/>
      <c r="AD682" s="5" t="s">
        <v>7794</v>
      </c>
      <c r="AE682" s="5"/>
      <c r="AF682" s="5"/>
      <c r="AG682" s="5"/>
      <c r="AH682" s="5"/>
      <c r="AI682" s="5"/>
      <c r="AJ682" s="5"/>
      <c r="AK682" s="5"/>
      <c r="AL682" s="5"/>
      <c r="AM682" s="5"/>
      <c r="AN682" s="5"/>
      <c r="AO682" s="5"/>
      <c r="AP682" s="5"/>
      <c r="AQ682" s="5"/>
      <c r="AR682" s="5"/>
      <c r="AS682" s="5"/>
      <c r="AT682" s="5"/>
      <c r="AU682" s="5"/>
      <c r="AV682" s="5" t="s">
        <v>178</v>
      </c>
      <c r="AW682" s="5" t="s">
        <v>1664</v>
      </c>
    </row>
    <row r="683" customFormat="false" ht="102.2" hidden="false" customHeight="false" outlineLevel="0" collapsed="false">
      <c r="A683" s="5" t="s">
        <v>7803</v>
      </c>
      <c r="B683" s="5" t="s">
        <v>7804</v>
      </c>
      <c r="C683" s="5" t="s">
        <v>7528</v>
      </c>
      <c r="D683" s="5" t="s">
        <v>7529</v>
      </c>
      <c r="E683" s="5" t="s">
        <v>626</v>
      </c>
      <c r="F683" s="5" t="s">
        <v>7805</v>
      </c>
      <c r="G683" s="5" t="s">
        <v>7806</v>
      </c>
      <c r="H683" s="5" t="n">
        <v>9</v>
      </c>
      <c r="I683" s="5" t="s">
        <v>603</v>
      </c>
      <c r="J683" s="5" t="s">
        <v>153</v>
      </c>
      <c r="K683" s="5" t="s">
        <v>7789</v>
      </c>
      <c r="L683" s="5" t="s">
        <v>30</v>
      </c>
      <c r="M683" s="5" t="s">
        <v>155</v>
      </c>
      <c r="N683" s="5" t="s">
        <v>2383</v>
      </c>
      <c r="O683" s="5" t="s">
        <v>570</v>
      </c>
      <c r="P683" s="5" t="s">
        <v>641</v>
      </c>
      <c r="Q683" s="5" t="s">
        <v>519</v>
      </c>
      <c r="R683" s="5" t="s">
        <v>7534</v>
      </c>
      <c r="S683" s="5" t="s">
        <v>7535</v>
      </c>
      <c r="T683" s="5" t="s">
        <v>606</v>
      </c>
      <c r="U683" s="5" t="n">
        <v>365</v>
      </c>
      <c r="V683" s="5" t="s">
        <v>7536</v>
      </c>
      <c r="W683" s="5" t="s">
        <v>7537</v>
      </c>
      <c r="X683" s="5" t="s">
        <v>7807</v>
      </c>
      <c r="Y683" s="5" t="s">
        <v>7808</v>
      </c>
      <c r="Z683" s="5" t="s">
        <v>7802</v>
      </c>
      <c r="AA683" s="5"/>
      <c r="AB683" s="5" t="s">
        <v>7793</v>
      </c>
      <c r="AC683" s="5"/>
      <c r="AD683" s="5" t="s">
        <v>7794</v>
      </c>
      <c r="AE683" s="5"/>
      <c r="AF683" s="5"/>
      <c r="AG683" s="5"/>
      <c r="AH683" s="5"/>
      <c r="AI683" s="5"/>
      <c r="AJ683" s="5"/>
      <c r="AK683" s="5"/>
      <c r="AL683" s="5"/>
      <c r="AM683" s="5"/>
      <c r="AN683" s="5"/>
      <c r="AO683" s="5"/>
      <c r="AP683" s="5"/>
      <c r="AQ683" s="5"/>
      <c r="AR683" s="5"/>
      <c r="AS683" s="5"/>
      <c r="AT683" s="5"/>
      <c r="AU683" s="5"/>
      <c r="AV683" s="5" t="s">
        <v>178</v>
      </c>
      <c r="AW683" s="5" t="s">
        <v>1664</v>
      </c>
    </row>
    <row r="684" customFormat="false" ht="102.2" hidden="false" customHeight="false" outlineLevel="0" collapsed="false">
      <c r="A684" s="5" t="s">
        <v>7809</v>
      </c>
      <c r="B684" s="5" t="s">
        <v>7810</v>
      </c>
      <c r="C684" s="5" t="s">
        <v>7528</v>
      </c>
      <c r="D684" s="5" t="s">
        <v>7529</v>
      </c>
      <c r="E684" s="5" t="s">
        <v>626</v>
      </c>
      <c r="F684" s="5" t="s">
        <v>7811</v>
      </c>
      <c r="G684" s="5" t="s">
        <v>7812</v>
      </c>
      <c r="H684" s="5" t="n">
        <v>3</v>
      </c>
      <c r="I684" s="5" t="s">
        <v>603</v>
      </c>
      <c r="J684" s="5" t="s">
        <v>153</v>
      </c>
      <c r="K684" s="5"/>
      <c r="L684" s="5" t="s">
        <v>30</v>
      </c>
      <c r="M684" s="5" t="s">
        <v>155</v>
      </c>
      <c r="N684" s="5" t="s">
        <v>124</v>
      </c>
      <c r="O684" s="5" t="s">
        <v>157</v>
      </c>
      <c r="P684" s="5" t="s">
        <v>215</v>
      </c>
      <c r="Q684" s="5" t="s">
        <v>519</v>
      </c>
      <c r="R684" s="5" t="s">
        <v>7534</v>
      </c>
      <c r="S684" s="5" t="s">
        <v>7535</v>
      </c>
      <c r="T684" s="5" t="s">
        <v>606</v>
      </c>
      <c r="U684" s="5" t="n">
        <v>365</v>
      </c>
      <c r="V684" s="5" t="s">
        <v>7536</v>
      </c>
      <c r="W684" s="5" t="s">
        <v>7537</v>
      </c>
      <c r="X684" s="5" t="s">
        <v>7813</v>
      </c>
      <c r="Y684" s="5" t="s">
        <v>7814</v>
      </c>
      <c r="Z684" s="5" t="s">
        <v>7815</v>
      </c>
      <c r="AA684" s="5" t="s">
        <v>7816</v>
      </c>
      <c r="AB684" s="5"/>
      <c r="AC684" s="5"/>
      <c r="AD684" s="5"/>
      <c r="AE684" s="5"/>
      <c r="AF684" s="5" t="s">
        <v>7817</v>
      </c>
      <c r="AG684" s="5"/>
      <c r="AH684" s="5"/>
      <c r="AI684" s="5"/>
      <c r="AJ684" s="5"/>
      <c r="AK684" s="5"/>
      <c r="AL684" s="5" t="s">
        <v>7817</v>
      </c>
      <c r="AM684" s="5"/>
      <c r="AN684" s="5"/>
      <c r="AO684" s="5"/>
      <c r="AP684" s="5"/>
      <c r="AQ684" s="5"/>
      <c r="AR684" s="5" t="s">
        <v>2921</v>
      </c>
      <c r="AS684" s="5"/>
      <c r="AT684" s="5"/>
      <c r="AU684" s="5"/>
      <c r="AV684" s="5"/>
      <c r="AW684" s="5" t="s">
        <v>1664</v>
      </c>
    </row>
    <row r="685" customFormat="false" ht="113.4" hidden="false" customHeight="false" outlineLevel="0" collapsed="false">
      <c r="A685" s="5" t="s">
        <v>7818</v>
      </c>
      <c r="B685" s="5" t="s">
        <v>7819</v>
      </c>
      <c r="C685" s="5" t="s">
        <v>7528</v>
      </c>
      <c r="D685" s="5" t="s">
        <v>7529</v>
      </c>
      <c r="E685" s="5" t="s">
        <v>626</v>
      </c>
      <c r="F685" s="5" t="s">
        <v>7820</v>
      </c>
      <c r="G685" s="5" t="s">
        <v>7821</v>
      </c>
      <c r="H685" s="5" t="n">
        <v>9</v>
      </c>
      <c r="I685" s="5" t="s">
        <v>603</v>
      </c>
      <c r="J685" s="5" t="s">
        <v>153</v>
      </c>
      <c r="K685" s="5"/>
      <c r="L685" s="5" t="s">
        <v>30</v>
      </c>
      <c r="M685" s="5" t="s">
        <v>155</v>
      </c>
      <c r="N685" s="5" t="s">
        <v>7822</v>
      </c>
      <c r="O685" s="5" t="s">
        <v>570</v>
      </c>
      <c r="P685" s="5" t="s">
        <v>641</v>
      </c>
      <c r="Q685" s="5" t="s">
        <v>519</v>
      </c>
      <c r="R685" s="5" t="s">
        <v>7534</v>
      </c>
      <c r="S685" s="5" t="s">
        <v>7535</v>
      </c>
      <c r="T685" s="5" t="s">
        <v>606</v>
      </c>
      <c r="U685" s="5" t="n">
        <v>365</v>
      </c>
      <c r="V685" s="5" t="s">
        <v>7536</v>
      </c>
      <c r="W685" s="5" t="s">
        <v>7537</v>
      </c>
      <c r="X685" s="5" t="s">
        <v>7823</v>
      </c>
      <c r="Y685" s="5" t="s">
        <v>7824</v>
      </c>
      <c r="Z685" s="5" t="s">
        <v>7825</v>
      </c>
      <c r="AA685" s="5" t="s">
        <v>7826</v>
      </c>
      <c r="AB685" s="5" t="s">
        <v>7827</v>
      </c>
      <c r="AC685" s="5"/>
      <c r="AD685" s="5" t="s">
        <v>7828</v>
      </c>
      <c r="AE685" s="5"/>
      <c r="AF685" s="5" t="s">
        <v>2421</v>
      </c>
      <c r="AG685" s="5" t="s">
        <v>2421</v>
      </c>
      <c r="AH685" s="5"/>
      <c r="AI685" s="5"/>
      <c r="AJ685" s="5"/>
      <c r="AK685" s="5"/>
      <c r="AL685" s="5" t="s">
        <v>2421</v>
      </c>
      <c r="AM685" s="5"/>
      <c r="AN685" s="5"/>
      <c r="AO685" s="5"/>
      <c r="AP685" s="5"/>
      <c r="AQ685" s="5" t="s">
        <v>2421</v>
      </c>
      <c r="AR685" s="5" t="s">
        <v>2197</v>
      </c>
      <c r="AS685" s="5"/>
      <c r="AT685" s="5" t="s">
        <v>7829</v>
      </c>
      <c r="AU685" s="5"/>
      <c r="AV685" s="5" t="s">
        <v>178</v>
      </c>
      <c r="AW685" s="5" t="s">
        <v>1664</v>
      </c>
    </row>
    <row r="686" customFormat="false" ht="180.55" hidden="false" customHeight="false" outlineLevel="0" collapsed="false">
      <c r="A686" s="5" t="s">
        <v>7830</v>
      </c>
      <c r="B686" s="5" t="s">
        <v>7831</v>
      </c>
      <c r="C686" s="5" t="s">
        <v>7832</v>
      </c>
      <c r="D686" s="5" t="s">
        <v>7833</v>
      </c>
      <c r="E686" s="5" t="s">
        <v>149</v>
      </c>
      <c r="F686" s="5" t="s">
        <v>7834</v>
      </c>
      <c r="G686" s="5" t="s">
        <v>7835</v>
      </c>
      <c r="H686" s="5" t="n">
        <v>8</v>
      </c>
      <c r="I686" s="5" t="s">
        <v>152</v>
      </c>
      <c r="J686" s="5" t="s">
        <v>153</v>
      </c>
      <c r="K686" s="5" t="s">
        <v>7836</v>
      </c>
      <c r="L686" s="5" t="s">
        <v>55</v>
      </c>
      <c r="M686" s="5" t="s">
        <v>185</v>
      </c>
      <c r="N686" s="5" t="s">
        <v>7685</v>
      </c>
      <c r="O686" s="5" t="s">
        <v>187</v>
      </c>
      <c r="P686" s="5" t="s">
        <v>158</v>
      </c>
      <c r="Q686" s="5" t="s">
        <v>605</v>
      </c>
      <c r="R686" s="5" t="s">
        <v>7837</v>
      </c>
      <c r="S686" s="5" t="s">
        <v>7838</v>
      </c>
      <c r="T686" s="5" t="s">
        <v>162</v>
      </c>
      <c r="U686" s="5" t="n">
        <v>365</v>
      </c>
      <c r="V686" s="5" t="s">
        <v>7839</v>
      </c>
      <c r="W686" s="5" t="s">
        <v>7840</v>
      </c>
      <c r="X686" s="5" t="s">
        <v>7841</v>
      </c>
      <c r="Y686" s="5" t="s">
        <v>7842</v>
      </c>
      <c r="Z686" s="5" t="s">
        <v>7843</v>
      </c>
      <c r="AA686" s="5"/>
      <c r="AB686" s="5"/>
      <c r="AC686" s="5"/>
      <c r="AD686" s="5"/>
      <c r="AE686" s="5"/>
      <c r="AF686" s="5" t="s">
        <v>7844</v>
      </c>
      <c r="AG686" s="5"/>
      <c r="AH686" s="5"/>
      <c r="AI686" s="5"/>
      <c r="AJ686" s="5"/>
      <c r="AK686" s="5" t="s">
        <v>7845</v>
      </c>
      <c r="AL686" s="5" t="s">
        <v>7844</v>
      </c>
      <c r="AM686" s="5"/>
      <c r="AN686" s="5"/>
      <c r="AO686" s="5"/>
      <c r="AP686" s="5"/>
      <c r="AQ686" s="5" t="s">
        <v>7844</v>
      </c>
      <c r="AR686" s="5" t="s">
        <v>7846</v>
      </c>
      <c r="AS686" s="5" t="s">
        <v>763</v>
      </c>
      <c r="AT686" s="5" t="s">
        <v>7847</v>
      </c>
      <c r="AU686" s="5"/>
      <c r="AV686" s="5" t="s">
        <v>178</v>
      </c>
      <c r="AW686" s="5" t="s">
        <v>7848</v>
      </c>
    </row>
    <row r="687" customFormat="false" ht="180.55" hidden="false" customHeight="false" outlineLevel="0" collapsed="false">
      <c r="A687" s="5" t="s">
        <v>7849</v>
      </c>
      <c r="B687" s="5" t="s">
        <v>7850</v>
      </c>
      <c r="C687" s="5" t="s">
        <v>7832</v>
      </c>
      <c r="D687" s="5" t="s">
        <v>7833</v>
      </c>
      <c r="E687" s="5" t="s">
        <v>626</v>
      </c>
      <c r="F687" s="5" t="s">
        <v>7851</v>
      </c>
      <c r="G687" s="5" t="s">
        <v>7852</v>
      </c>
      <c r="H687" s="5" t="n">
        <v>9</v>
      </c>
      <c r="I687" s="5" t="s">
        <v>152</v>
      </c>
      <c r="J687" s="5" t="s">
        <v>153</v>
      </c>
      <c r="K687" s="5" t="s">
        <v>7853</v>
      </c>
      <c r="L687" s="5" t="s">
        <v>30</v>
      </c>
      <c r="M687" s="5" t="s">
        <v>155</v>
      </c>
      <c r="N687" s="5" t="s">
        <v>933</v>
      </c>
      <c r="O687" s="5" t="s">
        <v>157</v>
      </c>
      <c r="P687" s="5" t="s">
        <v>158</v>
      </c>
      <c r="Q687" s="5" t="s">
        <v>519</v>
      </c>
      <c r="R687" s="5" t="s">
        <v>7837</v>
      </c>
      <c r="S687" s="5" t="s">
        <v>7838</v>
      </c>
      <c r="T687" s="5" t="s">
        <v>162</v>
      </c>
      <c r="U687" s="5" t="n">
        <v>365</v>
      </c>
      <c r="V687" s="5" t="s">
        <v>7839</v>
      </c>
      <c r="W687" s="5" t="s">
        <v>7840</v>
      </c>
      <c r="X687" s="5" t="s">
        <v>7854</v>
      </c>
      <c r="Y687" s="5" t="s">
        <v>7855</v>
      </c>
      <c r="Z687" s="5" t="s">
        <v>7856</v>
      </c>
      <c r="AA687" s="5"/>
      <c r="AB687" s="5"/>
      <c r="AC687" s="5"/>
      <c r="AD687" s="5"/>
      <c r="AE687" s="5"/>
      <c r="AF687" s="5" t="s">
        <v>7857</v>
      </c>
      <c r="AG687" s="5"/>
      <c r="AH687" s="5" t="s">
        <v>7858</v>
      </c>
      <c r="AI687" s="5"/>
      <c r="AJ687" s="5" t="s">
        <v>7859</v>
      </c>
      <c r="AK687" s="5" t="s">
        <v>7845</v>
      </c>
      <c r="AL687" s="5" t="s">
        <v>7857</v>
      </c>
      <c r="AM687" s="5"/>
      <c r="AN687" s="5"/>
      <c r="AO687" s="5"/>
      <c r="AP687" s="5"/>
      <c r="AQ687" s="5"/>
      <c r="AR687" s="5" t="s">
        <v>687</v>
      </c>
      <c r="AS687" s="5" t="s">
        <v>763</v>
      </c>
      <c r="AT687" s="5" t="s">
        <v>7847</v>
      </c>
      <c r="AU687" s="5"/>
      <c r="AV687" s="5" t="s">
        <v>178</v>
      </c>
      <c r="AW687" s="5" t="s">
        <v>7860</v>
      </c>
    </row>
    <row r="688" customFormat="false" ht="102.2" hidden="false" customHeight="false" outlineLevel="0" collapsed="false">
      <c r="A688" s="5" t="s">
        <v>7861</v>
      </c>
      <c r="B688" s="5" t="s">
        <v>7862</v>
      </c>
      <c r="C688" s="5" t="s">
        <v>7832</v>
      </c>
      <c r="D688" s="5" t="s">
        <v>7833</v>
      </c>
      <c r="E688" s="5" t="s">
        <v>626</v>
      </c>
      <c r="F688" s="5" t="s">
        <v>7863</v>
      </c>
      <c r="G688" s="5" t="s">
        <v>7864</v>
      </c>
      <c r="H688" s="5" t="n">
        <v>9</v>
      </c>
      <c r="I688" s="5" t="s">
        <v>152</v>
      </c>
      <c r="J688" s="5" t="s">
        <v>153</v>
      </c>
      <c r="K688" s="5"/>
      <c r="L688" s="5" t="s">
        <v>85</v>
      </c>
      <c r="M688" s="5" t="s">
        <v>185</v>
      </c>
      <c r="N688" s="5" t="s">
        <v>84</v>
      </c>
      <c r="O688" s="5" t="s">
        <v>214</v>
      </c>
      <c r="P688" s="5" t="s">
        <v>158</v>
      </c>
      <c r="Q688" s="5" t="s">
        <v>159</v>
      </c>
      <c r="R688" s="5" t="s">
        <v>7837</v>
      </c>
      <c r="S688" s="5" t="s">
        <v>7838</v>
      </c>
      <c r="T688" s="5" t="s">
        <v>162</v>
      </c>
      <c r="U688" s="5" t="n">
        <v>365</v>
      </c>
      <c r="V688" s="5" t="s">
        <v>7839</v>
      </c>
      <c r="W688" s="5" t="s">
        <v>7840</v>
      </c>
      <c r="X688" s="5" t="s">
        <v>7865</v>
      </c>
      <c r="Y688" s="5" t="s">
        <v>7866</v>
      </c>
      <c r="Z688" s="5" t="s">
        <v>7867</v>
      </c>
      <c r="AA688" s="5"/>
      <c r="AB688" s="5"/>
      <c r="AC688" s="5"/>
      <c r="AD688" s="5"/>
      <c r="AE688" s="5"/>
      <c r="AF688" s="5" t="s">
        <v>7868</v>
      </c>
      <c r="AG688" s="5"/>
      <c r="AH688" s="5"/>
      <c r="AI688" s="5"/>
      <c r="AJ688" s="5"/>
      <c r="AK688" s="5"/>
      <c r="AL688" s="5" t="s">
        <v>7868</v>
      </c>
      <c r="AM688" s="5"/>
      <c r="AN688" s="5"/>
      <c r="AO688" s="5"/>
      <c r="AP688" s="5" t="s">
        <v>970</v>
      </c>
      <c r="AQ688" s="5"/>
      <c r="AR688" s="5" t="s">
        <v>1933</v>
      </c>
      <c r="AS688" s="5"/>
      <c r="AT688" s="5"/>
      <c r="AU688" s="5"/>
      <c r="AV688" s="5"/>
      <c r="AW688" s="5" t="s">
        <v>7869</v>
      </c>
    </row>
    <row r="689" customFormat="false" ht="102.2" hidden="false" customHeight="false" outlineLevel="0" collapsed="false">
      <c r="A689" s="5" t="s">
        <v>7870</v>
      </c>
      <c r="B689" s="5" t="s">
        <v>7871</v>
      </c>
      <c r="C689" s="5" t="s">
        <v>7832</v>
      </c>
      <c r="D689" s="5" t="s">
        <v>7833</v>
      </c>
      <c r="E689" s="5" t="s">
        <v>626</v>
      </c>
      <c r="F689" s="5" t="s">
        <v>7872</v>
      </c>
      <c r="G689" s="5" t="s">
        <v>7873</v>
      </c>
      <c r="H689" s="5" t="n">
        <v>7</v>
      </c>
      <c r="I689" s="5" t="s">
        <v>152</v>
      </c>
      <c r="J689" s="5" t="s">
        <v>153</v>
      </c>
      <c r="K689" s="5" t="s">
        <v>1141</v>
      </c>
      <c r="L689" s="5" t="s">
        <v>68</v>
      </c>
      <c r="M689" s="5" t="s">
        <v>185</v>
      </c>
      <c r="N689" s="5" t="s">
        <v>2914</v>
      </c>
      <c r="O689" s="5" t="s">
        <v>187</v>
      </c>
      <c r="P689" s="5" t="s">
        <v>158</v>
      </c>
      <c r="Q689" s="5" t="s">
        <v>451</v>
      </c>
      <c r="R689" s="5" t="s">
        <v>7837</v>
      </c>
      <c r="S689" s="5" t="s">
        <v>7838</v>
      </c>
      <c r="T689" s="5" t="s">
        <v>162</v>
      </c>
      <c r="U689" s="5" t="n">
        <v>365</v>
      </c>
      <c r="V689" s="5" t="s">
        <v>7839</v>
      </c>
      <c r="W689" s="5" t="s">
        <v>7840</v>
      </c>
      <c r="X689" s="5" t="s">
        <v>7874</v>
      </c>
      <c r="Y689" s="5" t="s">
        <v>7875</v>
      </c>
      <c r="Z689" s="5" t="s">
        <v>7876</v>
      </c>
      <c r="AA689" s="5"/>
      <c r="AB689" s="5"/>
      <c r="AC689" s="5"/>
      <c r="AD689" s="5"/>
      <c r="AE689" s="5"/>
      <c r="AF689" s="5"/>
      <c r="AG689" s="5"/>
      <c r="AH689" s="5"/>
      <c r="AI689" s="5"/>
      <c r="AJ689" s="5"/>
      <c r="AK689" s="5"/>
      <c r="AL689" s="5"/>
      <c r="AM689" s="5"/>
      <c r="AN689" s="5"/>
      <c r="AO689" s="5" t="s">
        <v>7877</v>
      </c>
      <c r="AP689" s="5" t="s">
        <v>7878</v>
      </c>
      <c r="AQ689" s="5"/>
      <c r="AR689" s="5"/>
      <c r="AS689" s="5" t="s">
        <v>763</v>
      </c>
      <c r="AT689" s="5" t="s">
        <v>7847</v>
      </c>
      <c r="AU689" s="5"/>
      <c r="AV689" s="5" t="s">
        <v>178</v>
      </c>
      <c r="AW689" s="5" t="s">
        <v>7848</v>
      </c>
    </row>
    <row r="690" customFormat="false" ht="102.2" hidden="false" customHeight="false" outlineLevel="0" collapsed="false">
      <c r="A690" s="5" t="s">
        <v>7879</v>
      </c>
      <c r="B690" s="5" t="s">
        <v>7880</v>
      </c>
      <c r="C690" s="5" t="s">
        <v>7832</v>
      </c>
      <c r="D690" s="5" t="s">
        <v>7833</v>
      </c>
      <c r="E690" s="5" t="s">
        <v>626</v>
      </c>
      <c r="F690" s="5" t="s">
        <v>7881</v>
      </c>
      <c r="G690" s="5" t="s">
        <v>7882</v>
      </c>
      <c r="H690" s="5" t="n">
        <v>8</v>
      </c>
      <c r="I690" s="5" t="s">
        <v>152</v>
      </c>
      <c r="J690" s="5" t="s">
        <v>153</v>
      </c>
      <c r="K690" s="5" t="s">
        <v>7883</v>
      </c>
      <c r="L690" s="5" t="s">
        <v>85</v>
      </c>
      <c r="M690" s="5" t="s">
        <v>185</v>
      </c>
      <c r="N690" s="5" t="s">
        <v>88</v>
      </c>
      <c r="O690" s="5" t="s">
        <v>214</v>
      </c>
      <c r="P690" s="5" t="s">
        <v>215</v>
      </c>
      <c r="Q690" s="5" t="s">
        <v>440</v>
      </c>
      <c r="R690" s="5" t="s">
        <v>7837</v>
      </c>
      <c r="S690" s="5" t="s">
        <v>7838</v>
      </c>
      <c r="T690" s="5" t="s">
        <v>162</v>
      </c>
      <c r="U690" s="5" t="n">
        <v>365</v>
      </c>
      <c r="V690" s="5" t="s">
        <v>7839</v>
      </c>
      <c r="W690" s="5" t="s">
        <v>7840</v>
      </c>
      <c r="X690" s="5" t="s">
        <v>7884</v>
      </c>
      <c r="Y690" s="5" t="s">
        <v>7885</v>
      </c>
      <c r="Z690" s="5" t="s">
        <v>7886</v>
      </c>
      <c r="AA690" s="5"/>
      <c r="AB690" s="5"/>
      <c r="AC690" s="5"/>
      <c r="AD690" s="5"/>
      <c r="AE690" s="5"/>
      <c r="AF690" s="5" t="s">
        <v>7887</v>
      </c>
      <c r="AG690" s="5"/>
      <c r="AH690" s="5"/>
      <c r="AI690" s="5"/>
      <c r="AJ690" s="5"/>
      <c r="AK690" s="5"/>
      <c r="AL690" s="5" t="s">
        <v>7887</v>
      </c>
      <c r="AM690" s="5"/>
      <c r="AN690" s="5"/>
      <c r="AO690" s="5"/>
      <c r="AP690" s="5"/>
      <c r="AQ690" s="5" t="s">
        <v>7888</v>
      </c>
      <c r="AR690" s="5" t="s">
        <v>7765</v>
      </c>
      <c r="AS690" s="5"/>
      <c r="AT690" s="5"/>
      <c r="AU690" s="5"/>
      <c r="AV690" s="5"/>
      <c r="AW690" s="5" t="s">
        <v>7889</v>
      </c>
    </row>
    <row r="691" customFormat="false" ht="169.4" hidden="false" customHeight="false" outlineLevel="0" collapsed="false">
      <c r="A691" s="5" t="s">
        <v>7890</v>
      </c>
      <c r="B691" s="5" t="s">
        <v>7891</v>
      </c>
      <c r="C691" s="5" t="s">
        <v>7892</v>
      </c>
      <c r="D691" s="5" t="s">
        <v>7893</v>
      </c>
      <c r="E691" s="5" t="s">
        <v>149</v>
      </c>
      <c r="F691" s="5" t="s">
        <v>7894</v>
      </c>
      <c r="G691" s="5" t="s">
        <v>7895</v>
      </c>
      <c r="H691" s="5" t="n">
        <v>8</v>
      </c>
      <c r="I691" s="5" t="s">
        <v>152</v>
      </c>
      <c r="J691" s="5" t="s">
        <v>153</v>
      </c>
      <c r="K691" s="5" t="s">
        <v>7896</v>
      </c>
      <c r="L691" s="5" t="s">
        <v>30</v>
      </c>
      <c r="M691" s="5" t="s">
        <v>155</v>
      </c>
      <c r="N691" s="5" t="s">
        <v>4975</v>
      </c>
      <c r="O691" s="5" t="s">
        <v>157</v>
      </c>
      <c r="P691" s="5" t="s">
        <v>158</v>
      </c>
      <c r="Q691" s="5" t="s">
        <v>159</v>
      </c>
      <c r="R691" s="5" t="s">
        <v>7897</v>
      </c>
      <c r="S691" s="5" t="s">
        <v>7898</v>
      </c>
      <c r="T691" s="5" t="s">
        <v>162</v>
      </c>
      <c r="U691" s="5" t="n">
        <v>365</v>
      </c>
      <c r="V691" s="5" t="s">
        <v>7899</v>
      </c>
      <c r="W691" s="5" t="s">
        <v>7900</v>
      </c>
      <c r="X691" s="5" t="s">
        <v>7901</v>
      </c>
      <c r="Y691" s="5" t="s">
        <v>7902</v>
      </c>
      <c r="Z691" s="5" t="s">
        <v>7903</v>
      </c>
      <c r="AA691" s="5"/>
      <c r="AB691" s="5"/>
      <c r="AC691" s="5"/>
      <c r="AD691" s="5"/>
      <c r="AE691" s="5"/>
      <c r="AF691" s="5" t="s">
        <v>7904</v>
      </c>
      <c r="AG691" s="5" t="s">
        <v>3792</v>
      </c>
      <c r="AH691" s="5" t="s">
        <v>7905</v>
      </c>
      <c r="AI691" s="5" t="s">
        <v>7906</v>
      </c>
      <c r="AJ691" s="5" t="s">
        <v>7907</v>
      </c>
      <c r="AK691" s="5" t="s">
        <v>7908</v>
      </c>
      <c r="AL691" s="5" t="s">
        <v>7904</v>
      </c>
      <c r="AM691" s="5"/>
      <c r="AN691" s="5" t="s">
        <v>7909</v>
      </c>
      <c r="AO691" s="5" t="s">
        <v>7910</v>
      </c>
      <c r="AP691" s="5" t="s">
        <v>7911</v>
      </c>
      <c r="AQ691" s="5" t="s">
        <v>7904</v>
      </c>
      <c r="AR691" s="5" t="s">
        <v>7912</v>
      </c>
      <c r="AS691" s="5" t="s">
        <v>7913</v>
      </c>
      <c r="AT691" s="5" t="s">
        <v>1428</v>
      </c>
      <c r="AU691" s="5"/>
      <c r="AV691" s="5" t="s">
        <v>178</v>
      </c>
      <c r="AW691" s="5" t="s">
        <v>7914</v>
      </c>
    </row>
    <row r="692" customFormat="false" ht="124.6" hidden="false" customHeight="false" outlineLevel="0" collapsed="false">
      <c r="A692" s="5" t="s">
        <v>7915</v>
      </c>
      <c r="B692" s="5" t="s">
        <v>7916</v>
      </c>
      <c r="C692" s="5" t="s">
        <v>7892</v>
      </c>
      <c r="D692" s="5" t="s">
        <v>7893</v>
      </c>
      <c r="E692" s="5" t="s">
        <v>514</v>
      </c>
      <c r="F692" s="5" t="s">
        <v>7917</v>
      </c>
      <c r="G692" s="5" t="s">
        <v>7918</v>
      </c>
      <c r="H692" s="5" t="n">
        <v>6</v>
      </c>
      <c r="I692" s="5" t="s">
        <v>152</v>
      </c>
      <c r="J692" s="5" t="s">
        <v>153</v>
      </c>
      <c r="K692" s="5"/>
      <c r="L692" s="5" t="s">
        <v>55</v>
      </c>
      <c r="M692" s="5" t="s">
        <v>185</v>
      </c>
      <c r="N692" s="5" t="s">
        <v>439</v>
      </c>
      <c r="O692" s="5" t="s">
        <v>187</v>
      </c>
      <c r="P692" s="5" t="s">
        <v>215</v>
      </c>
      <c r="Q692" s="5" t="s">
        <v>159</v>
      </c>
      <c r="R692" s="5" t="s">
        <v>7897</v>
      </c>
      <c r="S692" s="5" t="s">
        <v>7898</v>
      </c>
      <c r="T692" s="5" t="s">
        <v>162</v>
      </c>
      <c r="U692" s="5" t="n">
        <v>365</v>
      </c>
      <c r="V692" s="5" t="s">
        <v>7899</v>
      </c>
      <c r="W692" s="5" t="s">
        <v>7900</v>
      </c>
      <c r="X692" s="5" t="s">
        <v>7919</v>
      </c>
      <c r="Y692" s="5" t="s">
        <v>7920</v>
      </c>
      <c r="Z692" s="5" t="s">
        <v>7921</v>
      </c>
      <c r="AA692" s="5"/>
      <c r="AB692" s="5"/>
      <c r="AC692" s="5"/>
      <c r="AD692" s="5"/>
      <c r="AE692" s="5"/>
      <c r="AF692" s="5"/>
      <c r="AG692" s="5"/>
      <c r="AH692" s="5"/>
      <c r="AI692" s="5"/>
      <c r="AJ692" s="5" t="s">
        <v>7922</v>
      </c>
      <c r="AK692" s="5"/>
      <c r="AL692" s="5"/>
      <c r="AM692" s="5"/>
      <c r="AN692" s="5"/>
      <c r="AO692" s="5"/>
      <c r="AP692" s="5"/>
      <c r="AQ692" s="5"/>
      <c r="AR692" s="5"/>
      <c r="AS692" s="5"/>
      <c r="AT692" s="5"/>
      <c r="AU692" s="5"/>
      <c r="AV692" s="5"/>
      <c r="AW692" s="5" t="s">
        <v>7923</v>
      </c>
    </row>
    <row r="693" customFormat="false" ht="202.95" hidden="false" customHeight="false" outlineLevel="0" collapsed="false">
      <c r="A693" s="5" t="s">
        <v>7924</v>
      </c>
      <c r="B693" s="5" t="s">
        <v>7925</v>
      </c>
      <c r="C693" s="5" t="s">
        <v>7892</v>
      </c>
      <c r="D693" s="5" t="s">
        <v>7893</v>
      </c>
      <c r="E693" s="5" t="s">
        <v>626</v>
      </c>
      <c r="F693" s="5" t="s">
        <v>7926</v>
      </c>
      <c r="G693" s="5" t="s">
        <v>7927</v>
      </c>
      <c r="H693" s="5" t="n">
        <v>8</v>
      </c>
      <c r="I693" s="5" t="s">
        <v>274</v>
      </c>
      <c r="J693" s="5" t="s">
        <v>153</v>
      </c>
      <c r="K693" s="5" t="s">
        <v>7928</v>
      </c>
      <c r="L693" s="5" t="s">
        <v>30</v>
      </c>
      <c r="M693" s="5" t="s">
        <v>155</v>
      </c>
      <c r="N693" s="5" t="s">
        <v>4903</v>
      </c>
      <c r="O693" s="5" t="s">
        <v>157</v>
      </c>
      <c r="P693" s="5" t="s">
        <v>158</v>
      </c>
      <c r="Q693" s="5" t="s">
        <v>3728</v>
      </c>
      <c r="R693" s="5" t="s">
        <v>7897</v>
      </c>
      <c r="S693" s="5" t="s">
        <v>7898</v>
      </c>
      <c r="T693" s="5" t="s">
        <v>277</v>
      </c>
      <c r="U693" s="5" t="n">
        <v>365</v>
      </c>
      <c r="V693" s="5" t="s">
        <v>7899</v>
      </c>
      <c r="W693" s="5" t="s">
        <v>7900</v>
      </c>
      <c r="X693" s="5" t="s">
        <v>7929</v>
      </c>
      <c r="Y693" s="5" t="s">
        <v>7930</v>
      </c>
      <c r="Z693" s="5" t="s">
        <v>7931</v>
      </c>
      <c r="AA693" s="5" t="s">
        <v>3753</v>
      </c>
      <c r="AB693" s="5"/>
      <c r="AC693" s="5"/>
      <c r="AD693" s="5"/>
      <c r="AE693" s="5"/>
      <c r="AF693" s="5" t="s">
        <v>7932</v>
      </c>
      <c r="AG693" s="5" t="s">
        <v>7932</v>
      </c>
      <c r="AH693" s="5" t="s">
        <v>7933</v>
      </c>
      <c r="AI693" s="5" t="s">
        <v>7906</v>
      </c>
      <c r="AJ693" s="5" t="s">
        <v>7934</v>
      </c>
      <c r="AK693" s="5" t="s">
        <v>7935</v>
      </c>
      <c r="AL693" s="5" t="s">
        <v>7932</v>
      </c>
      <c r="AM693" s="5"/>
      <c r="AN693" s="5"/>
      <c r="AO693" s="5" t="s">
        <v>7936</v>
      </c>
      <c r="AP693" s="5" t="s">
        <v>7937</v>
      </c>
      <c r="AQ693" s="5" t="s">
        <v>7932</v>
      </c>
      <c r="AR693" s="5" t="s">
        <v>7938</v>
      </c>
      <c r="AS693" s="5" t="s">
        <v>7913</v>
      </c>
      <c r="AT693" s="5" t="s">
        <v>1428</v>
      </c>
      <c r="AU693" s="5"/>
      <c r="AV693" s="5" t="s">
        <v>178</v>
      </c>
      <c r="AW693" s="5" t="s">
        <v>7939</v>
      </c>
    </row>
    <row r="694" customFormat="false" ht="158.2" hidden="false" customHeight="false" outlineLevel="0" collapsed="false">
      <c r="A694" s="5" t="s">
        <v>7940</v>
      </c>
      <c r="B694" s="5" t="s">
        <v>7941</v>
      </c>
      <c r="C694" s="5" t="s">
        <v>7892</v>
      </c>
      <c r="D694" s="5" t="s">
        <v>7893</v>
      </c>
      <c r="E694" s="5" t="s">
        <v>626</v>
      </c>
      <c r="F694" s="5" t="s">
        <v>7942</v>
      </c>
      <c r="G694" s="5" t="s">
        <v>7943</v>
      </c>
      <c r="H694" s="5" t="n">
        <v>5</v>
      </c>
      <c r="I694" s="5" t="s">
        <v>274</v>
      </c>
      <c r="J694" s="5" t="s">
        <v>153</v>
      </c>
      <c r="K694" s="5" t="s">
        <v>7928</v>
      </c>
      <c r="L694" s="5" t="s">
        <v>30</v>
      </c>
      <c r="M694" s="5" t="s">
        <v>155</v>
      </c>
      <c r="N694" s="5" t="s">
        <v>1030</v>
      </c>
      <c r="O694" s="5" t="s">
        <v>157</v>
      </c>
      <c r="P694" s="5" t="s">
        <v>215</v>
      </c>
      <c r="Q694" s="5" t="s">
        <v>159</v>
      </c>
      <c r="R694" s="5" t="s">
        <v>7897</v>
      </c>
      <c r="S694" s="5" t="s">
        <v>7898</v>
      </c>
      <c r="T694" s="5" t="s">
        <v>277</v>
      </c>
      <c r="U694" s="5" t="n">
        <v>365</v>
      </c>
      <c r="V694" s="5" t="s">
        <v>7899</v>
      </c>
      <c r="W694" s="5" t="s">
        <v>7900</v>
      </c>
      <c r="X694" s="5" t="s">
        <v>7944</v>
      </c>
      <c r="Y694" s="5" t="s">
        <v>7945</v>
      </c>
      <c r="Z694" s="5" t="s">
        <v>7946</v>
      </c>
      <c r="AA694" s="5"/>
      <c r="AB694" s="5"/>
      <c r="AC694" s="5"/>
      <c r="AD694" s="5"/>
      <c r="AE694" s="5"/>
      <c r="AF694" s="5" t="s">
        <v>7947</v>
      </c>
      <c r="AG694" s="5" t="s">
        <v>7947</v>
      </c>
      <c r="AH694" s="5"/>
      <c r="AI694" s="5"/>
      <c r="AJ694" s="5"/>
      <c r="AK694" s="5"/>
      <c r="AL694" s="5" t="s">
        <v>7947</v>
      </c>
      <c r="AM694" s="5" t="s">
        <v>7947</v>
      </c>
      <c r="AN694" s="5"/>
      <c r="AO694" s="5"/>
      <c r="AP694" s="5"/>
      <c r="AQ694" s="5"/>
      <c r="AR694" s="5" t="s">
        <v>7938</v>
      </c>
      <c r="AS694" s="5"/>
      <c r="AT694" s="5"/>
      <c r="AU694" s="5"/>
      <c r="AV694" s="5" t="s">
        <v>178</v>
      </c>
      <c r="AW694" s="5" t="s">
        <v>7948</v>
      </c>
    </row>
    <row r="695" customFormat="false" ht="180.55" hidden="false" customHeight="false" outlineLevel="0" collapsed="false">
      <c r="A695" s="5" t="s">
        <v>7949</v>
      </c>
      <c r="B695" s="5" t="s">
        <v>7950</v>
      </c>
      <c r="C695" s="5" t="s">
        <v>7892</v>
      </c>
      <c r="D695" s="5" t="s">
        <v>7893</v>
      </c>
      <c r="E695" s="5" t="s">
        <v>626</v>
      </c>
      <c r="F695" s="5" t="s">
        <v>7951</v>
      </c>
      <c r="G695" s="5" t="s">
        <v>7952</v>
      </c>
      <c r="H695" s="5" t="n">
        <v>8</v>
      </c>
      <c r="I695" s="5" t="s">
        <v>274</v>
      </c>
      <c r="J695" s="5" t="s">
        <v>153</v>
      </c>
      <c r="K695" s="5" t="s">
        <v>7953</v>
      </c>
      <c r="L695" s="5" t="s">
        <v>30</v>
      </c>
      <c r="M695" s="5" t="s">
        <v>155</v>
      </c>
      <c r="N695" s="5" t="s">
        <v>7954</v>
      </c>
      <c r="O695" s="5" t="s">
        <v>157</v>
      </c>
      <c r="P695" s="5" t="s">
        <v>158</v>
      </c>
      <c r="Q695" s="5" t="s">
        <v>3728</v>
      </c>
      <c r="R695" s="5" t="s">
        <v>7897</v>
      </c>
      <c r="S695" s="5" t="s">
        <v>7898</v>
      </c>
      <c r="T695" s="5" t="s">
        <v>277</v>
      </c>
      <c r="U695" s="5" t="n">
        <v>365</v>
      </c>
      <c r="V695" s="5" t="s">
        <v>7899</v>
      </c>
      <c r="W695" s="5" t="s">
        <v>7900</v>
      </c>
      <c r="X695" s="5" t="s">
        <v>7955</v>
      </c>
      <c r="Y695" s="5" t="s">
        <v>7956</v>
      </c>
      <c r="Z695" s="5" t="s">
        <v>7957</v>
      </c>
      <c r="AA695" s="5" t="s">
        <v>7958</v>
      </c>
      <c r="AB695" s="5"/>
      <c r="AC695" s="5" t="s">
        <v>7959</v>
      </c>
      <c r="AD695" s="5"/>
      <c r="AE695" s="5"/>
      <c r="AF695" s="5" t="s">
        <v>7960</v>
      </c>
      <c r="AG695" s="5" t="s">
        <v>7961</v>
      </c>
      <c r="AH695" s="5" t="s">
        <v>7962</v>
      </c>
      <c r="AI695" s="5" t="s">
        <v>7963</v>
      </c>
      <c r="AJ695" s="5" t="s">
        <v>7964</v>
      </c>
      <c r="AK695" s="5" t="s">
        <v>7965</v>
      </c>
      <c r="AL695" s="5" t="s">
        <v>7960</v>
      </c>
      <c r="AM695" s="5"/>
      <c r="AN695" s="5" t="s">
        <v>7966</v>
      </c>
      <c r="AO695" s="5" t="s">
        <v>7910</v>
      </c>
      <c r="AP695" s="5" t="s">
        <v>7937</v>
      </c>
      <c r="AQ695" s="5" t="s">
        <v>7961</v>
      </c>
      <c r="AR695" s="5" t="s">
        <v>7938</v>
      </c>
      <c r="AS695" s="5"/>
      <c r="AT695" s="5" t="s">
        <v>7967</v>
      </c>
      <c r="AU695" s="5"/>
      <c r="AV695" s="5" t="s">
        <v>178</v>
      </c>
      <c r="AW695" s="5" t="s">
        <v>7968</v>
      </c>
    </row>
    <row r="696" customFormat="false" ht="113.4" hidden="false" customHeight="false" outlineLevel="0" collapsed="false">
      <c r="A696" s="5" t="s">
        <v>7969</v>
      </c>
      <c r="B696" s="5" t="s">
        <v>7970</v>
      </c>
      <c r="C696" s="5" t="s">
        <v>7892</v>
      </c>
      <c r="D696" s="5" t="s">
        <v>7893</v>
      </c>
      <c r="E696" s="5" t="s">
        <v>626</v>
      </c>
      <c r="F696" s="5" t="s">
        <v>7971</v>
      </c>
      <c r="G696" s="5" t="s">
        <v>7972</v>
      </c>
      <c r="H696" s="5" t="n">
        <v>9</v>
      </c>
      <c r="I696" s="5" t="s">
        <v>274</v>
      </c>
      <c r="J696" s="5" t="s">
        <v>153</v>
      </c>
      <c r="K696" s="5"/>
      <c r="L696" s="5" t="s">
        <v>30</v>
      </c>
      <c r="M696" s="5" t="s">
        <v>155</v>
      </c>
      <c r="N696" s="5" t="s">
        <v>42</v>
      </c>
      <c r="O696" s="5" t="s">
        <v>157</v>
      </c>
      <c r="P696" s="5" t="s">
        <v>158</v>
      </c>
      <c r="Q696" s="5" t="s">
        <v>605</v>
      </c>
      <c r="R696" s="5" t="s">
        <v>7897</v>
      </c>
      <c r="S696" s="5" t="s">
        <v>7898</v>
      </c>
      <c r="T696" s="5" t="s">
        <v>277</v>
      </c>
      <c r="U696" s="5" t="n">
        <v>365</v>
      </c>
      <c r="V696" s="5" t="s">
        <v>7899</v>
      </c>
      <c r="W696" s="5" t="s">
        <v>7900</v>
      </c>
      <c r="X696" s="5" t="s">
        <v>7973</v>
      </c>
      <c r="Y696" s="5" t="s">
        <v>7974</v>
      </c>
      <c r="Z696" s="5" t="s">
        <v>7975</v>
      </c>
      <c r="AA696" s="5"/>
      <c r="AB696" s="5"/>
      <c r="AC696" s="5"/>
      <c r="AD696" s="5"/>
      <c r="AE696" s="5"/>
      <c r="AF696" s="5" t="s">
        <v>7976</v>
      </c>
      <c r="AG696" s="5" t="s">
        <v>7977</v>
      </c>
      <c r="AH696" s="5"/>
      <c r="AI696" s="5"/>
      <c r="AJ696" s="5"/>
      <c r="AK696" s="5"/>
      <c r="AL696" s="5" t="s">
        <v>7976</v>
      </c>
      <c r="AM696" s="5"/>
      <c r="AN696" s="5"/>
      <c r="AO696" s="5"/>
      <c r="AP696" s="5"/>
      <c r="AQ696" s="5"/>
      <c r="AR696" s="5" t="s">
        <v>7938</v>
      </c>
      <c r="AS696" s="5"/>
      <c r="AT696" s="5"/>
      <c r="AU696" s="5"/>
      <c r="AV696" s="5" t="s">
        <v>178</v>
      </c>
      <c r="AW696" s="5" t="s">
        <v>7978</v>
      </c>
    </row>
    <row r="697" customFormat="false" ht="113.4" hidden="false" customHeight="false" outlineLevel="0" collapsed="false">
      <c r="A697" s="5" t="s">
        <v>7979</v>
      </c>
      <c r="B697" s="5" t="s">
        <v>7980</v>
      </c>
      <c r="C697" s="5" t="s">
        <v>7892</v>
      </c>
      <c r="D697" s="5" t="s">
        <v>7893</v>
      </c>
      <c r="E697" s="5" t="s">
        <v>626</v>
      </c>
      <c r="F697" s="5" t="s">
        <v>7981</v>
      </c>
      <c r="G697" s="5" t="s">
        <v>7982</v>
      </c>
      <c r="H697" s="5" t="n">
        <v>9</v>
      </c>
      <c r="I697" s="5" t="s">
        <v>274</v>
      </c>
      <c r="J697" s="5" t="s">
        <v>153</v>
      </c>
      <c r="K697" s="5"/>
      <c r="L697" s="5" t="s">
        <v>68</v>
      </c>
      <c r="M697" s="5" t="s">
        <v>185</v>
      </c>
      <c r="N697" s="5" t="s">
        <v>2038</v>
      </c>
      <c r="O697" s="5" t="s">
        <v>187</v>
      </c>
      <c r="P697" s="5" t="s">
        <v>158</v>
      </c>
      <c r="Q697" s="5" t="s">
        <v>519</v>
      </c>
      <c r="R697" s="5" t="s">
        <v>7897</v>
      </c>
      <c r="S697" s="5" t="s">
        <v>7898</v>
      </c>
      <c r="T697" s="5" t="s">
        <v>277</v>
      </c>
      <c r="U697" s="5" t="n">
        <v>365</v>
      </c>
      <c r="V697" s="5" t="s">
        <v>7899</v>
      </c>
      <c r="W697" s="5" t="s">
        <v>7900</v>
      </c>
      <c r="X697" s="5" t="s">
        <v>7983</v>
      </c>
      <c r="Y697" s="5" t="s">
        <v>7984</v>
      </c>
      <c r="Z697" s="5" t="s">
        <v>7985</v>
      </c>
      <c r="AA697" s="5"/>
      <c r="AB697" s="5"/>
      <c r="AC697" s="5"/>
      <c r="AD697" s="5"/>
      <c r="AE697" s="5"/>
      <c r="AF697" s="5" t="s">
        <v>7986</v>
      </c>
      <c r="AG697" s="5"/>
      <c r="AH697" s="5"/>
      <c r="AI697" s="5"/>
      <c r="AJ697" s="5"/>
      <c r="AK697" s="5"/>
      <c r="AL697" s="5" t="s">
        <v>7986</v>
      </c>
      <c r="AM697" s="5"/>
      <c r="AN697" s="5"/>
      <c r="AO697" s="5" t="s">
        <v>7936</v>
      </c>
      <c r="AP697" s="5"/>
      <c r="AQ697" s="5" t="s">
        <v>7986</v>
      </c>
      <c r="AR697" s="5" t="s">
        <v>7938</v>
      </c>
      <c r="AS697" s="5"/>
      <c r="AT697" s="5"/>
      <c r="AU697" s="5"/>
      <c r="AV697" s="5" t="s">
        <v>178</v>
      </c>
      <c r="AW697" s="5" t="s">
        <v>7987</v>
      </c>
    </row>
    <row r="698" customFormat="false" ht="124.6" hidden="false" customHeight="false" outlineLevel="0" collapsed="false">
      <c r="A698" s="5" t="s">
        <v>7988</v>
      </c>
      <c r="B698" s="5" t="s">
        <v>7989</v>
      </c>
      <c r="C698" s="5" t="s">
        <v>7892</v>
      </c>
      <c r="D698" s="5" t="s">
        <v>7893</v>
      </c>
      <c r="E698" s="5" t="s">
        <v>626</v>
      </c>
      <c r="F698" s="5" t="s">
        <v>7990</v>
      </c>
      <c r="G698" s="5" t="s">
        <v>7991</v>
      </c>
      <c r="H698" s="5" t="n">
        <v>7</v>
      </c>
      <c r="I698" s="5" t="s">
        <v>274</v>
      </c>
      <c r="J698" s="5" t="s">
        <v>153</v>
      </c>
      <c r="K698" s="5" t="s">
        <v>7992</v>
      </c>
      <c r="L698" s="5" t="s">
        <v>30</v>
      </c>
      <c r="M698" s="5" t="s">
        <v>155</v>
      </c>
      <c r="N698" s="5" t="s">
        <v>836</v>
      </c>
      <c r="O698" s="5" t="s">
        <v>157</v>
      </c>
      <c r="P698" s="5" t="s">
        <v>215</v>
      </c>
      <c r="Q698" s="5" t="s">
        <v>159</v>
      </c>
      <c r="R698" s="5" t="s">
        <v>7897</v>
      </c>
      <c r="S698" s="5" t="s">
        <v>7898</v>
      </c>
      <c r="T698" s="5" t="s">
        <v>277</v>
      </c>
      <c r="U698" s="5" t="n">
        <v>365</v>
      </c>
      <c r="V698" s="5" t="s">
        <v>7899</v>
      </c>
      <c r="W698" s="5" t="s">
        <v>7900</v>
      </c>
      <c r="X698" s="5" t="s">
        <v>7993</v>
      </c>
      <c r="Y698" s="5" t="s">
        <v>7994</v>
      </c>
      <c r="Z698" s="5" t="s">
        <v>7995</v>
      </c>
      <c r="AA698" s="5"/>
      <c r="AB698" s="5"/>
      <c r="AC698" s="5"/>
      <c r="AD698" s="5"/>
      <c r="AE698" s="5"/>
      <c r="AF698" s="5"/>
      <c r="AG698" s="5"/>
      <c r="AH698" s="5"/>
      <c r="AI698" s="5" t="s">
        <v>7996</v>
      </c>
      <c r="AJ698" s="5"/>
      <c r="AK698" s="5"/>
      <c r="AL698" s="5"/>
      <c r="AM698" s="5"/>
      <c r="AN698" s="5"/>
      <c r="AO698" s="5"/>
      <c r="AP698" s="5"/>
      <c r="AQ698" s="5"/>
      <c r="AR698" s="5"/>
      <c r="AS698" s="5"/>
      <c r="AT698" s="5"/>
      <c r="AU698" s="5"/>
      <c r="AV698" s="5"/>
      <c r="AW698" s="5" t="s">
        <v>7997</v>
      </c>
    </row>
    <row r="699" customFormat="false" ht="113.4" hidden="false" customHeight="false" outlineLevel="0" collapsed="false">
      <c r="A699" s="5" t="s">
        <v>7998</v>
      </c>
      <c r="B699" s="5" t="s">
        <v>7999</v>
      </c>
      <c r="C699" s="5" t="s">
        <v>7892</v>
      </c>
      <c r="D699" s="5" t="s">
        <v>7893</v>
      </c>
      <c r="E699" s="5" t="s">
        <v>626</v>
      </c>
      <c r="F699" s="5" t="s">
        <v>8000</v>
      </c>
      <c r="G699" s="5" t="s">
        <v>8001</v>
      </c>
      <c r="H699" s="5" t="n">
        <v>9</v>
      </c>
      <c r="I699" s="5" t="s">
        <v>274</v>
      </c>
      <c r="J699" s="5" t="s">
        <v>153</v>
      </c>
      <c r="K699" s="5" t="s">
        <v>7953</v>
      </c>
      <c r="L699" s="5" t="s">
        <v>30</v>
      </c>
      <c r="M699" s="5" t="s">
        <v>155</v>
      </c>
      <c r="N699" s="5" t="s">
        <v>2854</v>
      </c>
      <c r="O699" s="5" t="s">
        <v>157</v>
      </c>
      <c r="P699" s="5" t="s">
        <v>158</v>
      </c>
      <c r="Q699" s="5" t="s">
        <v>519</v>
      </c>
      <c r="R699" s="5" t="s">
        <v>7897</v>
      </c>
      <c r="S699" s="5" t="s">
        <v>7898</v>
      </c>
      <c r="T699" s="5" t="s">
        <v>277</v>
      </c>
      <c r="U699" s="5" t="n">
        <v>365</v>
      </c>
      <c r="V699" s="5" t="s">
        <v>7899</v>
      </c>
      <c r="W699" s="5" t="s">
        <v>7900</v>
      </c>
      <c r="X699" s="5" t="s">
        <v>8002</v>
      </c>
      <c r="Y699" s="5" t="s">
        <v>8003</v>
      </c>
      <c r="Z699" s="5" t="s">
        <v>8004</v>
      </c>
      <c r="AA699" s="5"/>
      <c r="AB699" s="5"/>
      <c r="AC699" s="5"/>
      <c r="AD699" s="5"/>
      <c r="AE699" s="5"/>
      <c r="AF699" s="5"/>
      <c r="AG699" s="5"/>
      <c r="AH699" s="5"/>
      <c r="AI699" s="5" t="s">
        <v>7996</v>
      </c>
      <c r="AJ699" s="5"/>
      <c r="AK699" s="5" t="s">
        <v>8005</v>
      </c>
      <c r="AL699" s="5"/>
      <c r="AM699" s="5"/>
      <c r="AN699" s="5"/>
      <c r="AO699" s="5"/>
      <c r="AP699" s="5"/>
      <c r="AQ699" s="5"/>
      <c r="AR699" s="5"/>
      <c r="AS699" s="5"/>
      <c r="AT699" s="5"/>
      <c r="AU699" s="5"/>
      <c r="AV699" s="5" t="s">
        <v>178</v>
      </c>
      <c r="AW699" s="5" t="s">
        <v>8006</v>
      </c>
    </row>
    <row r="700" customFormat="false" ht="124.6" hidden="false" customHeight="false" outlineLevel="0" collapsed="false">
      <c r="A700" s="5" t="s">
        <v>8007</v>
      </c>
      <c r="B700" s="5" t="s">
        <v>8008</v>
      </c>
      <c r="C700" s="5" t="s">
        <v>7892</v>
      </c>
      <c r="D700" s="5" t="s">
        <v>7893</v>
      </c>
      <c r="E700" s="5" t="s">
        <v>514</v>
      </c>
      <c r="F700" s="5" t="s">
        <v>8009</v>
      </c>
      <c r="G700" s="5" t="s">
        <v>8010</v>
      </c>
      <c r="H700" s="5" t="n">
        <v>8</v>
      </c>
      <c r="I700" s="5" t="s">
        <v>274</v>
      </c>
      <c r="J700" s="5" t="s">
        <v>153</v>
      </c>
      <c r="K700" s="5" t="s">
        <v>8011</v>
      </c>
      <c r="L700" s="5" t="s">
        <v>30</v>
      </c>
      <c r="M700" s="5" t="s">
        <v>155</v>
      </c>
      <c r="N700" s="5" t="s">
        <v>8012</v>
      </c>
      <c r="O700" s="5" t="s">
        <v>157</v>
      </c>
      <c r="P700" s="5" t="s">
        <v>158</v>
      </c>
      <c r="Q700" s="5" t="s">
        <v>605</v>
      </c>
      <c r="R700" s="5" t="s">
        <v>7897</v>
      </c>
      <c r="S700" s="5" t="s">
        <v>7898</v>
      </c>
      <c r="T700" s="5" t="s">
        <v>277</v>
      </c>
      <c r="U700" s="5" t="n">
        <v>365</v>
      </c>
      <c r="V700" s="5" t="s">
        <v>7899</v>
      </c>
      <c r="W700" s="5" t="s">
        <v>7900</v>
      </c>
      <c r="X700" s="5" t="s">
        <v>8013</v>
      </c>
      <c r="Y700" s="5" t="s">
        <v>8014</v>
      </c>
      <c r="Z700" s="5" t="s">
        <v>8015</v>
      </c>
      <c r="AA700" s="5"/>
      <c r="AB700" s="5"/>
      <c r="AC700" s="5"/>
      <c r="AD700" s="5"/>
      <c r="AE700" s="5"/>
      <c r="AF700" s="5" t="s">
        <v>8016</v>
      </c>
      <c r="AG700" s="5"/>
      <c r="AH700" s="5"/>
      <c r="AI700" s="5" t="s">
        <v>7906</v>
      </c>
      <c r="AJ700" s="5"/>
      <c r="AK700" s="5" t="s">
        <v>8017</v>
      </c>
      <c r="AL700" s="5" t="s">
        <v>8016</v>
      </c>
      <c r="AM700" s="5"/>
      <c r="AN700" s="5"/>
      <c r="AO700" s="5" t="s">
        <v>7936</v>
      </c>
      <c r="AP700" s="5"/>
      <c r="AQ700" s="5"/>
      <c r="AR700" s="5" t="s">
        <v>7938</v>
      </c>
      <c r="AS700" s="5"/>
      <c r="AT700" s="5"/>
      <c r="AU700" s="5"/>
      <c r="AV700" s="5" t="s">
        <v>178</v>
      </c>
      <c r="AW700" s="5" t="s">
        <v>8018</v>
      </c>
    </row>
    <row r="701" customFormat="false" ht="124.6" hidden="false" customHeight="false" outlineLevel="0" collapsed="false">
      <c r="A701" s="5" t="s">
        <v>8019</v>
      </c>
      <c r="B701" s="5" t="s">
        <v>8020</v>
      </c>
      <c r="C701" s="5" t="s">
        <v>7892</v>
      </c>
      <c r="D701" s="5" t="s">
        <v>7893</v>
      </c>
      <c r="E701" s="5" t="s">
        <v>514</v>
      </c>
      <c r="F701" s="5" t="s">
        <v>8021</v>
      </c>
      <c r="G701" s="5" t="s">
        <v>8022</v>
      </c>
      <c r="H701" s="5" t="n">
        <v>8</v>
      </c>
      <c r="I701" s="5" t="s">
        <v>274</v>
      </c>
      <c r="J701" s="5" t="s">
        <v>153</v>
      </c>
      <c r="K701" s="5" t="s">
        <v>8023</v>
      </c>
      <c r="L701" s="5" t="s">
        <v>55</v>
      </c>
      <c r="M701" s="5" t="s">
        <v>185</v>
      </c>
      <c r="N701" s="5" t="s">
        <v>54</v>
      </c>
      <c r="O701" s="5" t="s">
        <v>187</v>
      </c>
      <c r="P701" s="5" t="s">
        <v>158</v>
      </c>
      <c r="Q701" s="5" t="s">
        <v>159</v>
      </c>
      <c r="R701" s="5" t="s">
        <v>7897</v>
      </c>
      <c r="S701" s="5" t="s">
        <v>7898</v>
      </c>
      <c r="T701" s="5" t="s">
        <v>277</v>
      </c>
      <c r="U701" s="5" t="n">
        <v>365</v>
      </c>
      <c r="V701" s="5" t="s">
        <v>7899</v>
      </c>
      <c r="W701" s="5" t="s">
        <v>7900</v>
      </c>
      <c r="X701" s="5" t="s">
        <v>8024</v>
      </c>
      <c r="Y701" s="5" t="s">
        <v>8025</v>
      </c>
      <c r="Z701" s="5" t="s">
        <v>8026</v>
      </c>
      <c r="AA701" s="5"/>
      <c r="AB701" s="5"/>
      <c r="AC701" s="5"/>
      <c r="AD701" s="5"/>
      <c r="AE701" s="5"/>
      <c r="AF701" s="5"/>
      <c r="AG701" s="5"/>
      <c r="AH701" s="5"/>
      <c r="AI701" s="5"/>
      <c r="AJ701" s="5"/>
      <c r="AK701" s="5" t="s">
        <v>8005</v>
      </c>
      <c r="AL701" s="5"/>
      <c r="AM701" s="5"/>
      <c r="AN701" s="5"/>
      <c r="AO701" s="5"/>
      <c r="AP701" s="5"/>
      <c r="AQ701" s="5"/>
      <c r="AR701" s="5"/>
      <c r="AS701" s="5"/>
      <c r="AT701" s="5"/>
      <c r="AU701" s="5"/>
      <c r="AV701" s="5" t="s">
        <v>178</v>
      </c>
      <c r="AW701" s="5" t="s">
        <v>8027</v>
      </c>
    </row>
    <row r="702" customFormat="false" ht="124.6" hidden="false" customHeight="false" outlineLevel="0" collapsed="false">
      <c r="A702" s="5" t="s">
        <v>8028</v>
      </c>
      <c r="B702" s="5" t="s">
        <v>8029</v>
      </c>
      <c r="C702" s="5" t="s">
        <v>7892</v>
      </c>
      <c r="D702" s="5" t="s">
        <v>7893</v>
      </c>
      <c r="E702" s="5" t="s">
        <v>626</v>
      </c>
      <c r="F702" s="5" t="s">
        <v>8030</v>
      </c>
      <c r="G702" s="5" t="s">
        <v>8031</v>
      </c>
      <c r="H702" s="5" t="n">
        <v>9</v>
      </c>
      <c r="I702" s="5" t="s">
        <v>152</v>
      </c>
      <c r="J702" s="5" t="s">
        <v>153</v>
      </c>
      <c r="K702" s="5" t="s">
        <v>8032</v>
      </c>
      <c r="L702" s="5" t="s">
        <v>30</v>
      </c>
      <c r="M702" s="5" t="s">
        <v>155</v>
      </c>
      <c r="N702" s="5" t="s">
        <v>619</v>
      </c>
      <c r="O702" s="5" t="s">
        <v>157</v>
      </c>
      <c r="P702" s="5" t="s">
        <v>215</v>
      </c>
      <c r="Q702" s="5" t="s">
        <v>159</v>
      </c>
      <c r="R702" s="5" t="s">
        <v>7897</v>
      </c>
      <c r="S702" s="5" t="s">
        <v>7898</v>
      </c>
      <c r="T702" s="5" t="s">
        <v>162</v>
      </c>
      <c r="U702" s="5" t="n">
        <v>365</v>
      </c>
      <c r="V702" s="5" t="s">
        <v>7899</v>
      </c>
      <c r="W702" s="5" t="s">
        <v>7900</v>
      </c>
      <c r="X702" s="5" t="s">
        <v>8033</v>
      </c>
      <c r="Y702" s="5" t="s">
        <v>8034</v>
      </c>
      <c r="Z702" s="5" t="s">
        <v>8035</v>
      </c>
      <c r="AA702" s="5"/>
      <c r="AB702" s="5"/>
      <c r="AC702" s="5"/>
      <c r="AD702" s="5"/>
      <c r="AE702" s="5"/>
      <c r="AF702" s="5" t="s">
        <v>8036</v>
      </c>
      <c r="AG702" s="5" t="s">
        <v>8036</v>
      </c>
      <c r="AH702" s="5"/>
      <c r="AI702" s="5"/>
      <c r="AJ702" s="5"/>
      <c r="AK702" s="5"/>
      <c r="AL702" s="5" t="s">
        <v>8036</v>
      </c>
      <c r="AM702" s="5"/>
      <c r="AN702" s="5" t="s">
        <v>8037</v>
      </c>
      <c r="AO702" s="5"/>
      <c r="AP702" s="5"/>
      <c r="AQ702" s="5" t="s">
        <v>8036</v>
      </c>
      <c r="AR702" s="5" t="s">
        <v>7938</v>
      </c>
      <c r="AS702" s="5"/>
      <c r="AT702" s="5"/>
      <c r="AU702" s="5"/>
      <c r="AV702" s="5" t="s">
        <v>178</v>
      </c>
      <c r="AW702" s="5" t="s">
        <v>7968</v>
      </c>
    </row>
    <row r="703" customFormat="false" ht="124.6" hidden="false" customHeight="false" outlineLevel="0" collapsed="false">
      <c r="A703" s="5" t="s">
        <v>8038</v>
      </c>
      <c r="B703" s="5" t="s">
        <v>8039</v>
      </c>
      <c r="C703" s="5" t="s">
        <v>7892</v>
      </c>
      <c r="D703" s="5" t="s">
        <v>7893</v>
      </c>
      <c r="E703" s="5" t="s">
        <v>514</v>
      </c>
      <c r="F703" s="5" t="s">
        <v>8040</v>
      </c>
      <c r="G703" s="5" t="s">
        <v>8041</v>
      </c>
      <c r="H703" s="5" t="n">
        <v>3</v>
      </c>
      <c r="I703" s="5" t="s">
        <v>152</v>
      </c>
      <c r="J703" s="5" t="s">
        <v>153</v>
      </c>
      <c r="K703" s="5"/>
      <c r="L703" s="5" t="s">
        <v>30</v>
      </c>
      <c r="M703" s="5" t="s">
        <v>155</v>
      </c>
      <c r="N703" s="5" t="s">
        <v>836</v>
      </c>
      <c r="O703" s="5" t="s">
        <v>157</v>
      </c>
      <c r="P703" s="5" t="s">
        <v>215</v>
      </c>
      <c r="Q703" s="5" t="s">
        <v>159</v>
      </c>
      <c r="R703" s="5" t="s">
        <v>7897</v>
      </c>
      <c r="S703" s="5" t="s">
        <v>7898</v>
      </c>
      <c r="T703" s="5" t="s">
        <v>162</v>
      </c>
      <c r="U703" s="5" t="n">
        <v>365</v>
      </c>
      <c r="V703" s="5" t="s">
        <v>7899</v>
      </c>
      <c r="W703" s="5" t="s">
        <v>7900</v>
      </c>
      <c r="X703" s="5" t="s">
        <v>8042</v>
      </c>
      <c r="Y703" s="5" t="s">
        <v>8043</v>
      </c>
      <c r="Z703" s="5" t="s">
        <v>8044</v>
      </c>
      <c r="AA703" s="5"/>
      <c r="AB703" s="5"/>
      <c r="AC703" s="5"/>
      <c r="AD703" s="5"/>
      <c r="AE703" s="5"/>
      <c r="AF703" s="5"/>
      <c r="AG703" s="5"/>
      <c r="AH703" s="5"/>
      <c r="AI703" s="5" t="s">
        <v>3278</v>
      </c>
      <c r="AJ703" s="5"/>
      <c r="AK703" s="5"/>
      <c r="AL703" s="5"/>
      <c r="AM703" s="5"/>
      <c r="AN703" s="5"/>
      <c r="AO703" s="5"/>
      <c r="AP703" s="5"/>
      <c r="AQ703" s="5"/>
      <c r="AR703" s="5"/>
      <c r="AS703" s="5"/>
      <c r="AT703" s="5"/>
      <c r="AU703" s="5"/>
      <c r="AV703" s="5"/>
      <c r="AW703" s="5" t="s">
        <v>8045</v>
      </c>
    </row>
    <row r="704" customFormat="false" ht="236.55" hidden="false" customHeight="false" outlineLevel="0" collapsed="false">
      <c r="A704" s="5" t="s">
        <v>8046</v>
      </c>
      <c r="B704" s="5" t="s">
        <v>8047</v>
      </c>
      <c r="C704" s="5" t="s">
        <v>8047</v>
      </c>
      <c r="D704" s="5" t="s">
        <v>8048</v>
      </c>
      <c r="E704" s="5" t="s">
        <v>149</v>
      </c>
      <c r="F704" s="5" t="s">
        <v>8049</v>
      </c>
      <c r="G704" s="5" t="s">
        <v>8050</v>
      </c>
      <c r="H704" s="5" t="n">
        <v>10</v>
      </c>
      <c r="I704" s="5" t="s">
        <v>152</v>
      </c>
      <c r="J704" s="5" t="s">
        <v>153</v>
      </c>
      <c r="K704" s="5" t="s">
        <v>8051</v>
      </c>
      <c r="L704" s="5" t="s">
        <v>30</v>
      </c>
      <c r="M704" s="5" t="s">
        <v>155</v>
      </c>
      <c r="N704" s="5" t="s">
        <v>8052</v>
      </c>
      <c r="O704" s="5" t="s">
        <v>157</v>
      </c>
      <c r="P704" s="5" t="s">
        <v>158</v>
      </c>
      <c r="Q704" s="5" t="s">
        <v>159</v>
      </c>
      <c r="R704" s="5" t="s">
        <v>8053</v>
      </c>
      <c r="S704" s="5" t="s">
        <v>8054</v>
      </c>
      <c r="T704" s="5" t="s">
        <v>162</v>
      </c>
      <c r="U704" s="5" t="n">
        <v>365</v>
      </c>
      <c r="V704" s="5" t="s">
        <v>8055</v>
      </c>
      <c r="W704" s="5" t="s">
        <v>8056</v>
      </c>
      <c r="X704" s="5" t="s">
        <v>8057</v>
      </c>
      <c r="Y704" s="5" t="s">
        <v>8058</v>
      </c>
      <c r="Z704" s="5" t="s">
        <v>8059</v>
      </c>
      <c r="AA704" s="5" t="s">
        <v>8060</v>
      </c>
      <c r="AB704" s="5"/>
      <c r="AC704" s="5"/>
      <c r="AD704" s="5"/>
      <c r="AE704" s="5"/>
      <c r="AF704" s="5" t="s">
        <v>8061</v>
      </c>
      <c r="AG704" s="5" t="s">
        <v>8062</v>
      </c>
      <c r="AH704" s="5"/>
      <c r="AI704" s="5"/>
      <c r="AJ704" s="5" t="s">
        <v>8063</v>
      </c>
      <c r="AK704" s="5" t="s">
        <v>8064</v>
      </c>
      <c r="AL704" s="5" t="s">
        <v>8061</v>
      </c>
      <c r="AM704" s="5"/>
      <c r="AN704" s="5" t="s">
        <v>8065</v>
      </c>
      <c r="AO704" s="5" t="s">
        <v>8066</v>
      </c>
      <c r="AP704" s="5"/>
      <c r="AQ704" s="5" t="s">
        <v>8061</v>
      </c>
      <c r="AR704" s="5" t="s">
        <v>725</v>
      </c>
      <c r="AS704" s="5"/>
      <c r="AT704" s="5" t="s">
        <v>8067</v>
      </c>
      <c r="AU704" s="5"/>
      <c r="AV704" s="5" t="s">
        <v>178</v>
      </c>
      <c r="AW704" s="5" t="s">
        <v>8068</v>
      </c>
    </row>
    <row r="705" customFormat="false" ht="169.4" hidden="false" customHeight="false" outlineLevel="0" collapsed="false">
      <c r="A705" s="5" t="s">
        <v>8069</v>
      </c>
      <c r="B705" s="5" t="s">
        <v>8070</v>
      </c>
      <c r="C705" s="5" t="s">
        <v>8047</v>
      </c>
      <c r="D705" s="5" t="s">
        <v>8048</v>
      </c>
      <c r="E705" s="5" t="s">
        <v>626</v>
      </c>
      <c r="F705" s="5" t="s">
        <v>8071</v>
      </c>
      <c r="G705" s="5" t="s">
        <v>8072</v>
      </c>
      <c r="H705" s="5" t="n">
        <v>10</v>
      </c>
      <c r="I705" s="5" t="s">
        <v>152</v>
      </c>
      <c r="J705" s="5" t="s">
        <v>153</v>
      </c>
      <c r="K705" s="5" t="s">
        <v>8073</v>
      </c>
      <c r="L705" s="5" t="s">
        <v>30</v>
      </c>
      <c r="M705" s="5" t="s">
        <v>155</v>
      </c>
      <c r="N705" s="5" t="s">
        <v>8074</v>
      </c>
      <c r="O705" s="5" t="s">
        <v>570</v>
      </c>
      <c r="P705" s="5" t="s">
        <v>158</v>
      </c>
      <c r="Q705" s="5" t="s">
        <v>399</v>
      </c>
      <c r="R705" s="5" t="s">
        <v>8053</v>
      </c>
      <c r="S705" s="5" t="s">
        <v>8054</v>
      </c>
      <c r="T705" s="5" t="s">
        <v>162</v>
      </c>
      <c r="U705" s="5" t="n">
        <v>365</v>
      </c>
      <c r="V705" s="5" t="s">
        <v>8055</v>
      </c>
      <c r="W705" s="5" t="s">
        <v>8056</v>
      </c>
      <c r="X705" s="5" t="s">
        <v>8075</v>
      </c>
      <c r="Y705" s="5" t="s">
        <v>8076</v>
      </c>
      <c r="Z705" s="5" t="s">
        <v>8077</v>
      </c>
      <c r="AA705" s="5"/>
      <c r="AB705" s="5"/>
      <c r="AC705" s="5" t="s">
        <v>8078</v>
      </c>
      <c r="AD705" s="5" t="s">
        <v>8079</v>
      </c>
      <c r="AE705" s="5"/>
      <c r="AF705" s="5" t="s">
        <v>8080</v>
      </c>
      <c r="AG705" s="5"/>
      <c r="AH705" s="5"/>
      <c r="AI705" s="5"/>
      <c r="AJ705" s="5" t="s">
        <v>8081</v>
      </c>
      <c r="AK705" s="5" t="s">
        <v>8082</v>
      </c>
      <c r="AL705" s="5" t="s">
        <v>8080</v>
      </c>
      <c r="AM705" s="5"/>
      <c r="AN705" s="5"/>
      <c r="AO705" s="5"/>
      <c r="AP705" s="5" t="s">
        <v>8083</v>
      </c>
      <c r="AQ705" s="5" t="s">
        <v>8080</v>
      </c>
      <c r="AR705" s="5" t="s">
        <v>687</v>
      </c>
      <c r="AS705" s="5"/>
      <c r="AT705" s="5"/>
      <c r="AU705" s="5"/>
      <c r="AV705" s="5" t="s">
        <v>178</v>
      </c>
      <c r="AW705" s="5" t="s">
        <v>7166</v>
      </c>
    </row>
    <row r="706" customFormat="false" ht="113.4" hidden="false" customHeight="false" outlineLevel="0" collapsed="false">
      <c r="A706" s="5" t="s">
        <v>8084</v>
      </c>
      <c r="B706" s="5" t="s">
        <v>8085</v>
      </c>
      <c r="C706" s="5" t="s">
        <v>8047</v>
      </c>
      <c r="D706" s="5" t="s">
        <v>8048</v>
      </c>
      <c r="E706" s="5" t="s">
        <v>626</v>
      </c>
      <c r="F706" s="5" t="s">
        <v>8086</v>
      </c>
      <c r="G706" s="5" t="s">
        <v>8087</v>
      </c>
      <c r="H706" s="5" t="n">
        <v>5</v>
      </c>
      <c r="I706" s="5" t="s">
        <v>152</v>
      </c>
      <c r="J706" s="5" t="s">
        <v>652</v>
      </c>
      <c r="K706" s="5" t="s">
        <v>8088</v>
      </c>
      <c r="L706" s="5" t="s">
        <v>55</v>
      </c>
      <c r="M706" s="5" t="s">
        <v>185</v>
      </c>
      <c r="N706" s="5" t="s">
        <v>54</v>
      </c>
      <c r="O706" s="5" t="s">
        <v>187</v>
      </c>
      <c r="P706" s="5" t="s">
        <v>215</v>
      </c>
      <c r="Q706" s="5" t="s">
        <v>399</v>
      </c>
      <c r="R706" s="5" t="s">
        <v>8053</v>
      </c>
      <c r="S706" s="5" t="s">
        <v>8054</v>
      </c>
      <c r="T706" s="5" t="s">
        <v>162</v>
      </c>
      <c r="U706" s="5" t="n">
        <v>180</v>
      </c>
      <c r="V706" s="5" t="s">
        <v>8055</v>
      </c>
      <c r="W706" s="5" t="s">
        <v>8056</v>
      </c>
      <c r="X706" s="5" t="s">
        <v>8089</v>
      </c>
      <c r="Y706" s="5" t="s">
        <v>8090</v>
      </c>
      <c r="Z706" s="5" t="s">
        <v>8091</v>
      </c>
      <c r="AA706" s="5"/>
      <c r="AB706" s="5"/>
      <c r="AC706" s="5"/>
      <c r="AD706" s="5"/>
      <c r="AE706" s="5"/>
      <c r="AF706" s="5"/>
      <c r="AG706" s="5"/>
      <c r="AH706" s="5"/>
      <c r="AI706" s="5"/>
      <c r="AJ706" s="5"/>
      <c r="AK706" s="5" t="s">
        <v>809</v>
      </c>
      <c r="AL706" s="5"/>
      <c r="AM706" s="5"/>
      <c r="AN706" s="5"/>
      <c r="AO706" s="5"/>
      <c r="AP706" s="5"/>
      <c r="AQ706" s="5"/>
      <c r="AR706" s="5"/>
      <c r="AS706" s="5"/>
      <c r="AT706" s="5"/>
      <c r="AU706" s="5"/>
      <c r="AV706" s="5" t="s">
        <v>178</v>
      </c>
      <c r="AW706" s="5" t="s">
        <v>8092</v>
      </c>
    </row>
    <row r="707" customFormat="false" ht="303.7" hidden="false" customHeight="false" outlineLevel="0" collapsed="false">
      <c r="A707" s="5" t="s">
        <v>8093</v>
      </c>
      <c r="B707" s="5" t="s">
        <v>8094</v>
      </c>
      <c r="C707" s="5" t="s">
        <v>8047</v>
      </c>
      <c r="D707" s="5" t="s">
        <v>8048</v>
      </c>
      <c r="E707" s="5" t="s">
        <v>626</v>
      </c>
      <c r="F707" s="5" t="s">
        <v>8095</v>
      </c>
      <c r="G707" s="5" t="s">
        <v>8096</v>
      </c>
      <c r="H707" s="5" t="n">
        <v>9</v>
      </c>
      <c r="I707" s="5" t="s">
        <v>152</v>
      </c>
      <c r="J707" s="5" t="s">
        <v>153</v>
      </c>
      <c r="K707" s="5" t="s">
        <v>8097</v>
      </c>
      <c r="L707" s="5" t="s">
        <v>30</v>
      </c>
      <c r="M707" s="5" t="s">
        <v>155</v>
      </c>
      <c r="N707" s="5" t="s">
        <v>8098</v>
      </c>
      <c r="O707" s="5" t="s">
        <v>157</v>
      </c>
      <c r="P707" s="5" t="s">
        <v>158</v>
      </c>
      <c r="Q707" s="5" t="s">
        <v>440</v>
      </c>
      <c r="R707" s="5" t="s">
        <v>8053</v>
      </c>
      <c r="S707" s="5" t="s">
        <v>8054</v>
      </c>
      <c r="T707" s="5" t="s">
        <v>162</v>
      </c>
      <c r="U707" s="5" t="n">
        <v>365</v>
      </c>
      <c r="V707" s="5" t="s">
        <v>8055</v>
      </c>
      <c r="W707" s="5" t="s">
        <v>8056</v>
      </c>
      <c r="X707" s="5" t="s">
        <v>8099</v>
      </c>
      <c r="Y707" s="5" t="s">
        <v>8100</v>
      </c>
      <c r="Z707" s="5" t="s">
        <v>8101</v>
      </c>
      <c r="AA707" s="5"/>
      <c r="AB707" s="5"/>
      <c r="AC707" s="5" t="s">
        <v>8102</v>
      </c>
      <c r="AD707" s="5"/>
      <c r="AE707" s="5" t="s">
        <v>7541</v>
      </c>
      <c r="AF707" s="5" t="s">
        <v>8103</v>
      </c>
      <c r="AG707" s="5" t="s">
        <v>8103</v>
      </c>
      <c r="AH707" s="5"/>
      <c r="AI707" s="5"/>
      <c r="AJ707" s="5" t="s">
        <v>8104</v>
      </c>
      <c r="AK707" s="5"/>
      <c r="AL707" s="5" t="s">
        <v>8103</v>
      </c>
      <c r="AM707" s="5"/>
      <c r="AN707" s="5" t="s">
        <v>8105</v>
      </c>
      <c r="AO707" s="5" t="s">
        <v>8106</v>
      </c>
      <c r="AP707" s="5"/>
      <c r="AQ707" s="5" t="s">
        <v>8103</v>
      </c>
      <c r="AR707" s="5" t="s">
        <v>687</v>
      </c>
      <c r="AS707" s="5"/>
      <c r="AT707" s="5" t="s">
        <v>8107</v>
      </c>
      <c r="AU707" s="5"/>
      <c r="AV707" s="5" t="s">
        <v>178</v>
      </c>
      <c r="AW707" s="5" t="s">
        <v>7166</v>
      </c>
    </row>
    <row r="708" customFormat="false" ht="147" hidden="false" customHeight="false" outlineLevel="0" collapsed="false">
      <c r="A708" s="5" t="s">
        <v>8108</v>
      </c>
      <c r="B708" s="5" t="s">
        <v>8109</v>
      </c>
      <c r="C708" s="5" t="s">
        <v>8047</v>
      </c>
      <c r="D708" s="5" t="s">
        <v>8048</v>
      </c>
      <c r="E708" s="5" t="s">
        <v>626</v>
      </c>
      <c r="F708" s="5" t="s">
        <v>8110</v>
      </c>
      <c r="G708" s="5" t="s">
        <v>8111</v>
      </c>
      <c r="H708" s="5" t="n">
        <v>8</v>
      </c>
      <c r="I708" s="5" t="s">
        <v>152</v>
      </c>
      <c r="J708" s="5" t="s">
        <v>153</v>
      </c>
      <c r="K708" s="5" t="s">
        <v>8112</v>
      </c>
      <c r="L708" s="5" t="s">
        <v>30</v>
      </c>
      <c r="M708" s="5" t="s">
        <v>155</v>
      </c>
      <c r="N708" s="5" t="s">
        <v>5479</v>
      </c>
      <c r="O708" s="5" t="s">
        <v>157</v>
      </c>
      <c r="P708" s="5" t="s">
        <v>215</v>
      </c>
      <c r="Q708" s="5" t="s">
        <v>399</v>
      </c>
      <c r="R708" s="5" t="s">
        <v>8053</v>
      </c>
      <c r="S708" s="5" t="s">
        <v>8054</v>
      </c>
      <c r="T708" s="5" t="s">
        <v>162</v>
      </c>
      <c r="U708" s="5" t="n">
        <v>365</v>
      </c>
      <c r="V708" s="5" t="s">
        <v>8055</v>
      </c>
      <c r="W708" s="5" t="s">
        <v>8056</v>
      </c>
      <c r="X708" s="5" t="s">
        <v>8113</v>
      </c>
      <c r="Y708" s="5" t="s">
        <v>8114</v>
      </c>
      <c r="Z708" s="5" t="s">
        <v>8115</v>
      </c>
      <c r="AA708" s="5"/>
      <c r="AB708" s="5"/>
      <c r="AC708" s="5"/>
      <c r="AD708" s="5"/>
      <c r="AE708" s="5" t="s">
        <v>683</v>
      </c>
      <c r="AF708" s="5" t="s">
        <v>8116</v>
      </c>
      <c r="AG708" s="5" t="s">
        <v>8116</v>
      </c>
      <c r="AH708" s="5"/>
      <c r="AI708" s="5"/>
      <c r="AJ708" s="5"/>
      <c r="AK708" s="5"/>
      <c r="AL708" s="5" t="s">
        <v>8116</v>
      </c>
      <c r="AM708" s="5" t="s">
        <v>8116</v>
      </c>
      <c r="AN708" s="5"/>
      <c r="AO708" s="5"/>
      <c r="AP708" s="5"/>
      <c r="AQ708" s="5"/>
      <c r="AR708" s="5" t="s">
        <v>687</v>
      </c>
      <c r="AS708" s="5"/>
      <c r="AT708" s="5"/>
      <c r="AU708" s="5"/>
      <c r="AV708" s="5"/>
      <c r="AW708" s="5" t="s">
        <v>8117</v>
      </c>
    </row>
    <row r="709" customFormat="false" ht="124.6" hidden="false" customHeight="false" outlineLevel="0" collapsed="false">
      <c r="A709" s="5" t="s">
        <v>8118</v>
      </c>
      <c r="B709" s="5" t="s">
        <v>8119</v>
      </c>
      <c r="C709" s="5" t="s">
        <v>8047</v>
      </c>
      <c r="D709" s="5" t="s">
        <v>8048</v>
      </c>
      <c r="E709" s="5" t="s">
        <v>626</v>
      </c>
      <c r="F709" s="5" t="s">
        <v>8120</v>
      </c>
      <c r="G709" s="5" t="s">
        <v>8121</v>
      </c>
      <c r="H709" s="5" t="n">
        <v>2</v>
      </c>
      <c r="I709" s="5" t="s">
        <v>152</v>
      </c>
      <c r="J709" s="5" t="s">
        <v>153</v>
      </c>
      <c r="K709" s="5"/>
      <c r="L709" s="5" t="s">
        <v>30</v>
      </c>
      <c r="M709" s="5" t="s">
        <v>155</v>
      </c>
      <c r="N709" s="5" t="s">
        <v>398</v>
      </c>
      <c r="O709" s="5" t="s">
        <v>157</v>
      </c>
      <c r="P709" s="5" t="s">
        <v>215</v>
      </c>
      <c r="Q709" s="5" t="s">
        <v>399</v>
      </c>
      <c r="R709" s="5" t="s">
        <v>8053</v>
      </c>
      <c r="S709" s="5" t="s">
        <v>8054</v>
      </c>
      <c r="T709" s="5" t="s">
        <v>162</v>
      </c>
      <c r="U709" s="5" t="n">
        <v>365</v>
      </c>
      <c r="V709" s="5" t="s">
        <v>8055</v>
      </c>
      <c r="W709" s="5" t="s">
        <v>8056</v>
      </c>
      <c r="X709" s="5" t="s">
        <v>8122</v>
      </c>
      <c r="Y709" s="5" t="s">
        <v>8123</v>
      </c>
      <c r="Z709" s="5" t="s">
        <v>8124</v>
      </c>
      <c r="AA709" s="5"/>
      <c r="AB709" s="5"/>
      <c r="AC709" s="5"/>
      <c r="AD709" s="5"/>
      <c r="AE709" s="5"/>
      <c r="AF709" s="5" t="s">
        <v>8125</v>
      </c>
      <c r="AG709" s="5" t="s">
        <v>8126</v>
      </c>
      <c r="AH709" s="5"/>
      <c r="AI709" s="5"/>
      <c r="AJ709" s="5"/>
      <c r="AK709" s="5"/>
      <c r="AL709" s="5" t="s">
        <v>8125</v>
      </c>
      <c r="AM709" s="5"/>
      <c r="AN709" s="5"/>
      <c r="AO709" s="5"/>
      <c r="AP709" s="5"/>
      <c r="AQ709" s="5" t="s">
        <v>4221</v>
      </c>
      <c r="AR709" s="5" t="s">
        <v>8127</v>
      </c>
      <c r="AS709" s="5"/>
      <c r="AT709" s="5"/>
      <c r="AU709" s="5"/>
      <c r="AV709" s="5"/>
      <c r="AW709" s="5" t="s">
        <v>8128</v>
      </c>
    </row>
    <row r="710" customFormat="false" ht="158.2" hidden="false" customHeight="false" outlineLevel="0" collapsed="false">
      <c r="A710" s="5" t="s">
        <v>8129</v>
      </c>
      <c r="B710" s="5" t="s">
        <v>8130</v>
      </c>
      <c r="C710" s="5" t="s">
        <v>8047</v>
      </c>
      <c r="D710" s="5" t="s">
        <v>8048</v>
      </c>
      <c r="E710" s="5" t="s">
        <v>514</v>
      </c>
      <c r="F710" s="5" t="s">
        <v>8131</v>
      </c>
      <c r="G710" s="5" t="s">
        <v>8132</v>
      </c>
      <c r="H710" s="5" t="n">
        <v>5</v>
      </c>
      <c r="I710" s="5" t="s">
        <v>152</v>
      </c>
      <c r="J710" s="5" t="s">
        <v>153</v>
      </c>
      <c r="K710" s="5" t="s">
        <v>8133</v>
      </c>
      <c r="L710" s="5" t="s">
        <v>68</v>
      </c>
      <c r="M710" s="5" t="s">
        <v>185</v>
      </c>
      <c r="N710" s="5" t="s">
        <v>2038</v>
      </c>
      <c r="O710" s="5" t="s">
        <v>187</v>
      </c>
      <c r="P710" s="5" t="s">
        <v>215</v>
      </c>
      <c r="Q710" s="5" t="s">
        <v>399</v>
      </c>
      <c r="R710" s="5" t="s">
        <v>8053</v>
      </c>
      <c r="S710" s="5" t="s">
        <v>8054</v>
      </c>
      <c r="T710" s="5" t="s">
        <v>162</v>
      </c>
      <c r="U710" s="5" t="n">
        <v>365</v>
      </c>
      <c r="V710" s="5" t="s">
        <v>8055</v>
      </c>
      <c r="W710" s="5" t="s">
        <v>8056</v>
      </c>
      <c r="X710" s="5" t="s">
        <v>8134</v>
      </c>
      <c r="Y710" s="5" t="s">
        <v>8135</v>
      </c>
      <c r="Z710" s="5" t="s">
        <v>8136</v>
      </c>
      <c r="AA710" s="5"/>
      <c r="AB710" s="5"/>
      <c r="AC710" s="5"/>
      <c r="AD710" s="5"/>
      <c r="AE710" s="5"/>
      <c r="AF710" s="5" t="s">
        <v>8137</v>
      </c>
      <c r="AG710" s="5"/>
      <c r="AH710" s="5"/>
      <c r="AI710" s="5"/>
      <c r="AJ710" s="5"/>
      <c r="AK710" s="5"/>
      <c r="AL710" s="5" t="s">
        <v>8137</v>
      </c>
      <c r="AM710" s="5"/>
      <c r="AN710" s="5"/>
      <c r="AO710" s="5" t="s">
        <v>8106</v>
      </c>
      <c r="AP710" s="5"/>
      <c r="AQ710" s="5" t="s">
        <v>8137</v>
      </c>
      <c r="AR710" s="5" t="s">
        <v>8138</v>
      </c>
      <c r="AS710" s="5"/>
      <c r="AT710" s="5" t="s">
        <v>8139</v>
      </c>
      <c r="AU710" s="5"/>
      <c r="AV710" s="5" t="s">
        <v>178</v>
      </c>
      <c r="AW710" s="5" t="s">
        <v>8068</v>
      </c>
    </row>
    <row r="711" customFormat="false" ht="124.6" hidden="false" customHeight="false" outlineLevel="0" collapsed="false">
      <c r="A711" s="5" t="s">
        <v>8140</v>
      </c>
      <c r="B711" s="5" t="s">
        <v>8141</v>
      </c>
      <c r="C711" s="5" t="s">
        <v>8047</v>
      </c>
      <c r="D711" s="5" t="s">
        <v>8048</v>
      </c>
      <c r="E711" s="5" t="s">
        <v>514</v>
      </c>
      <c r="F711" s="5" t="s">
        <v>8142</v>
      </c>
      <c r="G711" s="5" t="s">
        <v>8143</v>
      </c>
      <c r="H711" s="5" t="n">
        <v>10</v>
      </c>
      <c r="I711" s="5" t="s">
        <v>152</v>
      </c>
      <c r="J711" s="5" t="s">
        <v>153</v>
      </c>
      <c r="K711" s="5"/>
      <c r="L711" s="5" t="s">
        <v>68</v>
      </c>
      <c r="M711" s="5" t="s">
        <v>185</v>
      </c>
      <c r="N711" s="5" t="s">
        <v>126</v>
      </c>
      <c r="O711" s="5" t="s">
        <v>187</v>
      </c>
      <c r="P711" s="5" t="s">
        <v>215</v>
      </c>
      <c r="Q711" s="5" t="s">
        <v>399</v>
      </c>
      <c r="R711" s="5" t="s">
        <v>8053</v>
      </c>
      <c r="S711" s="5" t="s">
        <v>8054</v>
      </c>
      <c r="T711" s="5" t="s">
        <v>162</v>
      </c>
      <c r="U711" s="5" t="n">
        <v>365</v>
      </c>
      <c r="V711" s="5" t="s">
        <v>8055</v>
      </c>
      <c r="W711" s="5" t="s">
        <v>8056</v>
      </c>
      <c r="X711" s="5" t="s">
        <v>8144</v>
      </c>
      <c r="Y711" s="5" t="s">
        <v>8145</v>
      </c>
      <c r="Z711" s="5" t="s">
        <v>8146</v>
      </c>
      <c r="AA711" s="5"/>
      <c r="AB711" s="5"/>
      <c r="AC711" s="5" t="s">
        <v>8147</v>
      </c>
      <c r="AD711" s="5"/>
      <c r="AE711" s="5"/>
      <c r="AF711" s="5" t="s">
        <v>8148</v>
      </c>
      <c r="AG711" s="5"/>
      <c r="AH711" s="5"/>
      <c r="AI711" s="5"/>
      <c r="AJ711" s="5"/>
      <c r="AK711" s="5"/>
      <c r="AL711" s="5" t="s">
        <v>8148</v>
      </c>
      <c r="AM711" s="5"/>
      <c r="AN711" s="5"/>
      <c r="AO711" s="5"/>
      <c r="AP711" s="5"/>
      <c r="AQ711" s="5"/>
      <c r="AR711" s="5" t="s">
        <v>687</v>
      </c>
      <c r="AS711" s="5"/>
      <c r="AT711" s="5"/>
      <c r="AU711" s="5"/>
      <c r="AV711" s="5"/>
      <c r="AW711" s="5" t="s">
        <v>8149</v>
      </c>
    </row>
    <row r="712" customFormat="false" ht="124.6" hidden="false" customHeight="false" outlineLevel="0" collapsed="false">
      <c r="A712" s="5" t="s">
        <v>8150</v>
      </c>
      <c r="B712" s="5" t="s">
        <v>8151</v>
      </c>
      <c r="C712" s="5" t="s">
        <v>8047</v>
      </c>
      <c r="D712" s="5" t="s">
        <v>8048</v>
      </c>
      <c r="E712" s="5" t="s">
        <v>626</v>
      </c>
      <c r="F712" s="5" t="s">
        <v>8152</v>
      </c>
      <c r="G712" s="5" t="s">
        <v>8153</v>
      </c>
      <c r="H712" s="5" t="n">
        <v>9</v>
      </c>
      <c r="I712" s="5" t="s">
        <v>603</v>
      </c>
      <c r="J712" s="5" t="s">
        <v>153</v>
      </c>
      <c r="K712" s="5"/>
      <c r="L712" s="5" t="s">
        <v>68</v>
      </c>
      <c r="M712" s="5" t="s">
        <v>185</v>
      </c>
      <c r="N712" s="5" t="s">
        <v>126</v>
      </c>
      <c r="O712" s="5" t="s">
        <v>187</v>
      </c>
      <c r="P712" s="5" t="s">
        <v>215</v>
      </c>
      <c r="Q712" s="5" t="s">
        <v>399</v>
      </c>
      <c r="R712" s="5" t="s">
        <v>8053</v>
      </c>
      <c r="S712" s="5" t="s">
        <v>8054</v>
      </c>
      <c r="T712" s="5" t="s">
        <v>606</v>
      </c>
      <c r="U712" s="5" t="n">
        <v>365</v>
      </c>
      <c r="V712" s="5" t="s">
        <v>8055</v>
      </c>
      <c r="W712" s="5" t="s">
        <v>8056</v>
      </c>
      <c r="X712" s="5" t="s">
        <v>8154</v>
      </c>
      <c r="Y712" s="5" t="s">
        <v>8155</v>
      </c>
      <c r="Z712" s="5" t="s">
        <v>8156</v>
      </c>
      <c r="AA712" s="5"/>
      <c r="AB712" s="5"/>
      <c r="AC712" s="5" t="s">
        <v>8157</v>
      </c>
      <c r="AD712" s="5"/>
      <c r="AE712" s="5"/>
      <c r="AF712" s="5"/>
      <c r="AG712" s="5"/>
      <c r="AH712" s="5"/>
      <c r="AI712" s="5"/>
      <c r="AJ712" s="5"/>
      <c r="AK712" s="5"/>
      <c r="AL712" s="5"/>
      <c r="AM712" s="5"/>
      <c r="AN712" s="5"/>
      <c r="AO712" s="5"/>
      <c r="AP712" s="5"/>
      <c r="AQ712" s="5"/>
      <c r="AR712" s="5"/>
      <c r="AS712" s="5"/>
      <c r="AT712" s="5"/>
      <c r="AU712" s="5"/>
      <c r="AV712" s="5"/>
      <c r="AW712" s="5" t="s">
        <v>8158</v>
      </c>
    </row>
    <row r="713" customFormat="false" ht="124.6" hidden="false" customHeight="false" outlineLevel="0" collapsed="false">
      <c r="A713" s="5" t="s">
        <v>8159</v>
      </c>
      <c r="B713" s="5" t="s">
        <v>8160</v>
      </c>
      <c r="C713" s="5" t="s">
        <v>8047</v>
      </c>
      <c r="D713" s="5" t="s">
        <v>8048</v>
      </c>
      <c r="E713" s="5" t="s">
        <v>626</v>
      </c>
      <c r="F713" s="5" t="s">
        <v>8161</v>
      </c>
      <c r="G713" s="5" t="s">
        <v>8162</v>
      </c>
      <c r="H713" s="5" t="n">
        <v>9</v>
      </c>
      <c r="I713" s="5" t="s">
        <v>152</v>
      </c>
      <c r="J713" s="5" t="s">
        <v>557</v>
      </c>
      <c r="K713" s="5"/>
      <c r="L713" s="5" t="s">
        <v>68</v>
      </c>
      <c r="M713" s="5" t="s">
        <v>185</v>
      </c>
      <c r="N713" s="5" t="s">
        <v>126</v>
      </c>
      <c r="O713" s="5" t="s">
        <v>187</v>
      </c>
      <c r="P713" s="5" t="s">
        <v>215</v>
      </c>
      <c r="Q713" s="5" t="s">
        <v>399</v>
      </c>
      <c r="R713" s="5" t="s">
        <v>8053</v>
      </c>
      <c r="S713" s="5" t="s">
        <v>8054</v>
      </c>
      <c r="T713" s="5" t="s">
        <v>162</v>
      </c>
      <c r="U713" s="5" t="n">
        <v>90</v>
      </c>
      <c r="V713" s="5" t="s">
        <v>8055</v>
      </c>
      <c r="W713" s="5" t="s">
        <v>8056</v>
      </c>
      <c r="X713" s="5" t="s">
        <v>8163</v>
      </c>
      <c r="Y713" s="5" t="s">
        <v>8164</v>
      </c>
      <c r="Z713" s="5" t="s">
        <v>8165</v>
      </c>
      <c r="AA713" s="5"/>
      <c r="AB713" s="5"/>
      <c r="AC713" s="5" t="s">
        <v>8166</v>
      </c>
      <c r="AD713" s="5"/>
      <c r="AE713" s="5"/>
      <c r="AF713" s="5"/>
      <c r="AG713" s="5"/>
      <c r="AH713" s="5"/>
      <c r="AI713" s="5"/>
      <c r="AJ713" s="5"/>
      <c r="AK713" s="5"/>
      <c r="AL713" s="5"/>
      <c r="AM713" s="5"/>
      <c r="AN713" s="5"/>
      <c r="AO713" s="5"/>
      <c r="AP713" s="5"/>
      <c r="AQ713" s="5"/>
      <c r="AR713" s="5"/>
      <c r="AS713" s="5"/>
      <c r="AT713" s="5"/>
      <c r="AU713" s="5"/>
      <c r="AV713" s="5"/>
      <c r="AW713" s="5" t="s">
        <v>8167</v>
      </c>
    </row>
    <row r="714" customFormat="false" ht="158.2" hidden="false" customHeight="false" outlineLevel="0" collapsed="false">
      <c r="A714" s="5" t="s">
        <v>8168</v>
      </c>
      <c r="B714" s="5" t="s">
        <v>8169</v>
      </c>
      <c r="C714" s="5" t="s">
        <v>8047</v>
      </c>
      <c r="D714" s="5" t="s">
        <v>8048</v>
      </c>
      <c r="E714" s="5" t="s">
        <v>626</v>
      </c>
      <c r="F714" s="5" t="s">
        <v>8170</v>
      </c>
      <c r="G714" s="5" t="s">
        <v>8171</v>
      </c>
      <c r="H714" s="5" t="n">
        <v>5</v>
      </c>
      <c r="I714" s="5" t="s">
        <v>152</v>
      </c>
      <c r="J714" s="5" t="s">
        <v>153</v>
      </c>
      <c r="K714" s="5"/>
      <c r="L714" s="5" t="s">
        <v>30</v>
      </c>
      <c r="M714" s="5" t="s">
        <v>155</v>
      </c>
      <c r="N714" s="5" t="s">
        <v>8172</v>
      </c>
      <c r="O714" s="5" t="s">
        <v>157</v>
      </c>
      <c r="P714" s="5" t="s">
        <v>215</v>
      </c>
      <c r="Q714" s="5" t="s">
        <v>399</v>
      </c>
      <c r="R714" s="5" t="s">
        <v>8053</v>
      </c>
      <c r="S714" s="5" t="s">
        <v>8054</v>
      </c>
      <c r="T714" s="5" t="s">
        <v>162</v>
      </c>
      <c r="U714" s="5" t="n">
        <v>365</v>
      </c>
      <c r="V714" s="5" t="s">
        <v>8055</v>
      </c>
      <c r="W714" s="5" t="s">
        <v>8056</v>
      </c>
      <c r="X714" s="5" t="s">
        <v>8173</v>
      </c>
      <c r="Y714" s="5" t="s">
        <v>8174</v>
      </c>
      <c r="Z714" s="5" t="s">
        <v>8175</v>
      </c>
      <c r="AA714" s="5"/>
      <c r="AB714" s="5"/>
      <c r="AC714" s="5" t="s">
        <v>8176</v>
      </c>
      <c r="AD714" s="5"/>
      <c r="AE714" s="5"/>
      <c r="AF714" s="5"/>
      <c r="AG714" s="5"/>
      <c r="AH714" s="5" t="s">
        <v>8177</v>
      </c>
      <c r="AI714" s="5"/>
      <c r="AJ714" s="5"/>
      <c r="AK714" s="5"/>
      <c r="AL714" s="5"/>
      <c r="AM714" s="5"/>
      <c r="AN714" s="5"/>
      <c r="AO714" s="5"/>
      <c r="AP714" s="5"/>
      <c r="AQ714" s="5"/>
      <c r="AR714" s="5"/>
      <c r="AS714" s="5"/>
      <c r="AT714" s="5"/>
      <c r="AU714" s="5"/>
      <c r="AV714" s="5"/>
      <c r="AW714" s="5" t="s">
        <v>8178</v>
      </c>
    </row>
    <row r="715" customFormat="false" ht="147" hidden="false" customHeight="false" outlineLevel="0" collapsed="false">
      <c r="A715" s="5" t="s">
        <v>8179</v>
      </c>
      <c r="B715" s="5" t="s">
        <v>8180</v>
      </c>
      <c r="C715" s="5" t="s">
        <v>8047</v>
      </c>
      <c r="D715" s="5" t="s">
        <v>8048</v>
      </c>
      <c r="E715" s="5" t="s">
        <v>626</v>
      </c>
      <c r="F715" s="5" t="s">
        <v>8181</v>
      </c>
      <c r="G715" s="5" t="s">
        <v>8182</v>
      </c>
      <c r="H715" s="5" t="n">
        <v>3</v>
      </c>
      <c r="I715" s="5" t="s">
        <v>152</v>
      </c>
      <c r="J715" s="5" t="s">
        <v>153</v>
      </c>
      <c r="K715" s="5"/>
      <c r="L715" s="5" t="s">
        <v>85</v>
      </c>
      <c r="M715" s="5" t="s">
        <v>185</v>
      </c>
      <c r="N715" s="5" t="s">
        <v>88</v>
      </c>
      <c r="O715" s="5" t="s">
        <v>214</v>
      </c>
      <c r="P715" s="5" t="s">
        <v>215</v>
      </c>
      <c r="Q715" s="5" t="s">
        <v>399</v>
      </c>
      <c r="R715" s="5" t="s">
        <v>8053</v>
      </c>
      <c r="S715" s="5" t="s">
        <v>8054</v>
      </c>
      <c r="T715" s="5" t="s">
        <v>162</v>
      </c>
      <c r="U715" s="5" t="n">
        <v>365</v>
      </c>
      <c r="V715" s="5" t="s">
        <v>8055</v>
      </c>
      <c r="W715" s="5" t="s">
        <v>8056</v>
      </c>
      <c r="X715" s="5" t="s">
        <v>8183</v>
      </c>
      <c r="Y715" s="5" t="s">
        <v>8184</v>
      </c>
      <c r="Z715" s="5" t="s">
        <v>8185</v>
      </c>
      <c r="AA715" s="5"/>
      <c r="AB715" s="5"/>
      <c r="AC715" s="5"/>
      <c r="AD715" s="5"/>
      <c r="AE715" s="5"/>
      <c r="AF715" s="5" t="s">
        <v>8186</v>
      </c>
      <c r="AG715" s="5"/>
      <c r="AH715" s="5"/>
      <c r="AI715" s="5"/>
      <c r="AJ715" s="5"/>
      <c r="AK715" s="5"/>
      <c r="AL715" s="5" t="s">
        <v>8186</v>
      </c>
      <c r="AM715" s="5"/>
      <c r="AN715" s="5"/>
      <c r="AO715" s="5"/>
      <c r="AP715" s="5"/>
      <c r="AQ715" s="5" t="s">
        <v>8187</v>
      </c>
      <c r="AR715" s="5" t="s">
        <v>8188</v>
      </c>
      <c r="AS715" s="5"/>
      <c r="AT715" s="5"/>
      <c r="AU715" s="5"/>
      <c r="AV715" s="5"/>
      <c r="AW715" s="5" t="s">
        <v>8189</v>
      </c>
    </row>
    <row r="716" customFormat="false" ht="258.95" hidden="false" customHeight="false" outlineLevel="0" collapsed="false">
      <c r="A716" s="5" t="s">
        <v>8190</v>
      </c>
      <c r="B716" s="5" t="s">
        <v>8191</v>
      </c>
      <c r="C716" s="5" t="s">
        <v>8047</v>
      </c>
      <c r="D716" s="5" t="s">
        <v>8048</v>
      </c>
      <c r="E716" s="5" t="s">
        <v>626</v>
      </c>
      <c r="F716" s="5" t="s">
        <v>8192</v>
      </c>
      <c r="G716" s="5" t="s">
        <v>8193</v>
      </c>
      <c r="H716" s="5" t="n">
        <v>8</v>
      </c>
      <c r="I716" s="5" t="s">
        <v>152</v>
      </c>
      <c r="J716" s="5" t="s">
        <v>153</v>
      </c>
      <c r="K716" s="5" t="s">
        <v>8194</v>
      </c>
      <c r="L716" s="5" t="s">
        <v>30</v>
      </c>
      <c r="M716" s="5" t="s">
        <v>155</v>
      </c>
      <c r="N716" s="5" t="s">
        <v>8195</v>
      </c>
      <c r="O716" s="5" t="s">
        <v>157</v>
      </c>
      <c r="P716" s="5" t="s">
        <v>215</v>
      </c>
      <c r="Q716" s="5" t="s">
        <v>399</v>
      </c>
      <c r="R716" s="5" t="s">
        <v>8053</v>
      </c>
      <c r="S716" s="5" t="s">
        <v>8054</v>
      </c>
      <c r="T716" s="5" t="s">
        <v>162</v>
      </c>
      <c r="U716" s="5" t="n">
        <v>365</v>
      </c>
      <c r="V716" s="5" t="s">
        <v>8055</v>
      </c>
      <c r="W716" s="5" t="s">
        <v>8056</v>
      </c>
      <c r="X716" s="5" t="s">
        <v>8196</v>
      </c>
      <c r="Y716" s="5" t="s">
        <v>8197</v>
      </c>
      <c r="Z716" s="5" t="s">
        <v>8198</v>
      </c>
      <c r="AA716" s="5"/>
      <c r="AB716" s="5"/>
      <c r="AC716" s="5" t="s">
        <v>8199</v>
      </c>
      <c r="AD716" s="5"/>
      <c r="AE716" s="5"/>
      <c r="AF716" s="5" t="s">
        <v>8200</v>
      </c>
      <c r="AG716" s="5" t="s">
        <v>8200</v>
      </c>
      <c r="AH716" s="5"/>
      <c r="AI716" s="5"/>
      <c r="AJ716" s="5"/>
      <c r="AK716" s="5"/>
      <c r="AL716" s="5" t="s">
        <v>8200</v>
      </c>
      <c r="AM716" s="5"/>
      <c r="AN716" s="5" t="s">
        <v>741</v>
      </c>
      <c r="AO716" s="5"/>
      <c r="AP716" s="5"/>
      <c r="AQ716" s="5" t="s">
        <v>8200</v>
      </c>
      <c r="AR716" s="5" t="s">
        <v>687</v>
      </c>
      <c r="AS716" s="5"/>
      <c r="AT716" s="5"/>
      <c r="AU716" s="5"/>
      <c r="AV716" s="5" t="s">
        <v>178</v>
      </c>
      <c r="AW716" s="5" t="s">
        <v>8189</v>
      </c>
    </row>
    <row r="717" customFormat="false" ht="169.4" hidden="false" customHeight="false" outlineLevel="0" collapsed="false">
      <c r="A717" s="5" t="s">
        <v>8201</v>
      </c>
      <c r="B717" s="5" t="s">
        <v>8202</v>
      </c>
      <c r="C717" s="5" t="s">
        <v>8047</v>
      </c>
      <c r="D717" s="5" t="s">
        <v>8048</v>
      </c>
      <c r="E717" s="5" t="s">
        <v>626</v>
      </c>
      <c r="F717" s="5" t="s">
        <v>8203</v>
      </c>
      <c r="G717" s="5" t="s">
        <v>8204</v>
      </c>
      <c r="H717" s="5" t="n">
        <v>8</v>
      </c>
      <c r="I717" s="5" t="s">
        <v>152</v>
      </c>
      <c r="J717" s="5" t="s">
        <v>153</v>
      </c>
      <c r="K717" s="5" t="s">
        <v>8205</v>
      </c>
      <c r="L717" s="5" t="s">
        <v>30</v>
      </c>
      <c r="M717" s="5" t="s">
        <v>155</v>
      </c>
      <c r="N717" s="5" t="s">
        <v>8206</v>
      </c>
      <c r="O717" s="5" t="s">
        <v>157</v>
      </c>
      <c r="P717" s="5" t="s">
        <v>215</v>
      </c>
      <c r="Q717" s="5" t="s">
        <v>399</v>
      </c>
      <c r="R717" s="5" t="s">
        <v>8053</v>
      </c>
      <c r="S717" s="5" t="s">
        <v>8054</v>
      </c>
      <c r="T717" s="5" t="s">
        <v>162</v>
      </c>
      <c r="U717" s="5" t="n">
        <v>365</v>
      </c>
      <c r="V717" s="5" t="s">
        <v>8055</v>
      </c>
      <c r="W717" s="5" t="s">
        <v>8056</v>
      </c>
      <c r="X717" s="5" t="s">
        <v>8207</v>
      </c>
      <c r="Y717" s="5" t="s">
        <v>8208</v>
      </c>
      <c r="Z717" s="5" t="s">
        <v>8209</v>
      </c>
      <c r="AA717" s="5"/>
      <c r="AB717" s="5"/>
      <c r="AC717" s="5" t="s">
        <v>8210</v>
      </c>
      <c r="AD717" s="5"/>
      <c r="AE717" s="5"/>
      <c r="AF717" s="5" t="s">
        <v>722</v>
      </c>
      <c r="AG717" s="5" t="s">
        <v>722</v>
      </c>
      <c r="AH717" s="5"/>
      <c r="AI717" s="5"/>
      <c r="AJ717" s="5"/>
      <c r="AK717" s="5"/>
      <c r="AL717" s="5" t="s">
        <v>722</v>
      </c>
      <c r="AM717" s="5" t="s">
        <v>722</v>
      </c>
      <c r="AN717" s="5"/>
      <c r="AO717" s="5"/>
      <c r="AP717" s="5"/>
      <c r="AQ717" s="5" t="s">
        <v>722</v>
      </c>
      <c r="AR717" s="5" t="s">
        <v>687</v>
      </c>
      <c r="AS717" s="5"/>
      <c r="AT717" s="5"/>
      <c r="AU717" s="5"/>
      <c r="AV717" s="5"/>
      <c r="AW717" s="5" t="s">
        <v>8189</v>
      </c>
    </row>
    <row r="718" customFormat="false" ht="124.6" hidden="false" customHeight="false" outlineLevel="0" collapsed="false">
      <c r="A718" s="5" t="s">
        <v>8211</v>
      </c>
      <c r="B718" s="5" t="s">
        <v>8212</v>
      </c>
      <c r="C718" s="5" t="s">
        <v>8047</v>
      </c>
      <c r="D718" s="5" t="s">
        <v>8048</v>
      </c>
      <c r="E718" s="5" t="s">
        <v>514</v>
      </c>
      <c r="F718" s="5" t="s">
        <v>8213</v>
      </c>
      <c r="G718" s="5" t="s">
        <v>8214</v>
      </c>
      <c r="H718" s="5" t="n">
        <v>9</v>
      </c>
      <c r="I718" s="5" t="s">
        <v>152</v>
      </c>
      <c r="J718" s="5" t="s">
        <v>153</v>
      </c>
      <c r="K718" s="5" t="s">
        <v>8215</v>
      </c>
      <c r="L718" s="5" t="s">
        <v>55</v>
      </c>
      <c r="M718" s="5" t="s">
        <v>185</v>
      </c>
      <c r="N718" s="5" t="s">
        <v>8216</v>
      </c>
      <c r="O718" s="5" t="s">
        <v>187</v>
      </c>
      <c r="P718" s="5" t="s">
        <v>215</v>
      </c>
      <c r="Q718" s="5" t="s">
        <v>399</v>
      </c>
      <c r="R718" s="5" t="s">
        <v>8053</v>
      </c>
      <c r="S718" s="5" t="s">
        <v>8054</v>
      </c>
      <c r="T718" s="5" t="s">
        <v>162</v>
      </c>
      <c r="U718" s="5" t="n">
        <v>365</v>
      </c>
      <c r="V718" s="5" t="s">
        <v>8055</v>
      </c>
      <c r="W718" s="5" t="s">
        <v>8056</v>
      </c>
      <c r="X718" s="5" t="s">
        <v>8217</v>
      </c>
      <c r="Y718" s="5" t="s">
        <v>8218</v>
      </c>
      <c r="Z718" s="5" t="s">
        <v>8219</v>
      </c>
      <c r="AA718" s="5"/>
      <c r="AB718" s="5"/>
      <c r="AC718" s="5" t="s">
        <v>8220</v>
      </c>
      <c r="AD718" s="5"/>
      <c r="AE718" s="5"/>
      <c r="AF718" s="5"/>
      <c r="AG718" s="5"/>
      <c r="AH718" s="5"/>
      <c r="AI718" s="5"/>
      <c r="AJ718" s="5"/>
      <c r="AK718" s="5" t="s">
        <v>8221</v>
      </c>
      <c r="AL718" s="5"/>
      <c r="AM718" s="5"/>
      <c r="AN718" s="5"/>
      <c r="AO718" s="5" t="s">
        <v>7470</v>
      </c>
      <c r="AP718" s="5"/>
      <c r="AQ718" s="5"/>
      <c r="AR718" s="5"/>
      <c r="AS718" s="5"/>
      <c r="AT718" s="5"/>
      <c r="AU718" s="5"/>
      <c r="AV718" s="5" t="s">
        <v>178</v>
      </c>
      <c r="AW718" s="5" t="s">
        <v>8222</v>
      </c>
    </row>
    <row r="719" customFormat="false" ht="169.4" hidden="false" customHeight="false" outlineLevel="0" collapsed="false">
      <c r="A719" s="5" t="s">
        <v>8223</v>
      </c>
      <c r="B719" s="5" t="s">
        <v>8224</v>
      </c>
      <c r="C719" s="5" t="s">
        <v>8047</v>
      </c>
      <c r="D719" s="5" t="s">
        <v>8048</v>
      </c>
      <c r="E719" s="5" t="s">
        <v>626</v>
      </c>
      <c r="F719" s="5" t="s">
        <v>8225</v>
      </c>
      <c r="G719" s="5" t="s">
        <v>8226</v>
      </c>
      <c r="H719" s="5" t="n">
        <v>8</v>
      </c>
      <c r="I719" s="5" t="s">
        <v>152</v>
      </c>
      <c r="J719" s="5" t="s">
        <v>153</v>
      </c>
      <c r="K719" s="5" t="s">
        <v>8133</v>
      </c>
      <c r="L719" s="5" t="s">
        <v>55</v>
      </c>
      <c r="M719" s="5" t="s">
        <v>185</v>
      </c>
      <c r="N719" s="5" t="s">
        <v>8227</v>
      </c>
      <c r="O719" s="5" t="s">
        <v>187</v>
      </c>
      <c r="P719" s="5" t="s">
        <v>215</v>
      </c>
      <c r="Q719" s="5" t="s">
        <v>399</v>
      </c>
      <c r="R719" s="5" t="s">
        <v>8053</v>
      </c>
      <c r="S719" s="5" t="s">
        <v>8054</v>
      </c>
      <c r="T719" s="5" t="s">
        <v>162</v>
      </c>
      <c r="U719" s="5" t="n">
        <v>365</v>
      </c>
      <c r="V719" s="5" t="s">
        <v>8055</v>
      </c>
      <c r="W719" s="5" t="s">
        <v>8056</v>
      </c>
      <c r="X719" s="5" t="s">
        <v>8228</v>
      </c>
      <c r="Y719" s="5" t="s">
        <v>8229</v>
      </c>
      <c r="Z719" s="5" t="s">
        <v>8230</v>
      </c>
      <c r="AA719" s="5"/>
      <c r="AB719" s="5"/>
      <c r="AC719" s="5" t="s">
        <v>8231</v>
      </c>
      <c r="AD719" s="5"/>
      <c r="AE719" s="5"/>
      <c r="AF719" s="5" t="s">
        <v>8232</v>
      </c>
      <c r="AG719" s="5"/>
      <c r="AH719" s="5"/>
      <c r="AI719" s="5"/>
      <c r="AJ719" s="5" t="s">
        <v>8233</v>
      </c>
      <c r="AK719" s="5"/>
      <c r="AL719" s="5" t="s">
        <v>8232</v>
      </c>
      <c r="AM719" s="5"/>
      <c r="AN719" s="5"/>
      <c r="AO719" s="5"/>
      <c r="AP719" s="5"/>
      <c r="AQ719" s="5"/>
      <c r="AR719" s="5" t="s">
        <v>687</v>
      </c>
      <c r="AS719" s="5"/>
      <c r="AT719" s="5" t="s">
        <v>8234</v>
      </c>
      <c r="AU719" s="5"/>
      <c r="AV719" s="5" t="s">
        <v>178</v>
      </c>
      <c r="AW719" s="5" t="s">
        <v>8068</v>
      </c>
    </row>
    <row r="720" customFormat="false" ht="102.2" hidden="false" customHeight="false" outlineLevel="0" collapsed="false">
      <c r="A720" s="5" t="s">
        <v>8235</v>
      </c>
      <c r="B720" s="5" t="s">
        <v>8236</v>
      </c>
      <c r="C720" s="5" t="s">
        <v>8047</v>
      </c>
      <c r="D720" s="5" t="s">
        <v>8048</v>
      </c>
      <c r="E720" s="5" t="s">
        <v>600</v>
      </c>
      <c r="F720" s="5" t="s">
        <v>8237</v>
      </c>
      <c r="G720" s="5" t="s">
        <v>8238</v>
      </c>
      <c r="H720" s="5" t="n">
        <v>5</v>
      </c>
      <c r="I720" s="5" t="s">
        <v>152</v>
      </c>
      <c r="J720" s="5" t="s">
        <v>153</v>
      </c>
      <c r="K720" s="5"/>
      <c r="L720" s="5" t="s">
        <v>30</v>
      </c>
      <c r="M720" s="5" t="s">
        <v>155</v>
      </c>
      <c r="N720" s="5" t="s">
        <v>127</v>
      </c>
      <c r="O720" s="5" t="s">
        <v>570</v>
      </c>
      <c r="P720" s="5" t="s">
        <v>215</v>
      </c>
      <c r="Q720" s="5" t="s">
        <v>399</v>
      </c>
      <c r="R720" s="5" t="s">
        <v>8053</v>
      </c>
      <c r="S720" s="5" t="s">
        <v>8054</v>
      </c>
      <c r="T720" s="5" t="s">
        <v>162</v>
      </c>
      <c r="U720" s="5" t="n">
        <v>365</v>
      </c>
      <c r="V720" s="5" t="s">
        <v>8055</v>
      </c>
      <c r="W720" s="5" t="s">
        <v>8056</v>
      </c>
      <c r="X720" s="5" t="s">
        <v>8239</v>
      </c>
      <c r="Y720" s="5" t="s">
        <v>8240</v>
      </c>
      <c r="Z720" s="5" t="s">
        <v>8241</v>
      </c>
      <c r="AA720" s="5"/>
      <c r="AB720" s="5"/>
      <c r="AC720" s="5"/>
      <c r="AD720" s="5" t="s">
        <v>8242</v>
      </c>
      <c r="AE720" s="5"/>
      <c r="AF720" s="5"/>
      <c r="AG720" s="5"/>
      <c r="AH720" s="5"/>
      <c r="AI720" s="5"/>
      <c r="AJ720" s="5"/>
      <c r="AK720" s="5"/>
      <c r="AL720" s="5"/>
      <c r="AM720" s="5"/>
      <c r="AN720" s="5"/>
      <c r="AO720" s="5"/>
      <c r="AP720" s="5"/>
      <c r="AQ720" s="5"/>
      <c r="AR720" s="5"/>
      <c r="AS720" s="5"/>
      <c r="AT720" s="5"/>
      <c r="AU720" s="5"/>
      <c r="AV720" s="5"/>
      <c r="AW720" s="5" t="s">
        <v>1664</v>
      </c>
    </row>
    <row r="721" customFormat="false" ht="113.4" hidden="false" customHeight="false" outlineLevel="0" collapsed="false">
      <c r="A721" s="5" t="s">
        <v>8243</v>
      </c>
      <c r="B721" s="5" t="s">
        <v>8244</v>
      </c>
      <c r="C721" s="5" t="s">
        <v>8047</v>
      </c>
      <c r="D721" s="5" t="s">
        <v>8048</v>
      </c>
      <c r="E721" s="5" t="s">
        <v>600</v>
      </c>
      <c r="F721" s="5" t="s">
        <v>8245</v>
      </c>
      <c r="G721" s="5" t="s">
        <v>8246</v>
      </c>
      <c r="H721" s="5" t="n">
        <v>3</v>
      </c>
      <c r="I721" s="5" t="s">
        <v>603</v>
      </c>
      <c r="J721" s="5" t="s">
        <v>153</v>
      </c>
      <c r="K721" s="5"/>
      <c r="L721" s="5" t="s">
        <v>30</v>
      </c>
      <c r="M721" s="5" t="s">
        <v>155</v>
      </c>
      <c r="N721" s="5" t="s">
        <v>127</v>
      </c>
      <c r="O721" s="5" t="s">
        <v>570</v>
      </c>
      <c r="P721" s="5" t="s">
        <v>215</v>
      </c>
      <c r="Q721" s="5" t="s">
        <v>399</v>
      </c>
      <c r="R721" s="5" t="s">
        <v>8053</v>
      </c>
      <c r="S721" s="5" t="s">
        <v>8054</v>
      </c>
      <c r="T721" s="5" t="s">
        <v>606</v>
      </c>
      <c r="U721" s="5" t="n">
        <v>365</v>
      </c>
      <c r="V721" s="5" t="s">
        <v>8055</v>
      </c>
      <c r="W721" s="5" t="s">
        <v>8056</v>
      </c>
      <c r="X721" s="5" t="s">
        <v>8247</v>
      </c>
      <c r="Y721" s="5" t="s">
        <v>8248</v>
      </c>
      <c r="Z721" s="5" t="s">
        <v>8249</v>
      </c>
      <c r="AA721" s="5"/>
      <c r="AB721" s="5"/>
      <c r="AC721" s="5"/>
      <c r="AD721" s="5" t="s">
        <v>8250</v>
      </c>
      <c r="AE721" s="5"/>
      <c r="AF721" s="5"/>
      <c r="AG721" s="5"/>
      <c r="AH721" s="5"/>
      <c r="AI721" s="5"/>
      <c r="AJ721" s="5"/>
      <c r="AK721" s="5"/>
      <c r="AL721" s="5"/>
      <c r="AM721" s="5"/>
      <c r="AN721" s="5"/>
      <c r="AO721" s="5"/>
      <c r="AP721" s="5"/>
      <c r="AQ721" s="5"/>
      <c r="AR721" s="5"/>
      <c r="AS721" s="5"/>
      <c r="AT721" s="5"/>
      <c r="AU721" s="5"/>
      <c r="AV721" s="5"/>
      <c r="AW721" s="5" t="s">
        <v>8251</v>
      </c>
    </row>
    <row r="722" customFormat="false" ht="214.15" hidden="false" customHeight="false" outlineLevel="0" collapsed="false">
      <c r="A722" s="5" t="s">
        <v>8252</v>
      </c>
      <c r="B722" s="5" t="s">
        <v>8253</v>
      </c>
      <c r="C722" s="5" t="s">
        <v>8047</v>
      </c>
      <c r="D722" s="5" t="s">
        <v>8048</v>
      </c>
      <c r="E722" s="5" t="s">
        <v>626</v>
      </c>
      <c r="F722" s="5" t="s">
        <v>8254</v>
      </c>
      <c r="G722" s="5" t="s">
        <v>8255</v>
      </c>
      <c r="H722" s="5" t="n">
        <v>10</v>
      </c>
      <c r="I722" s="5" t="s">
        <v>152</v>
      </c>
      <c r="J722" s="5" t="s">
        <v>153</v>
      </c>
      <c r="K722" s="5" t="s">
        <v>8256</v>
      </c>
      <c r="L722" s="5" t="s">
        <v>30</v>
      </c>
      <c r="M722" s="5" t="s">
        <v>155</v>
      </c>
      <c r="N722" s="5" t="s">
        <v>8257</v>
      </c>
      <c r="O722" s="5" t="s">
        <v>157</v>
      </c>
      <c r="P722" s="5" t="s">
        <v>641</v>
      </c>
      <c r="Q722" s="5" t="s">
        <v>399</v>
      </c>
      <c r="R722" s="5" t="s">
        <v>8053</v>
      </c>
      <c r="S722" s="5" t="s">
        <v>8054</v>
      </c>
      <c r="T722" s="5" t="s">
        <v>162</v>
      </c>
      <c r="U722" s="5" t="n">
        <v>365</v>
      </c>
      <c r="V722" s="5" t="s">
        <v>8055</v>
      </c>
      <c r="W722" s="5" t="s">
        <v>8056</v>
      </c>
      <c r="X722" s="5" t="s">
        <v>8258</v>
      </c>
      <c r="Y722" s="5" t="s">
        <v>8259</v>
      </c>
      <c r="Z722" s="5" t="s">
        <v>8260</v>
      </c>
      <c r="AA722" s="5" t="s">
        <v>8060</v>
      </c>
      <c r="AB722" s="5"/>
      <c r="AC722" s="5" t="s">
        <v>8261</v>
      </c>
      <c r="AD722" s="5"/>
      <c r="AE722" s="5"/>
      <c r="AF722" s="5" t="s">
        <v>8262</v>
      </c>
      <c r="AG722" s="5" t="s">
        <v>8263</v>
      </c>
      <c r="AH722" s="5"/>
      <c r="AI722" s="5"/>
      <c r="AJ722" s="5" t="s">
        <v>8264</v>
      </c>
      <c r="AK722" s="5" t="s">
        <v>8265</v>
      </c>
      <c r="AL722" s="5" t="s">
        <v>8262</v>
      </c>
      <c r="AM722" s="5" t="s">
        <v>8266</v>
      </c>
      <c r="AN722" s="5" t="s">
        <v>8267</v>
      </c>
      <c r="AO722" s="5" t="s">
        <v>8268</v>
      </c>
      <c r="AP722" s="5" t="s">
        <v>8083</v>
      </c>
      <c r="AQ722" s="5" t="s">
        <v>8269</v>
      </c>
      <c r="AR722" s="5" t="s">
        <v>687</v>
      </c>
      <c r="AS722" s="5"/>
      <c r="AT722" s="5" t="s">
        <v>8270</v>
      </c>
      <c r="AU722" s="5"/>
      <c r="AV722" s="5" t="s">
        <v>178</v>
      </c>
      <c r="AW722" s="5" t="s">
        <v>8271</v>
      </c>
    </row>
    <row r="723" customFormat="false" ht="180.55" hidden="false" customHeight="false" outlineLevel="0" collapsed="false">
      <c r="A723" s="5" t="s">
        <v>8272</v>
      </c>
      <c r="B723" s="5" t="s">
        <v>8273</v>
      </c>
      <c r="C723" s="5" t="s">
        <v>8047</v>
      </c>
      <c r="D723" s="5" t="s">
        <v>8048</v>
      </c>
      <c r="E723" s="5" t="s">
        <v>626</v>
      </c>
      <c r="F723" s="5" t="s">
        <v>8274</v>
      </c>
      <c r="G723" s="5" t="s">
        <v>8275</v>
      </c>
      <c r="H723" s="5" t="n">
        <v>9</v>
      </c>
      <c r="I723" s="5" t="s">
        <v>152</v>
      </c>
      <c r="J723" s="5" t="s">
        <v>153</v>
      </c>
      <c r="K723" s="5" t="s">
        <v>8276</v>
      </c>
      <c r="L723" s="5" t="s">
        <v>30</v>
      </c>
      <c r="M723" s="5" t="s">
        <v>155</v>
      </c>
      <c r="N723" s="5" t="s">
        <v>8277</v>
      </c>
      <c r="O723" s="5" t="s">
        <v>157</v>
      </c>
      <c r="P723" s="5" t="s">
        <v>215</v>
      </c>
      <c r="Q723" s="5" t="s">
        <v>399</v>
      </c>
      <c r="R723" s="5" t="s">
        <v>8053</v>
      </c>
      <c r="S723" s="5" t="s">
        <v>8054</v>
      </c>
      <c r="T723" s="5" t="s">
        <v>162</v>
      </c>
      <c r="U723" s="5" t="n">
        <v>365</v>
      </c>
      <c r="V723" s="5" t="s">
        <v>8055</v>
      </c>
      <c r="W723" s="5" t="s">
        <v>8056</v>
      </c>
      <c r="X723" s="5" t="s">
        <v>8278</v>
      </c>
      <c r="Y723" s="5" t="s">
        <v>8279</v>
      </c>
      <c r="Z723" s="5" t="s">
        <v>8280</v>
      </c>
      <c r="AA723" s="5"/>
      <c r="AB723" s="5"/>
      <c r="AC723" s="5"/>
      <c r="AD723" s="5"/>
      <c r="AE723" s="5"/>
      <c r="AF723" s="5" t="s">
        <v>8281</v>
      </c>
      <c r="AG723" s="5" t="s">
        <v>8282</v>
      </c>
      <c r="AH723" s="5"/>
      <c r="AI723" s="5"/>
      <c r="AJ723" s="5" t="s">
        <v>8283</v>
      </c>
      <c r="AK723" s="5" t="s">
        <v>8265</v>
      </c>
      <c r="AL723" s="5" t="s">
        <v>8281</v>
      </c>
      <c r="AM723" s="5" t="s">
        <v>8284</v>
      </c>
      <c r="AN723" s="5"/>
      <c r="AO723" s="5"/>
      <c r="AP723" s="5" t="s">
        <v>970</v>
      </c>
      <c r="AQ723" s="5" t="s">
        <v>8285</v>
      </c>
      <c r="AR723" s="5" t="s">
        <v>8286</v>
      </c>
      <c r="AS723" s="5"/>
      <c r="AT723" s="5" t="s">
        <v>8287</v>
      </c>
      <c r="AU723" s="5"/>
      <c r="AV723" s="5" t="s">
        <v>178</v>
      </c>
      <c r="AW723" s="5" t="s">
        <v>8288</v>
      </c>
    </row>
    <row r="724" customFormat="false" ht="147" hidden="false" customHeight="false" outlineLevel="0" collapsed="false">
      <c r="A724" s="5" t="s">
        <v>8289</v>
      </c>
      <c r="B724" s="5" t="s">
        <v>8290</v>
      </c>
      <c r="C724" s="5" t="s">
        <v>8047</v>
      </c>
      <c r="D724" s="5" t="s">
        <v>8048</v>
      </c>
      <c r="E724" s="5" t="s">
        <v>514</v>
      </c>
      <c r="F724" s="5" t="s">
        <v>8291</v>
      </c>
      <c r="G724" s="5" t="s">
        <v>8292</v>
      </c>
      <c r="H724" s="5" t="n">
        <v>7</v>
      </c>
      <c r="I724" s="5" t="s">
        <v>152</v>
      </c>
      <c r="J724" s="5" t="s">
        <v>153</v>
      </c>
      <c r="K724" s="5" t="s">
        <v>8293</v>
      </c>
      <c r="L724" s="5" t="s">
        <v>55</v>
      </c>
      <c r="M724" s="5" t="s">
        <v>185</v>
      </c>
      <c r="N724" s="5" t="s">
        <v>8294</v>
      </c>
      <c r="O724" s="5" t="s">
        <v>187</v>
      </c>
      <c r="P724" s="5" t="s">
        <v>215</v>
      </c>
      <c r="Q724" s="5" t="s">
        <v>399</v>
      </c>
      <c r="R724" s="5" t="s">
        <v>8053</v>
      </c>
      <c r="S724" s="5" t="s">
        <v>8054</v>
      </c>
      <c r="T724" s="5" t="s">
        <v>162</v>
      </c>
      <c r="U724" s="5" t="n">
        <v>365</v>
      </c>
      <c r="V724" s="5" t="s">
        <v>8055</v>
      </c>
      <c r="W724" s="5" t="s">
        <v>8056</v>
      </c>
      <c r="X724" s="5" t="s">
        <v>8295</v>
      </c>
      <c r="Y724" s="5" t="s">
        <v>8296</v>
      </c>
      <c r="Z724" s="5" t="s">
        <v>8297</v>
      </c>
      <c r="AA724" s="5"/>
      <c r="AB724" s="5"/>
      <c r="AC724" s="5" t="s">
        <v>8298</v>
      </c>
      <c r="AD724" s="5"/>
      <c r="AE724" s="5"/>
      <c r="AF724" s="5" t="s">
        <v>8299</v>
      </c>
      <c r="AG724" s="5"/>
      <c r="AH724" s="5"/>
      <c r="AI724" s="5"/>
      <c r="AJ724" s="5"/>
      <c r="AK724" s="5" t="s">
        <v>8300</v>
      </c>
      <c r="AL724" s="5" t="s">
        <v>8299</v>
      </c>
      <c r="AM724" s="5"/>
      <c r="AN724" s="5"/>
      <c r="AO724" s="5" t="s">
        <v>8301</v>
      </c>
      <c r="AP724" s="5"/>
      <c r="AQ724" s="5" t="s">
        <v>8302</v>
      </c>
      <c r="AR724" s="5" t="s">
        <v>687</v>
      </c>
      <c r="AS724" s="5"/>
      <c r="AT724" s="5"/>
      <c r="AU724" s="5"/>
      <c r="AV724" s="5" t="s">
        <v>178</v>
      </c>
      <c r="AW724" s="5" t="s">
        <v>8303</v>
      </c>
    </row>
    <row r="725" customFormat="false" ht="124.6" hidden="false" customHeight="false" outlineLevel="0" collapsed="false">
      <c r="A725" s="5" t="s">
        <v>8304</v>
      </c>
      <c r="B725" s="5" t="s">
        <v>8305</v>
      </c>
      <c r="C725" s="5" t="s">
        <v>8047</v>
      </c>
      <c r="D725" s="5" t="s">
        <v>8048</v>
      </c>
      <c r="E725" s="5" t="s">
        <v>514</v>
      </c>
      <c r="F725" s="5" t="s">
        <v>8306</v>
      </c>
      <c r="G725" s="5" t="s">
        <v>8307</v>
      </c>
      <c r="H725" s="5" t="n">
        <v>9</v>
      </c>
      <c r="I725" s="5" t="s">
        <v>152</v>
      </c>
      <c r="J725" s="5" t="s">
        <v>153</v>
      </c>
      <c r="K725" s="5" t="s">
        <v>8308</v>
      </c>
      <c r="L725" s="5" t="s">
        <v>55</v>
      </c>
      <c r="M725" s="5" t="s">
        <v>185</v>
      </c>
      <c r="N725" s="5" t="s">
        <v>804</v>
      </c>
      <c r="O725" s="5" t="s">
        <v>187</v>
      </c>
      <c r="P725" s="5" t="s">
        <v>215</v>
      </c>
      <c r="Q725" s="5" t="s">
        <v>399</v>
      </c>
      <c r="R725" s="5" t="s">
        <v>8053</v>
      </c>
      <c r="S725" s="5" t="s">
        <v>8054</v>
      </c>
      <c r="T725" s="5" t="s">
        <v>162</v>
      </c>
      <c r="U725" s="5" t="n">
        <v>365</v>
      </c>
      <c r="V725" s="5" t="s">
        <v>8055</v>
      </c>
      <c r="W725" s="5" t="s">
        <v>8056</v>
      </c>
      <c r="X725" s="5" t="s">
        <v>8309</v>
      </c>
      <c r="Y725" s="5" t="s">
        <v>8310</v>
      </c>
      <c r="Z725" s="5" t="s">
        <v>8311</v>
      </c>
      <c r="AA725" s="5"/>
      <c r="AB725" s="5"/>
      <c r="AC725" s="5"/>
      <c r="AD725" s="5"/>
      <c r="AE725" s="5"/>
      <c r="AF725" s="5"/>
      <c r="AG725" s="5"/>
      <c r="AH725" s="5"/>
      <c r="AI725" s="5"/>
      <c r="AJ725" s="5"/>
      <c r="AK725" s="5" t="s">
        <v>8265</v>
      </c>
      <c r="AL725" s="5"/>
      <c r="AM725" s="5"/>
      <c r="AN725" s="5"/>
      <c r="AO725" s="5" t="s">
        <v>8312</v>
      </c>
      <c r="AP725" s="5"/>
      <c r="AQ725" s="5"/>
      <c r="AR725" s="5"/>
      <c r="AS725" s="5"/>
      <c r="AT725" s="5"/>
      <c r="AU725" s="5"/>
      <c r="AV725" s="5" t="s">
        <v>178</v>
      </c>
      <c r="AW725" s="5" t="s">
        <v>8313</v>
      </c>
    </row>
    <row r="726" customFormat="false" ht="113.4" hidden="false" customHeight="false" outlineLevel="0" collapsed="false">
      <c r="A726" s="5" t="s">
        <v>8314</v>
      </c>
      <c r="B726" s="5" t="s">
        <v>8315</v>
      </c>
      <c r="C726" s="5" t="s">
        <v>8047</v>
      </c>
      <c r="D726" s="5" t="s">
        <v>8048</v>
      </c>
      <c r="E726" s="5" t="s">
        <v>600</v>
      </c>
      <c r="F726" s="5" t="s">
        <v>8316</v>
      </c>
      <c r="G726" s="5" t="s">
        <v>8317</v>
      </c>
      <c r="H726" s="5" t="n">
        <v>10</v>
      </c>
      <c r="I726" s="5" t="s">
        <v>152</v>
      </c>
      <c r="J726" s="5" t="s">
        <v>153</v>
      </c>
      <c r="K726" s="5" t="s">
        <v>8318</v>
      </c>
      <c r="L726" s="5" t="s">
        <v>55</v>
      </c>
      <c r="M726" s="5" t="s">
        <v>185</v>
      </c>
      <c r="N726" s="5" t="s">
        <v>439</v>
      </c>
      <c r="O726" s="5" t="s">
        <v>187</v>
      </c>
      <c r="P726" s="5" t="s">
        <v>215</v>
      </c>
      <c r="Q726" s="5" t="s">
        <v>399</v>
      </c>
      <c r="R726" s="5" t="s">
        <v>8053</v>
      </c>
      <c r="S726" s="5" t="s">
        <v>8054</v>
      </c>
      <c r="T726" s="5" t="s">
        <v>162</v>
      </c>
      <c r="U726" s="5" t="n">
        <v>365</v>
      </c>
      <c r="V726" s="5" t="s">
        <v>8055</v>
      </c>
      <c r="W726" s="5" t="s">
        <v>8056</v>
      </c>
      <c r="X726" s="5" t="s">
        <v>8319</v>
      </c>
      <c r="Y726" s="5" t="s">
        <v>8320</v>
      </c>
      <c r="Z726" s="5" t="s">
        <v>8321</v>
      </c>
      <c r="AA726" s="5"/>
      <c r="AB726" s="5"/>
      <c r="AC726" s="5"/>
      <c r="AD726" s="5"/>
      <c r="AE726" s="5"/>
      <c r="AF726" s="5"/>
      <c r="AG726" s="5"/>
      <c r="AH726" s="5"/>
      <c r="AI726" s="5"/>
      <c r="AJ726" s="5" t="s">
        <v>8233</v>
      </c>
      <c r="AK726" s="5"/>
      <c r="AL726" s="5"/>
      <c r="AM726" s="5"/>
      <c r="AN726" s="5"/>
      <c r="AO726" s="5"/>
      <c r="AP726" s="5"/>
      <c r="AQ726" s="5"/>
      <c r="AR726" s="5"/>
      <c r="AS726" s="5"/>
      <c r="AT726" s="5"/>
      <c r="AU726" s="5"/>
      <c r="AV726" s="5"/>
      <c r="AW726" s="5" t="s">
        <v>8322</v>
      </c>
    </row>
    <row r="727" customFormat="false" ht="124.6" hidden="false" customHeight="false" outlineLevel="0" collapsed="false">
      <c r="A727" s="5" t="s">
        <v>8323</v>
      </c>
      <c r="B727" s="5" t="s">
        <v>8324</v>
      </c>
      <c r="C727" s="5" t="s">
        <v>8047</v>
      </c>
      <c r="D727" s="5" t="s">
        <v>8048</v>
      </c>
      <c r="E727" s="5" t="s">
        <v>626</v>
      </c>
      <c r="F727" s="5" t="s">
        <v>8325</v>
      </c>
      <c r="G727" s="5" t="s">
        <v>8326</v>
      </c>
      <c r="H727" s="5" t="n">
        <v>5</v>
      </c>
      <c r="I727" s="5" t="s">
        <v>152</v>
      </c>
      <c r="J727" s="5" t="s">
        <v>153</v>
      </c>
      <c r="K727" s="5"/>
      <c r="L727" s="5" t="s">
        <v>68</v>
      </c>
      <c r="M727" s="5" t="s">
        <v>185</v>
      </c>
      <c r="N727" s="5" t="s">
        <v>126</v>
      </c>
      <c r="O727" s="5" t="s">
        <v>187</v>
      </c>
      <c r="P727" s="5" t="s">
        <v>215</v>
      </c>
      <c r="Q727" s="5" t="s">
        <v>399</v>
      </c>
      <c r="R727" s="5" t="s">
        <v>8053</v>
      </c>
      <c r="S727" s="5" t="s">
        <v>8054</v>
      </c>
      <c r="T727" s="5" t="s">
        <v>162</v>
      </c>
      <c r="U727" s="5" t="n">
        <v>365</v>
      </c>
      <c r="V727" s="5" t="s">
        <v>8055</v>
      </c>
      <c r="W727" s="5" t="s">
        <v>8056</v>
      </c>
      <c r="X727" s="5" t="s">
        <v>8327</v>
      </c>
      <c r="Y727" s="5" t="s">
        <v>8328</v>
      </c>
      <c r="Z727" s="5" t="s">
        <v>8329</v>
      </c>
      <c r="AA727" s="5"/>
      <c r="AB727" s="5"/>
      <c r="AC727" s="5" t="s">
        <v>8330</v>
      </c>
      <c r="AD727" s="5"/>
      <c r="AE727" s="5"/>
      <c r="AF727" s="5" t="s">
        <v>8331</v>
      </c>
      <c r="AG727" s="5"/>
      <c r="AH727" s="5"/>
      <c r="AI727" s="5"/>
      <c r="AJ727" s="5"/>
      <c r="AK727" s="5"/>
      <c r="AL727" s="5" t="s">
        <v>8331</v>
      </c>
      <c r="AM727" s="5"/>
      <c r="AN727" s="5"/>
      <c r="AO727" s="5"/>
      <c r="AP727" s="5"/>
      <c r="AQ727" s="5"/>
      <c r="AR727" s="5" t="s">
        <v>1294</v>
      </c>
      <c r="AS727" s="5"/>
      <c r="AT727" s="5"/>
      <c r="AU727" s="5"/>
      <c r="AV727" s="5"/>
      <c r="AW727" s="5" t="s">
        <v>8332</v>
      </c>
    </row>
    <row r="728" customFormat="false" ht="113.4" hidden="false" customHeight="false" outlineLevel="0" collapsed="false">
      <c r="A728" s="5" t="s">
        <v>8333</v>
      </c>
      <c r="B728" s="5" t="s">
        <v>8334</v>
      </c>
      <c r="C728" s="5" t="s">
        <v>8047</v>
      </c>
      <c r="D728" s="5" t="s">
        <v>8048</v>
      </c>
      <c r="E728" s="5" t="s">
        <v>626</v>
      </c>
      <c r="F728" s="5" t="s">
        <v>8335</v>
      </c>
      <c r="G728" s="5" t="s">
        <v>8336</v>
      </c>
      <c r="H728" s="5" t="n">
        <v>9</v>
      </c>
      <c r="I728" s="5" t="s">
        <v>152</v>
      </c>
      <c r="J728" s="5" t="s">
        <v>153</v>
      </c>
      <c r="K728" s="5"/>
      <c r="L728" s="5" t="s">
        <v>68</v>
      </c>
      <c r="M728" s="5" t="s">
        <v>185</v>
      </c>
      <c r="N728" s="5" t="s">
        <v>8337</v>
      </c>
      <c r="O728" s="5" t="s">
        <v>187</v>
      </c>
      <c r="P728" s="5" t="s">
        <v>641</v>
      </c>
      <c r="Q728" s="5" t="s">
        <v>399</v>
      </c>
      <c r="R728" s="5" t="s">
        <v>8053</v>
      </c>
      <c r="S728" s="5" t="s">
        <v>8054</v>
      </c>
      <c r="T728" s="5" t="s">
        <v>162</v>
      </c>
      <c r="U728" s="5" t="n">
        <v>365</v>
      </c>
      <c r="V728" s="5" t="s">
        <v>8055</v>
      </c>
      <c r="W728" s="5" t="s">
        <v>8056</v>
      </c>
      <c r="X728" s="5" t="s">
        <v>8338</v>
      </c>
      <c r="Y728" s="5" t="s">
        <v>8339</v>
      </c>
      <c r="Z728" s="5" t="s">
        <v>8340</v>
      </c>
      <c r="AA728" s="5"/>
      <c r="AB728" s="5"/>
      <c r="AC728" s="5" t="s">
        <v>8341</v>
      </c>
      <c r="AD728" s="5"/>
      <c r="AE728" s="5"/>
      <c r="AF728" s="5" t="s">
        <v>8342</v>
      </c>
      <c r="AG728" s="5"/>
      <c r="AH728" s="5"/>
      <c r="AI728" s="5"/>
      <c r="AJ728" s="5"/>
      <c r="AK728" s="5"/>
      <c r="AL728" s="5" t="s">
        <v>8342</v>
      </c>
      <c r="AM728" s="5"/>
      <c r="AN728" s="5"/>
      <c r="AO728" s="5"/>
      <c r="AP728" s="5"/>
      <c r="AQ728" s="5" t="s">
        <v>8342</v>
      </c>
      <c r="AR728" s="5" t="s">
        <v>687</v>
      </c>
      <c r="AS728" s="5"/>
      <c r="AT728" s="5" t="s">
        <v>8343</v>
      </c>
      <c r="AU728" s="5"/>
      <c r="AV728" s="5"/>
      <c r="AW728" s="5" t="s">
        <v>8344</v>
      </c>
    </row>
    <row r="729" customFormat="false" ht="147" hidden="false" customHeight="false" outlineLevel="0" collapsed="false">
      <c r="A729" s="5" t="s">
        <v>8345</v>
      </c>
      <c r="B729" s="5" t="s">
        <v>8346</v>
      </c>
      <c r="C729" s="5" t="s">
        <v>8047</v>
      </c>
      <c r="D729" s="5" t="s">
        <v>8048</v>
      </c>
      <c r="E729" s="5" t="s">
        <v>626</v>
      </c>
      <c r="F729" s="5" t="s">
        <v>8347</v>
      </c>
      <c r="G729" s="5" t="s">
        <v>8348</v>
      </c>
      <c r="H729" s="5" t="n">
        <v>10</v>
      </c>
      <c r="I729" s="5" t="s">
        <v>152</v>
      </c>
      <c r="J729" s="5" t="s">
        <v>153</v>
      </c>
      <c r="K729" s="5"/>
      <c r="L729" s="5" t="s">
        <v>85</v>
      </c>
      <c r="M729" s="5" t="s">
        <v>185</v>
      </c>
      <c r="N729" s="5" t="s">
        <v>84</v>
      </c>
      <c r="O729" s="5" t="s">
        <v>214</v>
      </c>
      <c r="P729" s="5" t="s">
        <v>641</v>
      </c>
      <c r="Q729" s="5" t="s">
        <v>519</v>
      </c>
      <c r="R729" s="5" t="s">
        <v>8053</v>
      </c>
      <c r="S729" s="5" t="s">
        <v>8054</v>
      </c>
      <c r="T729" s="5" t="s">
        <v>162</v>
      </c>
      <c r="U729" s="5" t="n">
        <v>365</v>
      </c>
      <c r="V729" s="5" t="s">
        <v>8055</v>
      </c>
      <c r="W729" s="5" t="s">
        <v>8056</v>
      </c>
      <c r="X729" s="5" t="s">
        <v>8349</v>
      </c>
      <c r="Y729" s="5" t="s">
        <v>8350</v>
      </c>
      <c r="Z729" s="5" t="s">
        <v>8351</v>
      </c>
      <c r="AA729" s="5"/>
      <c r="AB729" s="5"/>
      <c r="AC729" s="5"/>
      <c r="AD729" s="5"/>
      <c r="AE729" s="5"/>
      <c r="AF729" s="5" t="s">
        <v>8352</v>
      </c>
      <c r="AG729" s="5"/>
      <c r="AH729" s="5"/>
      <c r="AI729" s="5"/>
      <c r="AJ729" s="5"/>
      <c r="AK729" s="5"/>
      <c r="AL729" s="5" t="s">
        <v>8352</v>
      </c>
      <c r="AM729" s="5"/>
      <c r="AN729" s="5"/>
      <c r="AO729" s="5"/>
      <c r="AP729" s="5" t="s">
        <v>8353</v>
      </c>
      <c r="AQ729" s="5"/>
      <c r="AR729" s="5" t="s">
        <v>596</v>
      </c>
      <c r="AS729" s="5"/>
      <c r="AT729" s="5" t="s">
        <v>8343</v>
      </c>
      <c r="AU729" s="5"/>
      <c r="AV729" s="5"/>
      <c r="AW729" s="5" t="s">
        <v>8354</v>
      </c>
    </row>
    <row r="730" customFormat="false" ht="214.15" hidden="false" customHeight="false" outlineLevel="0" collapsed="false">
      <c r="A730" s="5" t="s">
        <v>8355</v>
      </c>
      <c r="B730" s="5" t="s">
        <v>8356</v>
      </c>
      <c r="C730" s="5" t="s">
        <v>8047</v>
      </c>
      <c r="D730" s="5" t="s">
        <v>8048</v>
      </c>
      <c r="E730" s="5" t="s">
        <v>626</v>
      </c>
      <c r="F730" s="5" t="s">
        <v>8357</v>
      </c>
      <c r="G730" s="5" t="s">
        <v>8358</v>
      </c>
      <c r="H730" s="5" t="n">
        <v>9</v>
      </c>
      <c r="I730" s="5" t="s">
        <v>152</v>
      </c>
      <c r="J730" s="5" t="s">
        <v>153</v>
      </c>
      <c r="K730" s="5" t="s">
        <v>8359</v>
      </c>
      <c r="L730" s="5" t="s">
        <v>30</v>
      </c>
      <c r="M730" s="5" t="s">
        <v>155</v>
      </c>
      <c r="N730" s="5" t="s">
        <v>8360</v>
      </c>
      <c r="O730" s="5" t="s">
        <v>157</v>
      </c>
      <c r="P730" s="5" t="s">
        <v>158</v>
      </c>
      <c r="Q730" s="5" t="s">
        <v>335</v>
      </c>
      <c r="R730" s="5" t="s">
        <v>8053</v>
      </c>
      <c r="S730" s="5" t="s">
        <v>8054</v>
      </c>
      <c r="T730" s="5" t="s">
        <v>162</v>
      </c>
      <c r="U730" s="5" t="n">
        <v>365</v>
      </c>
      <c r="V730" s="5" t="s">
        <v>8055</v>
      </c>
      <c r="W730" s="5" t="s">
        <v>8056</v>
      </c>
      <c r="X730" s="5" t="s">
        <v>8361</v>
      </c>
      <c r="Y730" s="5" t="s">
        <v>8362</v>
      </c>
      <c r="Z730" s="5" t="s">
        <v>8363</v>
      </c>
      <c r="AA730" s="5"/>
      <c r="AB730" s="5"/>
      <c r="AC730" s="5" t="s">
        <v>8364</v>
      </c>
      <c r="AD730" s="5"/>
      <c r="AE730" s="5"/>
      <c r="AF730" s="5" t="s">
        <v>8365</v>
      </c>
      <c r="AG730" s="5" t="s">
        <v>8366</v>
      </c>
      <c r="AH730" s="5"/>
      <c r="AI730" s="5"/>
      <c r="AJ730" s="5" t="s">
        <v>8367</v>
      </c>
      <c r="AK730" s="5" t="s">
        <v>8368</v>
      </c>
      <c r="AL730" s="5" t="s">
        <v>8365</v>
      </c>
      <c r="AM730" s="5" t="s">
        <v>8366</v>
      </c>
      <c r="AN730" s="5"/>
      <c r="AO730" s="5" t="s">
        <v>8369</v>
      </c>
      <c r="AP730" s="5"/>
      <c r="AQ730" s="5" t="s">
        <v>8365</v>
      </c>
      <c r="AR730" s="5" t="s">
        <v>687</v>
      </c>
      <c r="AS730" s="5"/>
      <c r="AT730" s="5" t="s">
        <v>8107</v>
      </c>
      <c r="AU730" s="5"/>
      <c r="AV730" s="5" t="s">
        <v>178</v>
      </c>
      <c r="AW730" s="5" t="s">
        <v>8370</v>
      </c>
    </row>
    <row r="731" customFormat="false" ht="113.4" hidden="false" customHeight="false" outlineLevel="0" collapsed="false">
      <c r="A731" s="5" t="s">
        <v>8371</v>
      </c>
      <c r="B731" s="5" t="s">
        <v>8372</v>
      </c>
      <c r="C731" s="5" t="s">
        <v>8047</v>
      </c>
      <c r="D731" s="5" t="s">
        <v>8048</v>
      </c>
      <c r="E731" s="5" t="s">
        <v>600</v>
      </c>
      <c r="F731" s="5" t="s">
        <v>8373</v>
      </c>
      <c r="G731" s="5" t="s">
        <v>8374</v>
      </c>
      <c r="H731" s="5" t="n">
        <v>9</v>
      </c>
      <c r="I731" s="5" t="s">
        <v>152</v>
      </c>
      <c r="J731" s="5" t="s">
        <v>153</v>
      </c>
      <c r="K731" s="5" t="s">
        <v>8375</v>
      </c>
      <c r="L731" s="5" t="s">
        <v>55</v>
      </c>
      <c r="M731" s="5" t="s">
        <v>185</v>
      </c>
      <c r="N731" s="5" t="s">
        <v>804</v>
      </c>
      <c r="O731" s="5" t="s">
        <v>187</v>
      </c>
      <c r="P731" s="5" t="s">
        <v>215</v>
      </c>
      <c r="Q731" s="5" t="s">
        <v>399</v>
      </c>
      <c r="R731" s="5" t="s">
        <v>8053</v>
      </c>
      <c r="S731" s="5" t="s">
        <v>8054</v>
      </c>
      <c r="T731" s="5" t="s">
        <v>162</v>
      </c>
      <c r="U731" s="5" t="n">
        <v>365</v>
      </c>
      <c r="V731" s="5" t="s">
        <v>8055</v>
      </c>
      <c r="W731" s="5" t="s">
        <v>8056</v>
      </c>
      <c r="X731" s="5" t="s">
        <v>8376</v>
      </c>
      <c r="Y731" s="5" t="s">
        <v>8377</v>
      </c>
      <c r="Z731" s="5" t="s">
        <v>8378</v>
      </c>
      <c r="AA731" s="5"/>
      <c r="AB731" s="5"/>
      <c r="AC731" s="5"/>
      <c r="AD731" s="5"/>
      <c r="AE731" s="5"/>
      <c r="AF731" s="5" t="s">
        <v>8379</v>
      </c>
      <c r="AG731" s="5"/>
      <c r="AH731" s="5"/>
      <c r="AI731" s="5"/>
      <c r="AJ731" s="5"/>
      <c r="AK731" s="5" t="s">
        <v>1771</v>
      </c>
      <c r="AL731" s="5" t="s">
        <v>8379</v>
      </c>
      <c r="AM731" s="5"/>
      <c r="AN731" s="5"/>
      <c r="AO731" s="5" t="s">
        <v>8106</v>
      </c>
      <c r="AP731" s="5"/>
      <c r="AQ731" s="5"/>
      <c r="AR731" s="5" t="s">
        <v>687</v>
      </c>
      <c r="AS731" s="5"/>
      <c r="AT731" s="5"/>
      <c r="AU731" s="5"/>
      <c r="AV731" s="5" t="s">
        <v>178</v>
      </c>
      <c r="AW731" s="5" t="s">
        <v>8380</v>
      </c>
    </row>
    <row r="732" customFormat="false" ht="124.6" hidden="false" customHeight="false" outlineLevel="0" collapsed="false">
      <c r="A732" s="5" t="s">
        <v>8381</v>
      </c>
      <c r="B732" s="5" t="s">
        <v>8382</v>
      </c>
      <c r="C732" s="5" t="s">
        <v>8047</v>
      </c>
      <c r="D732" s="5" t="s">
        <v>8048</v>
      </c>
      <c r="E732" s="5" t="s">
        <v>600</v>
      </c>
      <c r="F732" s="5" t="s">
        <v>8383</v>
      </c>
      <c r="G732" s="5" t="s">
        <v>8384</v>
      </c>
      <c r="H732" s="5" t="n">
        <v>9</v>
      </c>
      <c r="I732" s="5" t="s">
        <v>152</v>
      </c>
      <c r="J732" s="5" t="s">
        <v>153</v>
      </c>
      <c r="K732" s="5" t="s">
        <v>8375</v>
      </c>
      <c r="L732" s="5" t="s">
        <v>55</v>
      </c>
      <c r="M732" s="5" t="s">
        <v>185</v>
      </c>
      <c r="N732" s="5" t="s">
        <v>8385</v>
      </c>
      <c r="O732" s="5" t="s">
        <v>187</v>
      </c>
      <c r="P732" s="5" t="s">
        <v>215</v>
      </c>
      <c r="Q732" s="5" t="s">
        <v>399</v>
      </c>
      <c r="R732" s="5" t="s">
        <v>8053</v>
      </c>
      <c r="S732" s="5" t="s">
        <v>8054</v>
      </c>
      <c r="T732" s="5" t="s">
        <v>162</v>
      </c>
      <c r="U732" s="5" t="n">
        <v>365</v>
      </c>
      <c r="V732" s="5" t="s">
        <v>8055</v>
      </c>
      <c r="W732" s="5" t="s">
        <v>8056</v>
      </c>
      <c r="X732" s="5" t="s">
        <v>8386</v>
      </c>
      <c r="Y732" s="5" t="s">
        <v>8387</v>
      </c>
      <c r="Z732" s="5" t="s">
        <v>8388</v>
      </c>
      <c r="AA732" s="5"/>
      <c r="AB732" s="5"/>
      <c r="AC732" s="5" t="s">
        <v>8389</v>
      </c>
      <c r="AD732" s="5"/>
      <c r="AE732" s="5"/>
      <c r="AF732" s="5" t="s">
        <v>8390</v>
      </c>
      <c r="AG732" s="5"/>
      <c r="AH732" s="5"/>
      <c r="AI732" s="5"/>
      <c r="AJ732" s="5" t="s">
        <v>8367</v>
      </c>
      <c r="AK732" s="5"/>
      <c r="AL732" s="5" t="s">
        <v>8390</v>
      </c>
      <c r="AM732" s="5"/>
      <c r="AN732" s="5"/>
      <c r="AO732" s="5" t="s">
        <v>8391</v>
      </c>
      <c r="AP732" s="5"/>
      <c r="AQ732" s="5"/>
      <c r="AR732" s="5" t="s">
        <v>687</v>
      </c>
      <c r="AS732" s="5"/>
      <c r="AT732" s="5"/>
      <c r="AU732" s="5"/>
      <c r="AV732" s="5"/>
      <c r="AW732" s="5" t="s">
        <v>8392</v>
      </c>
    </row>
    <row r="733" customFormat="false" ht="113.4" hidden="false" customHeight="false" outlineLevel="0" collapsed="false">
      <c r="A733" s="5" t="s">
        <v>8393</v>
      </c>
      <c r="B733" s="5" t="s">
        <v>8394</v>
      </c>
      <c r="C733" s="5" t="s">
        <v>8047</v>
      </c>
      <c r="D733" s="5" t="s">
        <v>8048</v>
      </c>
      <c r="E733" s="5" t="s">
        <v>600</v>
      </c>
      <c r="F733" s="5" t="s">
        <v>8395</v>
      </c>
      <c r="G733" s="5" t="s">
        <v>8396</v>
      </c>
      <c r="H733" s="5" t="n">
        <v>9</v>
      </c>
      <c r="I733" s="5" t="s">
        <v>152</v>
      </c>
      <c r="J733" s="5" t="s">
        <v>153</v>
      </c>
      <c r="K733" s="5" t="s">
        <v>8375</v>
      </c>
      <c r="L733" s="5" t="s">
        <v>55</v>
      </c>
      <c r="M733" s="5" t="s">
        <v>185</v>
      </c>
      <c r="N733" s="5" t="s">
        <v>665</v>
      </c>
      <c r="O733" s="5" t="s">
        <v>187</v>
      </c>
      <c r="P733" s="5" t="s">
        <v>215</v>
      </c>
      <c r="Q733" s="5" t="s">
        <v>399</v>
      </c>
      <c r="R733" s="5" t="s">
        <v>8053</v>
      </c>
      <c r="S733" s="5" t="s">
        <v>8054</v>
      </c>
      <c r="T733" s="5" t="s">
        <v>162</v>
      </c>
      <c r="U733" s="5" t="n">
        <v>365</v>
      </c>
      <c r="V733" s="5" t="s">
        <v>8055</v>
      </c>
      <c r="W733" s="5" t="s">
        <v>8056</v>
      </c>
      <c r="X733" s="5" t="s">
        <v>8397</v>
      </c>
      <c r="Y733" s="5" t="s">
        <v>8398</v>
      </c>
      <c r="Z733" s="5" t="s">
        <v>8399</v>
      </c>
      <c r="AA733" s="5"/>
      <c r="AB733" s="5"/>
      <c r="AC733" s="5"/>
      <c r="AD733" s="5"/>
      <c r="AE733" s="5"/>
      <c r="AF733" s="5" t="s">
        <v>8400</v>
      </c>
      <c r="AG733" s="5"/>
      <c r="AH733" s="5"/>
      <c r="AI733" s="5"/>
      <c r="AJ733" s="5" t="s">
        <v>8367</v>
      </c>
      <c r="AK733" s="5"/>
      <c r="AL733" s="5" t="s">
        <v>8400</v>
      </c>
      <c r="AM733" s="5"/>
      <c r="AN733" s="5"/>
      <c r="AO733" s="5" t="s">
        <v>8391</v>
      </c>
      <c r="AP733" s="5"/>
      <c r="AQ733" s="5"/>
      <c r="AR733" s="5" t="s">
        <v>687</v>
      </c>
      <c r="AS733" s="5"/>
      <c r="AT733" s="5"/>
      <c r="AU733" s="5"/>
      <c r="AV733" s="5"/>
      <c r="AW733" s="5" t="s">
        <v>8401</v>
      </c>
    </row>
    <row r="734" customFormat="false" ht="147" hidden="false" customHeight="false" outlineLevel="0" collapsed="false">
      <c r="A734" s="5" t="s">
        <v>8402</v>
      </c>
      <c r="B734" s="5" t="s">
        <v>8403</v>
      </c>
      <c r="C734" s="5" t="s">
        <v>8047</v>
      </c>
      <c r="D734" s="5" t="s">
        <v>8048</v>
      </c>
      <c r="E734" s="5" t="s">
        <v>600</v>
      </c>
      <c r="F734" s="5" t="s">
        <v>8404</v>
      </c>
      <c r="G734" s="5" t="s">
        <v>8405</v>
      </c>
      <c r="H734" s="5" t="n">
        <v>9</v>
      </c>
      <c r="I734" s="5" t="s">
        <v>152</v>
      </c>
      <c r="J734" s="5" t="s">
        <v>153</v>
      </c>
      <c r="K734" s="5" t="s">
        <v>8375</v>
      </c>
      <c r="L734" s="5" t="s">
        <v>55</v>
      </c>
      <c r="M734" s="5" t="s">
        <v>185</v>
      </c>
      <c r="N734" s="5" t="s">
        <v>8406</v>
      </c>
      <c r="O734" s="5" t="s">
        <v>187</v>
      </c>
      <c r="P734" s="5" t="s">
        <v>215</v>
      </c>
      <c r="Q734" s="5" t="s">
        <v>399</v>
      </c>
      <c r="R734" s="5" t="s">
        <v>8053</v>
      </c>
      <c r="S734" s="5" t="s">
        <v>8054</v>
      </c>
      <c r="T734" s="5" t="s">
        <v>162</v>
      </c>
      <c r="U734" s="5" t="n">
        <v>365</v>
      </c>
      <c r="V734" s="5" t="s">
        <v>8055</v>
      </c>
      <c r="W734" s="5" t="s">
        <v>8056</v>
      </c>
      <c r="X734" s="5" t="s">
        <v>8407</v>
      </c>
      <c r="Y734" s="5" t="s">
        <v>8408</v>
      </c>
      <c r="Z734" s="5" t="s">
        <v>8409</v>
      </c>
      <c r="AA734" s="5"/>
      <c r="AB734" s="5"/>
      <c r="AC734" s="5" t="s">
        <v>8410</v>
      </c>
      <c r="AD734" s="5"/>
      <c r="AE734" s="5"/>
      <c r="AF734" s="5" t="s">
        <v>5316</v>
      </c>
      <c r="AG734" s="5"/>
      <c r="AH734" s="5"/>
      <c r="AI734" s="5"/>
      <c r="AJ734" s="5" t="s">
        <v>8367</v>
      </c>
      <c r="AK734" s="5"/>
      <c r="AL734" s="5" t="s">
        <v>5316</v>
      </c>
      <c r="AM734" s="5"/>
      <c r="AN734" s="5"/>
      <c r="AO734" s="5" t="s">
        <v>8411</v>
      </c>
      <c r="AP734" s="5"/>
      <c r="AQ734" s="5" t="s">
        <v>5316</v>
      </c>
      <c r="AR734" s="5" t="s">
        <v>687</v>
      </c>
      <c r="AS734" s="5"/>
      <c r="AT734" s="5"/>
      <c r="AU734" s="5"/>
      <c r="AV734" s="5" t="s">
        <v>178</v>
      </c>
      <c r="AW734" s="5" t="s">
        <v>8412</v>
      </c>
    </row>
    <row r="735" customFormat="false" ht="113.4" hidden="false" customHeight="false" outlineLevel="0" collapsed="false">
      <c r="A735" s="5" t="s">
        <v>8413</v>
      </c>
      <c r="B735" s="5" t="s">
        <v>8414</v>
      </c>
      <c r="C735" s="5" t="s">
        <v>8047</v>
      </c>
      <c r="D735" s="5" t="s">
        <v>8048</v>
      </c>
      <c r="E735" s="5" t="s">
        <v>626</v>
      </c>
      <c r="F735" s="5" t="s">
        <v>8415</v>
      </c>
      <c r="G735" s="5" t="s">
        <v>8416</v>
      </c>
      <c r="H735" s="5" t="n">
        <v>9</v>
      </c>
      <c r="I735" s="5" t="s">
        <v>603</v>
      </c>
      <c r="J735" s="5" t="s">
        <v>153</v>
      </c>
      <c r="K735" s="5" t="s">
        <v>8375</v>
      </c>
      <c r="L735" s="5" t="s">
        <v>55</v>
      </c>
      <c r="M735" s="5" t="s">
        <v>185</v>
      </c>
      <c r="N735" s="5" t="s">
        <v>439</v>
      </c>
      <c r="O735" s="5" t="s">
        <v>187</v>
      </c>
      <c r="P735" s="5" t="s">
        <v>215</v>
      </c>
      <c r="Q735" s="5" t="s">
        <v>399</v>
      </c>
      <c r="R735" s="5" t="s">
        <v>8053</v>
      </c>
      <c r="S735" s="5" t="s">
        <v>8054</v>
      </c>
      <c r="T735" s="5" t="s">
        <v>606</v>
      </c>
      <c r="U735" s="5" t="n">
        <v>365</v>
      </c>
      <c r="V735" s="5" t="s">
        <v>8055</v>
      </c>
      <c r="W735" s="5" t="s">
        <v>8056</v>
      </c>
      <c r="X735" s="5" t="s">
        <v>8417</v>
      </c>
      <c r="Y735" s="5" t="s">
        <v>8418</v>
      </c>
      <c r="Z735" s="5" t="s">
        <v>8419</v>
      </c>
      <c r="AA735" s="5"/>
      <c r="AB735" s="5"/>
      <c r="AC735" s="5"/>
      <c r="AD735" s="5"/>
      <c r="AE735" s="5"/>
      <c r="AF735" s="5"/>
      <c r="AG735" s="5"/>
      <c r="AH735" s="5"/>
      <c r="AI735" s="5"/>
      <c r="AJ735" s="5" t="s">
        <v>8081</v>
      </c>
      <c r="AK735" s="5"/>
      <c r="AL735" s="5"/>
      <c r="AM735" s="5"/>
      <c r="AN735" s="5"/>
      <c r="AO735" s="5"/>
      <c r="AP735" s="5"/>
      <c r="AQ735" s="5"/>
      <c r="AR735" s="5"/>
      <c r="AS735" s="5"/>
      <c r="AT735" s="5"/>
      <c r="AU735" s="5"/>
      <c r="AV735" s="5"/>
      <c r="AW735" s="5" t="s">
        <v>8420</v>
      </c>
    </row>
    <row r="736" customFormat="false" ht="191.75" hidden="false" customHeight="false" outlineLevel="0" collapsed="false">
      <c r="A736" s="5" t="s">
        <v>8421</v>
      </c>
      <c r="B736" s="5" t="s">
        <v>8422</v>
      </c>
      <c r="C736" s="5" t="s">
        <v>8047</v>
      </c>
      <c r="D736" s="5" t="s">
        <v>8048</v>
      </c>
      <c r="E736" s="5" t="s">
        <v>626</v>
      </c>
      <c r="F736" s="5" t="s">
        <v>8423</v>
      </c>
      <c r="G736" s="5" t="s">
        <v>8424</v>
      </c>
      <c r="H736" s="5" t="n">
        <v>9</v>
      </c>
      <c r="I736" s="5" t="s">
        <v>152</v>
      </c>
      <c r="J736" s="5" t="s">
        <v>153</v>
      </c>
      <c r="K736" s="5"/>
      <c r="L736" s="5" t="s">
        <v>30</v>
      </c>
      <c r="M736" s="5" t="s">
        <v>155</v>
      </c>
      <c r="N736" s="5" t="s">
        <v>619</v>
      </c>
      <c r="O736" s="5" t="s">
        <v>157</v>
      </c>
      <c r="P736" s="5" t="s">
        <v>215</v>
      </c>
      <c r="Q736" s="5" t="s">
        <v>399</v>
      </c>
      <c r="R736" s="5" t="s">
        <v>8053</v>
      </c>
      <c r="S736" s="5" t="s">
        <v>8054</v>
      </c>
      <c r="T736" s="5" t="s">
        <v>162</v>
      </c>
      <c r="U736" s="5" t="n">
        <v>365</v>
      </c>
      <c r="V736" s="5" t="s">
        <v>8055</v>
      </c>
      <c r="W736" s="5" t="s">
        <v>8056</v>
      </c>
      <c r="X736" s="5" t="s">
        <v>8425</v>
      </c>
      <c r="Y736" s="5" t="s">
        <v>8426</v>
      </c>
      <c r="Z736" s="5" t="s">
        <v>8427</v>
      </c>
      <c r="AA736" s="5"/>
      <c r="AB736" s="5"/>
      <c r="AC736" s="5"/>
      <c r="AD736" s="5"/>
      <c r="AE736" s="5"/>
      <c r="AF736" s="5" t="s">
        <v>8428</v>
      </c>
      <c r="AG736" s="5" t="s">
        <v>8429</v>
      </c>
      <c r="AH736" s="5"/>
      <c r="AI736" s="5"/>
      <c r="AJ736" s="5"/>
      <c r="AK736" s="5"/>
      <c r="AL736" s="5" t="s">
        <v>8428</v>
      </c>
      <c r="AM736" s="5"/>
      <c r="AN736" s="5" t="s">
        <v>8429</v>
      </c>
      <c r="AO736" s="5"/>
      <c r="AP736" s="5"/>
      <c r="AQ736" s="5" t="s">
        <v>819</v>
      </c>
      <c r="AR736" s="5" t="s">
        <v>706</v>
      </c>
      <c r="AS736" s="5"/>
      <c r="AT736" s="5"/>
      <c r="AU736" s="5"/>
      <c r="AV736" s="5" t="s">
        <v>178</v>
      </c>
      <c r="AW736" s="5" t="s">
        <v>8430</v>
      </c>
    </row>
    <row r="737" customFormat="false" ht="124.6" hidden="false" customHeight="false" outlineLevel="0" collapsed="false">
      <c r="A737" s="5" t="s">
        <v>8431</v>
      </c>
      <c r="B737" s="5" t="s">
        <v>8432</v>
      </c>
      <c r="C737" s="5" t="s">
        <v>8047</v>
      </c>
      <c r="D737" s="5" t="s">
        <v>8048</v>
      </c>
      <c r="E737" s="5" t="s">
        <v>626</v>
      </c>
      <c r="F737" s="5" t="s">
        <v>8433</v>
      </c>
      <c r="G737" s="5" t="s">
        <v>8434</v>
      </c>
      <c r="H737" s="5" t="n">
        <v>6</v>
      </c>
      <c r="I737" s="5" t="s">
        <v>274</v>
      </c>
      <c r="J737" s="5" t="s">
        <v>153</v>
      </c>
      <c r="K737" s="5"/>
      <c r="L737" s="5" t="s">
        <v>30</v>
      </c>
      <c r="M737" s="5" t="s">
        <v>155</v>
      </c>
      <c r="N737" s="5" t="s">
        <v>1003</v>
      </c>
      <c r="O737" s="5" t="s">
        <v>157</v>
      </c>
      <c r="P737" s="5" t="s">
        <v>215</v>
      </c>
      <c r="Q737" s="5" t="s">
        <v>399</v>
      </c>
      <c r="R737" s="5" t="s">
        <v>8053</v>
      </c>
      <c r="S737" s="5" t="s">
        <v>8054</v>
      </c>
      <c r="T737" s="5" t="s">
        <v>277</v>
      </c>
      <c r="U737" s="5" t="n">
        <v>365</v>
      </c>
      <c r="V737" s="5" t="s">
        <v>8055</v>
      </c>
      <c r="W737" s="5" t="s">
        <v>8056</v>
      </c>
      <c r="X737" s="5" t="s">
        <v>8435</v>
      </c>
      <c r="Y737" s="5" t="s">
        <v>8436</v>
      </c>
      <c r="Z737" s="5" t="s">
        <v>8437</v>
      </c>
      <c r="AA737" s="5"/>
      <c r="AB737" s="5"/>
      <c r="AC737" s="5"/>
      <c r="AD737" s="5"/>
      <c r="AE737" s="5"/>
      <c r="AF737" s="5" t="s">
        <v>8438</v>
      </c>
      <c r="AG737" s="5" t="s">
        <v>8438</v>
      </c>
      <c r="AH737" s="5"/>
      <c r="AI737" s="5"/>
      <c r="AJ737" s="5"/>
      <c r="AK737" s="5"/>
      <c r="AL737" s="5" t="s">
        <v>8438</v>
      </c>
      <c r="AM737" s="5"/>
      <c r="AN737" s="5" t="s">
        <v>8439</v>
      </c>
      <c r="AO737" s="5"/>
      <c r="AP737" s="5"/>
      <c r="AQ737" s="5"/>
      <c r="AR737" s="5" t="s">
        <v>706</v>
      </c>
      <c r="AS737" s="5"/>
      <c r="AT737" s="5"/>
      <c r="AU737" s="5"/>
      <c r="AV737" s="5" t="s">
        <v>178</v>
      </c>
      <c r="AW737" s="5" t="s">
        <v>8440</v>
      </c>
    </row>
    <row r="738" customFormat="false" ht="113.4" hidden="false" customHeight="false" outlineLevel="0" collapsed="false">
      <c r="A738" s="5" t="s">
        <v>8441</v>
      </c>
      <c r="B738" s="5" t="s">
        <v>8442</v>
      </c>
      <c r="C738" s="5" t="s">
        <v>8047</v>
      </c>
      <c r="D738" s="5" t="s">
        <v>8048</v>
      </c>
      <c r="E738" s="5" t="s">
        <v>626</v>
      </c>
      <c r="F738" s="5" t="s">
        <v>8443</v>
      </c>
      <c r="G738" s="5" t="s">
        <v>8444</v>
      </c>
      <c r="H738" s="5" t="n">
        <v>0</v>
      </c>
      <c r="I738" s="5" t="s">
        <v>8445</v>
      </c>
      <c r="J738" s="5" t="s">
        <v>153</v>
      </c>
      <c r="K738" s="5"/>
      <c r="L738" s="5" t="s">
        <v>68</v>
      </c>
      <c r="M738" s="5" t="s">
        <v>185</v>
      </c>
      <c r="N738" s="5" t="s">
        <v>76</v>
      </c>
      <c r="O738" s="5" t="s">
        <v>187</v>
      </c>
      <c r="P738" s="5" t="s">
        <v>215</v>
      </c>
      <c r="Q738" s="5" t="s">
        <v>399</v>
      </c>
      <c r="R738" s="5" t="s">
        <v>8053</v>
      </c>
      <c r="S738" s="5" t="s">
        <v>8054</v>
      </c>
      <c r="T738" s="5" t="s">
        <v>162</v>
      </c>
      <c r="U738" s="5" t="n">
        <v>365</v>
      </c>
      <c r="V738" s="5" t="s">
        <v>8055</v>
      </c>
      <c r="W738" s="5" t="s">
        <v>8056</v>
      </c>
      <c r="X738" s="5" t="s">
        <v>8446</v>
      </c>
      <c r="Y738" s="5" t="s">
        <v>8447</v>
      </c>
      <c r="Z738" s="5" t="s">
        <v>8448</v>
      </c>
      <c r="AA738" s="5"/>
      <c r="AB738" s="5"/>
      <c r="AC738" s="5"/>
      <c r="AD738" s="5"/>
      <c r="AE738" s="5"/>
      <c r="AF738" s="5"/>
      <c r="AG738" s="5"/>
      <c r="AH738" s="5"/>
      <c r="AI738" s="5"/>
      <c r="AJ738" s="5"/>
      <c r="AK738" s="5"/>
      <c r="AL738" s="5"/>
      <c r="AM738" s="5"/>
      <c r="AN738" s="5" t="s">
        <v>785</v>
      </c>
      <c r="AO738" s="5"/>
      <c r="AP738" s="5"/>
      <c r="AQ738" s="5"/>
      <c r="AR738" s="5"/>
      <c r="AS738" s="5"/>
      <c r="AT738" s="5"/>
      <c r="AU738" s="5"/>
      <c r="AV738" s="5"/>
      <c r="AW738" s="5" t="s">
        <v>8449</v>
      </c>
    </row>
    <row r="739" customFormat="false" ht="147" hidden="false" customHeight="false" outlineLevel="0" collapsed="false">
      <c r="A739" s="5" t="s">
        <v>8450</v>
      </c>
      <c r="B739" s="5" t="s">
        <v>8451</v>
      </c>
      <c r="C739" s="5" t="s">
        <v>8047</v>
      </c>
      <c r="D739" s="5" t="s">
        <v>8048</v>
      </c>
      <c r="E739" s="5" t="s">
        <v>626</v>
      </c>
      <c r="F739" s="5" t="s">
        <v>8452</v>
      </c>
      <c r="G739" s="5" t="s">
        <v>8453</v>
      </c>
      <c r="H739" s="5" t="n">
        <v>8</v>
      </c>
      <c r="I739" s="5" t="s">
        <v>152</v>
      </c>
      <c r="J739" s="5" t="s">
        <v>153</v>
      </c>
      <c r="K739" s="5"/>
      <c r="L739" s="5" t="s">
        <v>30</v>
      </c>
      <c r="M739" s="5" t="s">
        <v>155</v>
      </c>
      <c r="N739" s="5" t="s">
        <v>4489</v>
      </c>
      <c r="O739" s="5" t="s">
        <v>157</v>
      </c>
      <c r="P739" s="5" t="s">
        <v>215</v>
      </c>
      <c r="Q739" s="5" t="s">
        <v>399</v>
      </c>
      <c r="R739" s="5" t="s">
        <v>8053</v>
      </c>
      <c r="S739" s="5" t="s">
        <v>8054</v>
      </c>
      <c r="T739" s="5" t="s">
        <v>162</v>
      </c>
      <c r="U739" s="5" t="n">
        <v>365</v>
      </c>
      <c r="V739" s="5" t="s">
        <v>8055</v>
      </c>
      <c r="W739" s="5" t="s">
        <v>8056</v>
      </c>
      <c r="X739" s="5" t="s">
        <v>8454</v>
      </c>
      <c r="Y739" s="5" t="s">
        <v>8455</v>
      </c>
      <c r="Z739" s="5" t="s">
        <v>8456</v>
      </c>
      <c r="AA739" s="5"/>
      <c r="AB739" s="5"/>
      <c r="AC739" s="5"/>
      <c r="AD739" s="5"/>
      <c r="AE739" s="5"/>
      <c r="AF739" s="5" t="s">
        <v>8457</v>
      </c>
      <c r="AG739" s="5" t="s">
        <v>8458</v>
      </c>
      <c r="AH739" s="5"/>
      <c r="AI739" s="5"/>
      <c r="AJ739" s="5"/>
      <c r="AK739" s="5"/>
      <c r="AL739" s="5" t="s">
        <v>8457</v>
      </c>
      <c r="AM739" s="5"/>
      <c r="AN739" s="5"/>
      <c r="AO739" s="5" t="s">
        <v>8459</v>
      </c>
      <c r="AP739" s="5"/>
      <c r="AQ739" s="5" t="s">
        <v>8460</v>
      </c>
      <c r="AR739" s="5" t="s">
        <v>8461</v>
      </c>
      <c r="AS739" s="5"/>
      <c r="AT739" s="5"/>
      <c r="AU739" s="5"/>
      <c r="AV739" s="5"/>
      <c r="AW739" s="5" t="s">
        <v>8462</v>
      </c>
    </row>
    <row r="740" customFormat="false" ht="225.35" hidden="false" customHeight="false" outlineLevel="0" collapsed="false">
      <c r="A740" s="5" t="s">
        <v>8463</v>
      </c>
      <c r="B740" s="5" t="s">
        <v>8464</v>
      </c>
      <c r="C740" s="5" t="s">
        <v>8047</v>
      </c>
      <c r="D740" s="5" t="s">
        <v>8048</v>
      </c>
      <c r="E740" s="5" t="s">
        <v>626</v>
      </c>
      <c r="F740" s="5" t="s">
        <v>8465</v>
      </c>
      <c r="G740" s="5" t="s">
        <v>8466</v>
      </c>
      <c r="H740" s="5" t="n">
        <v>9</v>
      </c>
      <c r="I740" s="5" t="s">
        <v>152</v>
      </c>
      <c r="J740" s="5" t="s">
        <v>153</v>
      </c>
      <c r="K740" s="5" t="s">
        <v>8467</v>
      </c>
      <c r="L740" s="5" t="s">
        <v>30</v>
      </c>
      <c r="M740" s="5" t="s">
        <v>155</v>
      </c>
      <c r="N740" s="5" t="s">
        <v>895</v>
      </c>
      <c r="O740" s="5" t="s">
        <v>157</v>
      </c>
      <c r="P740" s="5" t="s">
        <v>641</v>
      </c>
      <c r="Q740" s="5" t="s">
        <v>399</v>
      </c>
      <c r="R740" s="5" t="s">
        <v>8053</v>
      </c>
      <c r="S740" s="5" t="s">
        <v>8054</v>
      </c>
      <c r="T740" s="5" t="s">
        <v>162</v>
      </c>
      <c r="U740" s="5" t="n">
        <v>365</v>
      </c>
      <c r="V740" s="5" t="s">
        <v>8055</v>
      </c>
      <c r="W740" s="5" t="s">
        <v>8056</v>
      </c>
      <c r="X740" s="5" t="s">
        <v>8468</v>
      </c>
      <c r="Y740" s="5" t="s">
        <v>8469</v>
      </c>
      <c r="Z740" s="5" t="s">
        <v>8470</v>
      </c>
      <c r="AA740" s="5"/>
      <c r="AB740" s="5"/>
      <c r="AC740" s="5"/>
      <c r="AD740" s="5"/>
      <c r="AE740" s="5"/>
      <c r="AF740" s="5" t="s">
        <v>8471</v>
      </c>
      <c r="AG740" s="5" t="s">
        <v>8471</v>
      </c>
      <c r="AH740" s="5"/>
      <c r="AI740" s="5"/>
      <c r="AJ740" s="5"/>
      <c r="AK740" s="5" t="s">
        <v>809</v>
      </c>
      <c r="AL740" s="5" t="s">
        <v>8471</v>
      </c>
      <c r="AM740" s="5" t="s">
        <v>8471</v>
      </c>
      <c r="AN740" s="5"/>
      <c r="AO740" s="5"/>
      <c r="AP740" s="5"/>
      <c r="AQ740" s="5"/>
      <c r="AR740" s="5" t="s">
        <v>687</v>
      </c>
      <c r="AS740" s="5"/>
      <c r="AT740" s="5" t="s">
        <v>8472</v>
      </c>
      <c r="AU740" s="5"/>
      <c r="AV740" s="5" t="s">
        <v>178</v>
      </c>
      <c r="AW740" s="5" t="s">
        <v>8473</v>
      </c>
    </row>
    <row r="741" customFormat="false" ht="135.8" hidden="false" customHeight="false" outlineLevel="0" collapsed="false">
      <c r="A741" s="5" t="s">
        <v>8474</v>
      </c>
      <c r="B741" s="5" t="s">
        <v>8475</v>
      </c>
      <c r="C741" s="5" t="s">
        <v>8047</v>
      </c>
      <c r="D741" s="5" t="s">
        <v>8048</v>
      </c>
      <c r="E741" s="5" t="s">
        <v>626</v>
      </c>
      <c r="F741" s="5" t="s">
        <v>8476</v>
      </c>
      <c r="G741" s="5" t="s">
        <v>8477</v>
      </c>
      <c r="H741" s="5" t="n">
        <v>8</v>
      </c>
      <c r="I741" s="5" t="s">
        <v>152</v>
      </c>
      <c r="J741" s="5" t="s">
        <v>153</v>
      </c>
      <c r="K741" s="5" t="s">
        <v>8467</v>
      </c>
      <c r="L741" s="5" t="s">
        <v>55</v>
      </c>
      <c r="M741" s="5" t="s">
        <v>185</v>
      </c>
      <c r="N741" s="5" t="s">
        <v>7295</v>
      </c>
      <c r="O741" s="5" t="s">
        <v>187</v>
      </c>
      <c r="P741" s="5" t="s">
        <v>215</v>
      </c>
      <c r="Q741" s="5" t="s">
        <v>399</v>
      </c>
      <c r="R741" s="5" t="s">
        <v>8053</v>
      </c>
      <c r="S741" s="5" t="s">
        <v>8054</v>
      </c>
      <c r="T741" s="5" t="s">
        <v>162</v>
      </c>
      <c r="U741" s="5" t="n">
        <v>365</v>
      </c>
      <c r="V741" s="5" t="s">
        <v>8055</v>
      </c>
      <c r="W741" s="5" t="s">
        <v>8056</v>
      </c>
      <c r="X741" s="5" t="s">
        <v>8478</v>
      </c>
      <c r="Y741" s="5" t="s">
        <v>8479</v>
      </c>
      <c r="Z741" s="5" t="s">
        <v>8480</v>
      </c>
      <c r="AA741" s="5"/>
      <c r="AB741" s="5"/>
      <c r="AC741" s="5"/>
      <c r="AD741" s="5"/>
      <c r="AE741" s="5"/>
      <c r="AF741" s="5" t="s">
        <v>8481</v>
      </c>
      <c r="AG741" s="5"/>
      <c r="AH741" s="5"/>
      <c r="AI741" s="5"/>
      <c r="AJ741" s="5" t="s">
        <v>8482</v>
      </c>
      <c r="AK741" s="5" t="s">
        <v>809</v>
      </c>
      <c r="AL741" s="5" t="s">
        <v>8481</v>
      </c>
      <c r="AM741" s="5"/>
      <c r="AN741" s="5"/>
      <c r="AO741" s="5" t="s">
        <v>8483</v>
      </c>
      <c r="AP741" s="5"/>
      <c r="AQ741" s="5"/>
      <c r="AR741" s="5" t="s">
        <v>687</v>
      </c>
      <c r="AS741" s="5"/>
      <c r="AT741" s="5"/>
      <c r="AU741" s="5"/>
      <c r="AV741" s="5" t="s">
        <v>178</v>
      </c>
      <c r="AW741" s="5" t="s">
        <v>8484</v>
      </c>
    </row>
    <row r="742" customFormat="false" ht="191.75" hidden="false" customHeight="false" outlineLevel="0" collapsed="false">
      <c r="A742" s="5" t="s">
        <v>8485</v>
      </c>
      <c r="B742" s="5" t="s">
        <v>8486</v>
      </c>
      <c r="C742" s="5" t="s">
        <v>8047</v>
      </c>
      <c r="D742" s="5" t="s">
        <v>8048</v>
      </c>
      <c r="E742" s="5" t="s">
        <v>626</v>
      </c>
      <c r="F742" s="5" t="s">
        <v>8487</v>
      </c>
      <c r="G742" s="5" t="s">
        <v>8488</v>
      </c>
      <c r="H742" s="5" t="n">
        <v>5</v>
      </c>
      <c r="I742" s="5" t="s">
        <v>152</v>
      </c>
      <c r="J742" s="5" t="s">
        <v>153</v>
      </c>
      <c r="K742" s="5" t="s">
        <v>8467</v>
      </c>
      <c r="L742" s="5" t="s">
        <v>55</v>
      </c>
      <c r="M742" s="5" t="s">
        <v>185</v>
      </c>
      <c r="N742" s="5" t="s">
        <v>54</v>
      </c>
      <c r="O742" s="5" t="s">
        <v>187</v>
      </c>
      <c r="P742" s="5" t="s">
        <v>215</v>
      </c>
      <c r="Q742" s="5" t="s">
        <v>399</v>
      </c>
      <c r="R742" s="5" t="s">
        <v>8053</v>
      </c>
      <c r="S742" s="5" t="s">
        <v>8054</v>
      </c>
      <c r="T742" s="5" t="s">
        <v>162</v>
      </c>
      <c r="U742" s="5" t="n">
        <v>365</v>
      </c>
      <c r="V742" s="5" t="s">
        <v>8055</v>
      </c>
      <c r="W742" s="5" t="s">
        <v>8056</v>
      </c>
      <c r="X742" s="5" t="s">
        <v>8489</v>
      </c>
      <c r="Y742" s="5" t="s">
        <v>8490</v>
      </c>
      <c r="Z742" s="5" t="s">
        <v>8491</v>
      </c>
      <c r="AA742" s="5"/>
      <c r="AB742" s="5"/>
      <c r="AC742" s="5"/>
      <c r="AD742" s="5"/>
      <c r="AE742" s="5"/>
      <c r="AF742" s="5" t="s">
        <v>8492</v>
      </c>
      <c r="AG742" s="5"/>
      <c r="AH742" s="5"/>
      <c r="AI742" s="5"/>
      <c r="AJ742" s="5"/>
      <c r="AK742" s="5" t="s">
        <v>809</v>
      </c>
      <c r="AL742" s="5" t="s">
        <v>8492</v>
      </c>
      <c r="AM742" s="5"/>
      <c r="AN742" s="5"/>
      <c r="AO742" s="5"/>
      <c r="AP742" s="5"/>
      <c r="AQ742" s="5"/>
      <c r="AR742" s="5" t="s">
        <v>687</v>
      </c>
      <c r="AS742" s="5"/>
      <c r="AT742" s="5"/>
      <c r="AU742" s="5"/>
      <c r="AV742" s="5" t="s">
        <v>178</v>
      </c>
      <c r="AW742" s="5" t="s">
        <v>8493</v>
      </c>
    </row>
    <row r="743" customFormat="false" ht="214.15" hidden="false" customHeight="false" outlineLevel="0" collapsed="false">
      <c r="A743" s="5" t="s">
        <v>8494</v>
      </c>
      <c r="B743" s="5" t="s">
        <v>8495</v>
      </c>
      <c r="C743" s="5" t="s">
        <v>8047</v>
      </c>
      <c r="D743" s="5" t="s">
        <v>8048</v>
      </c>
      <c r="E743" s="5" t="s">
        <v>626</v>
      </c>
      <c r="F743" s="5" t="s">
        <v>8496</v>
      </c>
      <c r="G743" s="5" t="s">
        <v>8497</v>
      </c>
      <c r="H743" s="5" t="n">
        <v>9</v>
      </c>
      <c r="I743" s="5" t="s">
        <v>152</v>
      </c>
      <c r="J743" s="5" t="s">
        <v>153</v>
      </c>
      <c r="K743" s="5"/>
      <c r="L743" s="5" t="s">
        <v>68</v>
      </c>
      <c r="M743" s="5" t="s">
        <v>185</v>
      </c>
      <c r="N743" s="5" t="s">
        <v>8498</v>
      </c>
      <c r="O743" s="5" t="s">
        <v>187</v>
      </c>
      <c r="P743" s="5" t="s">
        <v>158</v>
      </c>
      <c r="Q743" s="5" t="s">
        <v>335</v>
      </c>
      <c r="R743" s="5" t="s">
        <v>8053</v>
      </c>
      <c r="S743" s="5" t="s">
        <v>8054</v>
      </c>
      <c r="T743" s="5" t="s">
        <v>162</v>
      </c>
      <c r="U743" s="5" t="n">
        <v>365</v>
      </c>
      <c r="V743" s="5" t="s">
        <v>8055</v>
      </c>
      <c r="W743" s="5" t="s">
        <v>8056</v>
      </c>
      <c r="X743" s="5" t="s">
        <v>8499</v>
      </c>
      <c r="Y743" s="5" t="s">
        <v>8500</v>
      </c>
      <c r="Z743" s="5" t="s">
        <v>8501</v>
      </c>
      <c r="AA743" s="5"/>
      <c r="AB743" s="5"/>
      <c r="AC743" s="5" t="s">
        <v>8502</v>
      </c>
      <c r="AD743" s="5"/>
      <c r="AE743" s="5"/>
      <c r="AF743" s="5" t="s">
        <v>8302</v>
      </c>
      <c r="AG743" s="5"/>
      <c r="AH743" s="5"/>
      <c r="AI743" s="5"/>
      <c r="AJ743" s="5"/>
      <c r="AK743" s="5"/>
      <c r="AL743" s="5" t="s">
        <v>8302</v>
      </c>
      <c r="AM743" s="5"/>
      <c r="AN743" s="5"/>
      <c r="AO743" s="5" t="s">
        <v>8066</v>
      </c>
      <c r="AP743" s="5"/>
      <c r="AQ743" s="5" t="s">
        <v>8302</v>
      </c>
      <c r="AR743" s="5" t="s">
        <v>687</v>
      </c>
      <c r="AS743" s="5"/>
      <c r="AT743" s="5"/>
      <c r="AU743" s="5"/>
      <c r="AV743" s="5"/>
      <c r="AW743" s="5" t="s">
        <v>8370</v>
      </c>
    </row>
    <row r="744" customFormat="false" ht="147" hidden="false" customHeight="false" outlineLevel="0" collapsed="false">
      <c r="A744" s="5" t="s">
        <v>8503</v>
      </c>
      <c r="B744" s="5" t="s">
        <v>8504</v>
      </c>
      <c r="C744" s="5" t="s">
        <v>8047</v>
      </c>
      <c r="D744" s="5" t="s">
        <v>8048</v>
      </c>
      <c r="E744" s="5" t="s">
        <v>626</v>
      </c>
      <c r="F744" s="5" t="s">
        <v>8505</v>
      </c>
      <c r="G744" s="5" t="s">
        <v>8506</v>
      </c>
      <c r="H744" s="5" t="n">
        <v>10</v>
      </c>
      <c r="I744" s="5" t="s">
        <v>152</v>
      </c>
      <c r="J744" s="5" t="s">
        <v>153</v>
      </c>
      <c r="K744" s="5" t="s">
        <v>7684</v>
      </c>
      <c r="L744" s="5" t="s">
        <v>30</v>
      </c>
      <c r="M744" s="5" t="s">
        <v>155</v>
      </c>
      <c r="N744" s="5" t="s">
        <v>1500</v>
      </c>
      <c r="O744" s="5" t="s">
        <v>157</v>
      </c>
      <c r="P744" s="5" t="s">
        <v>215</v>
      </c>
      <c r="Q744" s="5" t="s">
        <v>399</v>
      </c>
      <c r="R744" s="5" t="s">
        <v>8053</v>
      </c>
      <c r="S744" s="5" t="s">
        <v>8054</v>
      </c>
      <c r="T744" s="5" t="s">
        <v>162</v>
      </c>
      <c r="U744" s="5" t="n">
        <v>365</v>
      </c>
      <c r="V744" s="5" t="s">
        <v>8055</v>
      </c>
      <c r="W744" s="5" t="s">
        <v>8056</v>
      </c>
      <c r="X744" s="5" t="s">
        <v>8507</v>
      </c>
      <c r="Y744" s="5" t="s">
        <v>8508</v>
      </c>
      <c r="Z744" s="5" t="s">
        <v>8509</v>
      </c>
      <c r="AA744" s="5"/>
      <c r="AB744" s="5"/>
      <c r="AC744" s="5"/>
      <c r="AD744" s="5"/>
      <c r="AE744" s="5"/>
      <c r="AF744" s="5" t="s">
        <v>8510</v>
      </c>
      <c r="AG744" s="5" t="s">
        <v>8510</v>
      </c>
      <c r="AH744" s="5"/>
      <c r="AI744" s="5"/>
      <c r="AJ744" s="5" t="s">
        <v>8511</v>
      </c>
      <c r="AK744" s="5" t="s">
        <v>5456</v>
      </c>
      <c r="AL744" s="5" t="s">
        <v>8510</v>
      </c>
      <c r="AM744" s="5"/>
      <c r="AN744" s="5" t="s">
        <v>8510</v>
      </c>
      <c r="AO744" s="5"/>
      <c r="AP744" s="5"/>
      <c r="AQ744" s="5" t="s">
        <v>8510</v>
      </c>
      <c r="AR744" s="5" t="s">
        <v>687</v>
      </c>
      <c r="AS744" s="5"/>
      <c r="AT744" s="5"/>
      <c r="AU744" s="5"/>
      <c r="AV744" s="5" t="s">
        <v>178</v>
      </c>
      <c r="AW744" s="5" t="s">
        <v>8512</v>
      </c>
    </row>
    <row r="745" customFormat="false" ht="124.6" hidden="false" customHeight="false" outlineLevel="0" collapsed="false">
      <c r="A745" s="5" t="s">
        <v>8513</v>
      </c>
      <c r="B745" s="5" t="s">
        <v>8514</v>
      </c>
      <c r="C745" s="5" t="s">
        <v>8047</v>
      </c>
      <c r="D745" s="5" t="s">
        <v>8048</v>
      </c>
      <c r="E745" s="5" t="s">
        <v>626</v>
      </c>
      <c r="F745" s="5" t="s">
        <v>8515</v>
      </c>
      <c r="G745" s="5" t="s">
        <v>8516</v>
      </c>
      <c r="H745" s="5" t="n">
        <v>8</v>
      </c>
      <c r="I745" s="5" t="s">
        <v>152</v>
      </c>
      <c r="J745" s="5" t="s">
        <v>153</v>
      </c>
      <c r="K745" s="5"/>
      <c r="L745" s="5" t="s">
        <v>30</v>
      </c>
      <c r="M745" s="5" t="s">
        <v>155</v>
      </c>
      <c r="N745" s="5" t="s">
        <v>3895</v>
      </c>
      <c r="O745" s="5" t="s">
        <v>157</v>
      </c>
      <c r="P745" s="5" t="s">
        <v>215</v>
      </c>
      <c r="Q745" s="5" t="s">
        <v>399</v>
      </c>
      <c r="R745" s="5" t="s">
        <v>8053</v>
      </c>
      <c r="S745" s="5" t="s">
        <v>8054</v>
      </c>
      <c r="T745" s="5" t="s">
        <v>162</v>
      </c>
      <c r="U745" s="5" t="n">
        <v>365</v>
      </c>
      <c r="V745" s="5" t="s">
        <v>8055</v>
      </c>
      <c r="W745" s="5" t="s">
        <v>8056</v>
      </c>
      <c r="X745" s="5" t="s">
        <v>8517</v>
      </c>
      <c r="Y745" s="5" t="s">
        <v>8518</v>
      </c>
      <c r="Z745" s="5" t="s">
        <v>8519</v>
      </c>
      <c r="AA745" s="5"/>
      <c r="AB745" s="5"/>
      <c r="AC745" s="5"/>
      <c r="AD745" s="5"/>
      <c r="AE745" s="5"/>
      <c r="AF745" s="5" t="s">
        <v>8510</v>
      </c>
      <c r="AG745" s="5" t="s">
        <v>8510</v>
      </c>
      <c r="AH745" s="5"/>
      <c r="AI745" s="5"/>
      <c r="AJ745" s="5" t="s">
        <v>8511</v>
      </c>
      <c r="AK745" s="5"/>
      <c r="AL745" s="5" t="s">
        <v>8510</v>
      </c>
      <c r="AM745" s="5"/>
      <c r="AN745" s="5" t="s">
        <v>8510</v>
      </c>
      <c r="AO745" s="5"/>
      <c r="AP745" s="5"/>
      <c r="AQ745" s="5" t="s">
        <v>8510</v>
      </c>
      <c r="AR745" s="5" t="s">
        <v>687</v>
      </c>
      <c r="AS745" s="5"/>
      <c r="AT745" s="5"/>
      <c r="AU745" s="5"/>
      <c r="AV745" s="5" t="s">
        <v>178</v>
      </c>
      <c r="AW745" s="5" t="s">
        <v>8189</v>
      </c>
    </row>
    <row r="746" customFormat="false" ht="147" hidden="false" customHeight="false" outlineLevel="0" collapsed="false">
      <c r="A746" s="5" t="s">
        <v>8520</v>
      </c>
      <c r="B746" s="5" t="s">
        <v>8521</v>
      </c>
      <c r="C746" s="5" t="s">
        <v>8047</v>
      </c>
      <c r="D746" s="5" t="s">
        <v>8048</v>
      </c>
      <c r="E746" s="5" t="s">
        <v>626</v>
      </c>
      <c r="F746" s="5" t="s">
        <v>8522</v>
      </c>
      <c r="G746" s="5" t="s">
        <v>8523</v>
      </c>
      <c r="H746" s="5" t="n">
        <v>9</v>
      </c>
      <c r="I746" s="5" t="s">
        <v>603</v>
      </c>
      <c r="J746" s="5" t="s">
        <v>153</v>
      </c>
      <c r="K746" s="5"/>
      <c r="L746" s="5" t="s">
        <v>30</v>
      </c>
      <c r="M746" s="5" t="s">
        <v>155</v>
      </c>
      <c r="N746" s="5" t="s">
        <v>8524</v>
      </c>
      <c r="O746" s="5" t="s">
        <v>570</v>
      </c>
      <c r="P746" s="5" t="s">
        <v>215</v>
      </c>
      <c r="Q746" s="5" t="s">
        <v>399</v>
      </c>
      <c r="R746" s="5" t="s">
        <v>8053</v>
      </c>
      <c r="S746" s="5" t="s">
        <v>8054</v>
      </c>
      <c r="T746" s="5" t="s">
        <v>606</v>
      </c>
      <c r="U746" s="5" t="n">
        <v>365</v>
      </c>
      <c r="V746" s="5" t="s">
        <v>8055</v>
      </c>
      <c r="W746" s="5" t="s">
        <v>8056</v>
      </c>
      <c r="X746" s="5" t="s">
        <v>8525</v>
      </c>
      <c r="Y746" s="5" t="s">
        <v>8526</v>
      </c>
      <c r="Z746" s="5" t="s">
        <v>8527</v>
      </c>
      <c r="AA746" s="5"/>
      <c r="AB746" s="5" t="s">
        <v>8528</v>
      </c>
      <c r="AC746" s="5"/>
      <c r="AD746" s="5" t="s">
        <v>8529</v>
      </c>
      <c r="AE746" s="5"/>
      <c r="AF746" s="5" t="s">
        <v>6057</v>
      </c>
      <c r="AG746" s="5" t="s">
        <v>6057</v>
      </c>
      <c r="AH746" s="5"/>
      <c r="AI746" s="5"/>
      <c r="AJ746" s="5"/>
      <c r="AK746" s="5"/>
      <c r="AL746" s="5" t="s">
        <v>6057</v>
      </c>
      <c r="AM746" s="5" t="s">
        <v>6058</v>
      </c>
      <c r="AN746" s="5" t="s">
        <v>6059</v>
      </c>
      <c r="AO746" s="5"/>
      <c r="AP746" s="5"/>
      <c r="AQ746" s="5" t="s">
        <v>6057</v>
      </c>
      <c r="AR746" s="5" t="s">
        <v>6060</v>
      </c>
      <c r="AS746" s="5"/>
      <c r="AT746" s="5"/>
      <c r="AU746" s="5"/>
      <c r="AV746" s="5" t="s">
        <v>178</v>
      </c>
      <c r="AW746" s="5" t="s">
        <v>8530</v>
      </c>
    </row>
    <row r="747" customFormat="false" ht="124.6" hidden="false" customHeight="false" outlineLevel="0" collapsed="false">
      <c r="A747" s="5" t="s">
        <v>8531</v>
      </c>
      <c r="B747" s="5" t="s">
        <v>8532</v>
      </c>
      <c r="C747" s="5" t="s">
        <v>8047</v>
      </c>
      <c r="D747" s="5" t="s">
        <v>8048</v>
      </c>
      <c r="E747" s="5" t="s">
        <v>626</v>
      </c>
      <c r="F747" s="5" t="s">
        <v>8533</v>
      </c>
      <c r="G747" s="5" t="s">
        <v>8534</v>
      </c>
      <c r="H747" s="5" t="n">
        <v>9</v>
      </c>
      <c r="I747" s="5" t="s">
        <v>603</v>
      </c>
      <c r="J747" s="5" t="s">
        <v>153</v>
      </c>
      <c r="K747" s="5"/>
      <c r="L747" s="5" t="s">
        <v>30</v>
      </c>
      <c r="M747" s="5" t="s">
        <v>155</v>
      </c>
      <c r="N747" s="5" t="s">
        <v>8535</v>
      </c>
      <c r="O747" s="5" t="s">
        <v>570</v>
      </c>
      <c r="P747" s="5" t="s">
        <v>215</v>
      </c>
      <c r="Q747" s="5" t="s">
        <v>399</v>
      </c>
      <c r="R747" s="5" t="s">
        <v>8053</v>
      </c>
      <c r="S747" s="5" t="s">
        <v>8054</v>
      </c>
      <c r="T747" s="5" t="s">
        <v>606</v>
      </c>
      <c r="U747" s="5" t="n">
        <v>365</v>
      </c>
      <c r="V747" s="5" t="s">
        <v>8055</v>
      </c>
      <c r="W747" s="5" t="s">
        <v>8056</v>
      </c>
      <c r="X747" s="5" t="s">
        <v>8536</v>
      </c>
      <c r="Y747" s="5" t="s">
        <v>8537</v>
      </c>
      <c r="Z747" s="5" t="s">
        <v>8538</v>
      </c>
      <c r="AA747" s="5"/>
      <c r="AB747" s="5" t="s">
        <v>8539</v>
      </c>
      <c r="AC747" s="5"/>
      <c r="AD747" s="5" t="s">
        <v>8540</v>
      </c>
      <c r="AE747" s="5"/>
      <c r="AF747" s="5" t="s">
        <v>8541</v>
      </c>
      <c r="AG747" s="5" t="s">
        <v>8541</v>
      </c>
      <c r="AH747" s="5"/>
      <c r="AI747" s="5"/>
      <c r="AJ747" s="5"/>
      <c r="AK747" s="5"/>
      <c r="AL747" s="5" t="s">
        <v>8541</v>
      </c>
      <c r="AM747" s="5" t="s">
        <v>8541</v>
      </c>
      <c r="AN747" s="5"/>
      <c r="AO747" s="5"/>
      <c r="AP747" s="5"/>
      <c r="AQ747" s="5"/>
      <c r="AR747" s="5" t="s">
        <v>1294</v>
      </c>
      <c r="AS747" s="5"/>
      <c r="AT747" s="5"/>
      <c r="AU747" s="5"/>
      <c r="AV747" s="5"/>
      <c r="AW747" s="5" t="s">
        <v>8542</v>
      </c>
    </row>
    <row r="748" customFormat="false" ht="124.6" hidden="false" customHeight="false" outlineLevel="0" collapsed="false">
      <c r="A748" s="5" t="s">
        <v>8543</v>
      </c>
      <c r="B748" s="5" t="s">
        <v>8544</v>
      </c>
      <c r="C748" s="5" t="s">
        <v>8047</v>
      </c>
      <c r="D748" s="5" t="s">
        <v>8048</v>
      </c>
      <c r="E748" s="5" t="s">
        <v>626</v>
      </c>
      <c r="F748" s="5" t="s">
        <v>8545</v>
      </c>
      <c r="G748" s="5" t="s">
        <v>8546</v>
      </c>
      <c r="H748" s="5" t="n">
        <v>9</v>
      </c>
      <c r="I748" s="5" t="s">
        <v>152</v>
      </c>
      <c r="J748" s="5" t="s">
        <v>153</v>
      </c>
      <c r="K748" s="5"/>
      <c r="L748" s="5" t="s">
        <v>30</v>
      </c>
      <c r="M748" s="5" t="s">
        <v>155</v>
      </c>
      <c r="N748" s="5" t="s">
        <v>994</v>
      </c>
      <c r="O748" s="5" t="s">
        <v>157</v>
      </c>
      <c r="P748" s="5" t="s">
        <v>641</v>
      </c>
      <c r="Q748" s="5" t="s">
        <v>399</v>
      </c>
      <c r="R748" s="5" t="s">
        <v>8053</v>
      </c>
      <c r="S748" s="5" t="s">
        <v>8054</v>
      </c>
      <c r="T748" s="5" t="s">
        <v>162</v>
      </c>
      <c r="U748" s="5" t="n">
        <v>365</v>
      </c>
      <c r="V748" s="5" t="s">
        <v>8055</v>
      </c>
      <c r="W748" s="5" t="s">
        <v>8056</v>
      </c>
      <c r="X748" s="5" t="s">
        <v>8547</v>
      </c>
      <c r="Y748" s="5" t="s">
        <v>8548</v>
      </c>
      <c r="Z748" s="5" t="s">
        <v>8549</v>
      </c>
      <c r="AA748" s="5"/>
      <c r="AB748" s="5"/>
      <c r="AC748" s="5"/>
      <c r="AD748" s="5"/>
      <c r="AE748" s="5"/>
      <c r="AF748" s="5" t="s">
        <v>8550</v>
      </c>
      <c r="AG748" s="5" t="s">
        <v>8550</v>
      </c>
      <c r="AH748" s="5"/>
      <c r="AI748" s="5"/>
      <c r="AJ748" s="5"/>
      <c r="AK748" s="5"/>
      <c r="AL748" s="5" t="s">
        <v>8550</v>
      </c>
      <c r="AM748" s="5" t="s">
        <v>8550</v>
      </c>
      <c r="AN748" s="5"/>
      <c r="AO748" s="5"/>
      <c r="AP748" s="5"/>
      <c r="AQ748" s="5" t="s">
        <v>8550</v>
      </c>
      <c r="AR748" s="5" t="s">
        <v>687</v>
      </c>
      <c r="AS748" s="5"/>
      <c r="AT748" s="5" t="s">
        <v>8551</v>
      </c>
      <c r="AU748" s="5"/>
      <c r="AV748" s="5"/>
      <c r="AW748" s="5" t="s">
        <v>8552</v>
      </c>
    </row>
    <row r="749" customFormat="false" ht="113.4" hidden="false" customHeight="false" outlineLevel="0" collapsed="false">
      <c r="A749" s="5" t="s">
        <v>8553</v>
      </c>
      <c r="B749" s="5" t="s">
        <v>8554</v>
      </c>
      <c r="C749" s="5" t="s">
        <v>8047</v>
      </c>
      <c r="D749" s="5" t="s">
        <v>8048</v>
      </c>
      <c r="E749" s="5" t="s">
        <v>626</v>
      </c>
      <c r="F749" s="5" t="s">
        <v>8555</v>
      </c>
      <c r="G749" s="5" t="s">
        <v>8556</v>
      </c>
      <c r="H749" s="5" t="n">
        <v>8</v>
      </c>
      <c r="I749" s="5" t="s">
        <v>152</v>
      </c>
      <c r="J749" s="5" t="s">
        <v>153</v>
      </c>
      <c r="K749" s="5"/>
      <c r="L749" s="5" t="s">
        <v>68</v>
      </c>
      <c r="M749" s="5" t="s">
        <v>185</v>
      </c>
      <c r="N749" s="5" t="s">
        <v>126</v>
      </c>
      <c r="O749" s="5" t="s">
        <v>187</v>
      </c>
      <c r="P749" s="5" t="s">
        <v>215</v>
      </c>
      <c r="Q749" s="5" t="s">
        <v>399</v>
      </c>
      <c r="R749" s="5" t="s">
        <v>8053</v>
      </c>
      <c r="S749" s="5" t="s">
        <v>8054</v>
      </c>
      <c r="T749" s="5" t="s">
        <v>162</v>
      </c>
      <c r="U749" s="5" t="n">
        <v>365</v>
      </c>
      <c r="V749" s="5" t="s">
        <v>8055</v>
      </c>
      <c r="W749" s="5" t="s">
        <v>8056</v>
      </c>
      <c r="X749" s="5" t="s">
        <v>8557</v>
      </c>
      <c r="Y749" s="5" t="s">
        <v>8558</v>
      </c>
      <c r="Z749" s="5" t="s">
        <v>8559</v>
      </c>
      <c r="AA749" s="5"/>
      <c r="AB749" s="5"/>
      <c r="AC749" s="5" t="s">
        <v>8560</v>
      </c>
      <c r="AD749" s="5"/>
      <c r="AE749" s="5"/>
      <c r="AF749" s="5"/>
      <c r="AG749" s="5"/>
      <c r="AH749" s="5"/>
      <c r="AI749" s="5"/>
      <c r="AJ749" s="5"/>
      <c r="AK749" s="5"/>
      <c r="AL749" s="5"/>
      <c r="AM749" s="5"/>
      <c r="AN749" s="5"/>
      <c r="AO749" s="5"/>
      <c r="AP749" s="5"/>
      <c r="AQ749" s="5"/>
      <c r="AR749" s="5"/>
      <c r="AS749" s="5"/>
      <c r="AT749" s="5"/>
      <c r="AU749" s="5"/>
      <c r="AV749" s="5"/>
      <c r="AW749" s="5" t="s">
        <v>8561</v>
      </c>
    </row>
    <row r="750" customFormat="false" ht="303.7" hidden="false" customHeight="false" outlineLevel="0" collapsed="false">
      <c r="A750" s="5" t="s">
        <v>8562</v>
      </c>
      <c r="B750" s="5" t="s">
        <v>8563</v>
      </c>
      <c r="C750" s="5" t="s">
        <v>8563</v>
      </c>
      <c r="D750" s="5" t="s">
        <v>8564</v>
      </c>
      <c r="E750" s="5" t="s">
        <v>149</v>
      </c>
      <c r="F750" s="5" t="s">
        <v>8565</v>
      </c>
      <c r="G750" s="5" t="s">
        <v>8566</v>
      </c>
      <c r="H750" s="5" t="n">
        <v>10</v>
      </c>
      <c r="I750" s="5" t="s">
        <v>152</v>
      </c>
      <c r="J750" s="5" t="s">
        <v>153</v>
      </c>
      <c r="K750" s="5" t="s">
        <v>8567</v>
      </c>
      <c r="L750" s="5" t="s">
        <v>30</v>
      </c>
      <c r="M750" s="5" t="s">
        <v>155</v>
      </c>
      <c r="N750" s="5" t="s">
        <v>8568</v>
      </c>
      <c r="O750" s="5" t="s">
        <v>157</v>
      </c>
      <c r="P750" s="5" t="s">
        <v>158</v>
      </c>
      <c r="Q750" s="5" t="s">
        <v>227</v>
      </c>
      <c r="R750" s="5" t="s">
        <v>8569</v>
      </c>
      <c r="S750" s="5" t="s">
        <v>8570</v>
      </c>
      <c r="T750" s="5" t="s">
        <v>162</v>
      </c>
      <c r="U750" s="5" t="n">
        <v>365</v>
      </c>
      <c r="V750" s="5" t="s">
        <v>8571</v>
      </c>
      <c r="W750" s="5" t="s">
        <v>8572</v>
      </c>
      <c r="X750" s="5" t="s">
        <v>8573</v>
      </c>
      <c r="Y750" s="5" t="s">
        <v>8574</v>
      </c>
      <c r="Z750" s="5" t="s">
        <v>8575</v>
      </c>
      <c r="AA750" s="5" t="s">
        <v>8576</v>
      </c>
      <c r="AB750" s="5"/>
      <c r="AC750" s="5"/>
      <c r="AD750" s="5"/>
      <c r="AE750" s="5"/>
      <c r="AF750" s="5" t="s">
        <v>8577</v>
      </c>
      <c r="AG750" s="5" t="s">
        <v>8577</v>
      </c>
      <c r="AH750" s="5"/>
      <c r="AI750" s="5" t="s">
        <v>8578</v>
      </c>
      <c r="AJ750" s="5"/>
      <c r="AK750" s="5" t="s">
        <v>8579</v>
      </c>
      <c r="AL750" s="5" t="s">
        <v>8577</v>
      </c>
      <c r="AM750" s="5"/>
      <c r="AN750" s="5" t="s">
        <v>8580</v>
      </c>
      <c r="AO750" s="5" t="s">
        <v>8581</v>
      </c>
      <c r="AP750" s="5" t="s">
        <v>8582</v>
      </c>
      <c r="AQ750" s="5" t="s">
        <v>8577</v>
      </c>
      <c r="AR750" s="5" t="s">
        <v>8138</v>
      </c>
      <c r="AS750" s="5"/>
      <c r="AT750" s="5" t="s">
        <v>8583</v>
      </c>
      <c r="AU750" s="5"/>
      <c r="AV750" s="5" t="s">
        <v>178</v>
      </c>
      <c r="AW750" s="5" t="s">
        <v>8189</v>
      </c>
    </row>
    <row r="751" customFormat="false" ht="147" hidden="false" customHeight="false" outlineLevel="0" collapsed="false">
      <c r="A751" s="5" t="s">
        <v>8584</v>
      </c>
      <c r="B751" s="5" t="s">
        <v>8585</v>
      </c>
      <c r="C751" s="5" t="s">
        <v>8563</v>
      </c>
      <c r="D751" s="5" t="s">
        <v>8564</v>
      </c>
      <c r="E751" s="5" t="s">
        <v>514</v>
      </c>
      <c r="F751" s="5" t="s">
        <v>8586</v>
      </c>
      <c r="G751" s="5" t="s">
        <v>8587</v>
      </c>
      <c r="H751" s="5" t="n">
        <v>8</v>
      </c>
      <c r="I751" s="5" t="s">
        <v>152</v>
      </c>
      <c r="J751" s="5" t="s">
        <v>153</v>
      </c>
      <c r="K751" s="5" t="s">
        <v>8588</v>
      </c>
      <c r="L751" s="5" t="s">
        <v>30</v>
      </c>
      <c r="M751" s="5" t="s">
        <v>155</v>
      </c>
      <c r="N751" s="5" t="s">
        <v>8589</v>
      </c>
      <c r="O751" s="5" t="s">
        <v>157</v>
      </c>
      <c r="P751" s="5" t="s">
        <v>158</v>
      </c>
      <c r="Q751" s="5" t="s">
        <v>227</v>
      </c>
      <c r="R751" s="5" t="s">
        <v>8569</v>
      </c>
      <c r="S751" s="5" t="s">
        <v>8570</v>
      </c>
      <c r="T751" s="5" t="s">
        <v>162</v>
      </c>
      <c r="U751" s="5" t="n">
        <v>365</v>
      </c>
      <c r="V751" s="5" t="s">
        <v>8571</v>
      </c>
      <c r="W751" s="5" t="s">
        <v>8572</v>
      </c>
      <c r="X751" s="5" t="s">
        <v>8590</v>
      </c>
      <c r="Y751" s="5" t="s">
        <v>8591</v>
      </c>
      <c r="Z751" s="5" t="s">
        <v>8592</v>
      </c>
      <c r="AA751" s="5"/>
      <c r="AB751" s="5"/>
      <c r="AC751" s="5"/>
      <c r="AD751" s="5"/>
      <c r="AE751" s="5"/>
      <c r="AF751" s="5"/>
      <c r="AG751" s="5"/>
      <c r="AH751" s="5"/>
      <c r="AI751" s="5" t="s">
        <v>8593</v>
      </c>
      <c r="AJ751" s="5" t="s">
        <v>8594</v>
      </c>
      <c r="AK751" s="5" t="s">
        <v>8595</v>
      </c>
      <c r="AL751" s="5"/>
      <c r="AM751" s="5"/>
      <c r="AN751" s="5"/>
      <c r="AO751" s="5"/>
      <c r="AP751" s="5" t="s">
        <v>583</v>
      </c>
      <c r="AQ751" s="5"/>
      <c r="AR751" s="5"/>
      <c r="AS751" s="5"/>
      <c r="AT751" s="5" t="s">
        <v>8596</v>
      </c>
      <c r="AU751" s="5" t="s">
        <v>528</v>
      </c>
      <c r="AV751" s="5" t="s">
        <v>178</v>
      </c>
      <c r="AW751" s="5" t="s">
        <v>3062</v>
      </c>
    </row>
    <row r="752" customFormat="false" ht="158.2" hidden="false" customHeight="false" outlineLevel="0" collapsed="false">
      <c r="A752" s="5" t="s">
        <v>8597</v>
      </c>
      <c r="B752" s="5" t="s">
        <v>8598</v>
      </c>
      <c r="C752" s="5" t="s">
        <v>8563</v>
      </c>
      <c r="D752" s="5" t="s">
        <v>8564</v>
      </c>
      <c r="E752" s="5" t="s">
        <v>514</v>
      </c>
      <c r="F752" s="5" t="s">
        <v>8599</v>
      </c>
      <c r="G752" s="5" t="s">
        <v>8600</v>
      </c>
      <c r="H752" s="5" t="n">
        <v>9</v>
      </c>
      <c r="I752" s="5" t="s">
        <v>152</v>
      </c>
      <c r="J752" s="5" t="s">
        <v>153</v>
      </c>
      <c r="K752" s="5" t="s">
        <v>8601</v>
      </c>
      <c r="L752" s="5" t="s">
        <v>30</v>
      </c>
      <c r="M752" s="5" t="s">
        <v>155</v>
      </c>
      <c r="N752" s="5" t="s">
        <v>8602</v>
      </c>
      <c r="O752" s="5" t="s">
        <v>157</v>
      </c>
      <c r="P752" s="5" t="s">
        <v>158</v>
      </c>
      <c r="Q752" s="5" t="s">
        <v>227</v>
      </c>
      <c r="R752" s="5" t="s">
        <v>8569</v>
      </c>
      <c r="S752" s="5" t="s">
        <v>8570</v>
      </c>
      <c r="T752" s="5" t="s">
        <v>162</v>
      </c>
      <c r="U752" s="5" t="n">
        <v>365</v>
      </c>
      <c r="V752" s="5" t="s">
        <v>8571</v>
      </c>
      <c r="W752" s="5" t="s">
        <v>8572</v>
      </c>
      <c r="X752" s="5" t="s">
        <v>8603</v>
      </c>
      <c r="Y752" s="5" t="s">
        <v>8604</v>
      </c>
      <c r="Z752" s="5" t="s">
        <v>8605</v>
      </c>
      <c r="AA752" s="5"/>
      <c r="AB752" s="5"/>
      <c r="AC752" s="5"/>
      <c r="AD752" s="5"/>
      <c r="AE752" s="5"/>
      <c r="AF752" s="5" t="s">
        <v>8606</v>
      </c>
      <c r="AG752" s="5" t="s">
        <v>8285</v>
      </c>
      <c r="AH752" s="5"/>
      <c r="AI752" s="5" t="s">
        <v>8607</v>
      </c>
      <c r="AJ752" s="5" t="s">
        <v>8608</v>
      </c>
      <c r="AK752" s="5" t="s">
        <v>8609</v>
      </c>
      <c r="AL752" s="5" t="s">
        <v>8606</v>
      </c>
      <c r="AM752" s="5" t="s">
        <v>7148</v>
      </c>
      <c r="AN752" s="5"/>
      <c r="AO752" s="5"/>
      <c r="AP752" s="5" t="s">
        <v>970</v>
      </c>
      <c r="AQ752" s="5" t="s">
        <v>8285</v>
      </c>
      <c r="AR752" s="5" t="s">
        <v>8286</v>
      </c>
      <c r="AS752" s="5"/>
      <c r="AT752" s="5" t="s">
        <v>8596</v>
      </c>
      <c r="AU752" s="5"/>
      <c r="AV752" s="5" t="s">
        <v>178</v>
      </c>
      <c r="AW752" s="5" t="s">
        <v>8610</v>
      </c>
    </row>
    <row r="753" customFormat="false" ht="225.35" hidden="false" customHeight="false" outlineLevel="0" collapsed="false">
      <c r="A753" s="5" t="s">
        <v>8611</v>
      </c>
      <c r="B753" s="5" t="s">
        <v>8612</v>
      </c>
      <c r="C753" s="5" t="s">
        <v>8563</v>
      </c>
      <c r="D753" s="5" t="s">
        <v>8564</v>
      </c>
      <c r="E753" s="5" t="s">
        <v>514</v>
      </c>
      <c r="F753" s="5" t="s">
        <v>8613</v>
      </c>
      <c r="G753" s="5" t="s">
        <v>8614</v>
      </c>
      <c r="H753" s="5" t="n">
        <v>9</v>
      </c>
      <c r="I753" s="5" t="s">
        <v>152</v>
      </c>
      <c r="J753" s="5" t="s">
        <v>153</v>
      </c>
      <c r="K753" s="5" t="s">
        <v>5159</v>
      </c>
      <c r="L753" s="5" t="s">
        <v>30</v>
      </c>
      <c r="M753" s="5" t="s">
        <v>155</v>
      </c>
      <c r="N753" s="5" t="s">
        <v>8615</v>
      </c>
      <c r="O753" s="5" t="s">
        <v>157</v>
      </c>
      <c r="P753" s="5" t="s">
        <v>158</v>
      </c>
      <c r="Q753" s="5" t="s">
        <v>335</v>
      </c>
      <c r="R753" s="5" t="s">
        <v>8569</v>
      </c>
      <c r="S753" s="5" t="s">
        <v>8570</v>
      </c>
      <c r="T753" s="5" t="s">
        <v>162</v>
      </c>
      <c r="U753" s="5" t="n">
        <v>365</v>
      </c>
      <c r="V753" s="5" t="s">
        <v>8571</v>
      </c>
      <c r="W753" s="5" t="s">
        <v>8572</v>
      </c>
      <c r="X753" s="5" t="s">
        <v>8616</v>
      </c>
      <c r="Y753" s="5" t="s">
        <v>8617</v>
      </c>
      <c r="Z753" s="5" t="s">
        <v>8618</v>
      </c>
      <c r="AA753" s="5" t="s">
        <v>7203</v>
      </c>
      <c r="AB753" s="5"/>
      <c r="AC753" s="5"/>
      <c r="AD753" s="5"/>
      <c r="AE753" s="5"/>
      <c r="AF753" s="5" t="s">
        <v>8619</v>
      </c>
      <c r="AG753" s="5" t="s">
        <v>8620</v>
      </c>
      <c r="AH753" s="5" t="s">
        <v>8621</v>
      </c>
      <c r="AI753" s="5" t="s">
        <v>8622</v>
      </c>
      <c r="AJ753" s="5"/>
      <c r="AK753" s="5" t="s">
        <v>8623</v>
      </c>
      <c r="AL753" s="5" t="s">
        <v>8619</v>
      </c>
      <c r="AM753" s="5"/>
      <c r="AN753" s="5" t="s">
        <v>8624</v>
      </c>
      <c r="AO753" s="5" t="s">
        <v>8625</v>
      </c>
      <c r="AP753" s="5"/>
      <c r="AQ753" s="5" t="s">
        <v>8626</v>
      </c>
      <c r="AR753" s="5" t="s">
        <v>8138</v>
      </c>
      <c r="AS753" s="5"/>
      <c r="AT753" s="5" t="s">
        <v>8627</v>
      </c>
      <c r="AU753" s="5"/>
      <c r="AV753" s="5" t="s">
        <v>178</v>
      </c>
      <c r="AW753" s="5" t="s">
        <v>8610</v>
      </c>
    </row>
    <row r="754" customFormat="false" ht="180.55" hidden="false" customHeight="false" outlineLevel="0" collapsed="false">
      <c r="A754" s="5" t="s">
        <v>8628</v>
      </c>
      <c r="B754" s="5" t="s">
        <v>8629</v>
      </c>
      <c r="C754" s="5" t="s">
        <v>8563</v>
      </c>
      <c r="D754" s="5" t="s">
        <v>8564</v>
      </c>
      <c r="E754" s="5" t="s">
        <v>514</v>
      </c>
      <c r="F754" s="5" t="s">
        <v>8630</v>
      </c>
      <c r="G754" s="5" t="s">
        <v>8631</v>
      </c>
      <c r="H754" s="5" t="n">
        <v>9</v>
      </c>
      <c r="I754" s="5" t="s">
        <v>152</v>
      </c>
      <c r="J754" s="5" t="s">
        <v>153</v>
      </c>
      <c r="K754" s="5"/>
      <c r="L754" s="5" t="s">
        <v>30</v>
      </c>
      <c r="M754" s="5" t="s">
        <v>155</v>
      </c>
      <c r="N754" s="5" t="s">
        <v>8632</v>
      </c>
      <c r="O754" s="5" t="s">
        <v>157</v>
      </c>
      <c r="P754" s="5" t="s">
        <v>158</v>
      </c>
      <c r="Q754" s="5" t="s">
        <v>159</v>
      </c>
      <c r="R754" s="5" t="s">
        <v>8569</v>
      </c>
      <c r="S754" s="5" t="s">
        <v>8570</v>
      </c>
      <c r="T754" s="5" t="s">
        <v>162</v>
      </c>
      <c r="U754" s="5" t="n">
        <v>365</v>
      </c>
      <c r="V754" s="5" t="s">
        <v>8571</v>
      </c>
      <c r="W754" s="5" t="s">
        <v>8572</v>
      </c>
      <c r="X754" s="5" t="s">
        <v>8633</v>
      </c>
      <c r="Y754" s="5" t="s">
        <v>8634</v>
      </c>
      <c r="Z754" s="5" t="s">
        <v>8635</v>
      </c>
      <c r="AA754" s="5"/>
      <c r="AB754" s="5"/>
      <c r="AC754" s="5"/>
      <c r="AD754" s="5"/>
      <c r="AE754" s="5"/>
      <c r="AF754" s="5" t="s">
        <v>8636</v>
      </c>
      <c r="AG754" s="5" t="s">
        <v>8637</v>
      </c>
      <c r="AH754" s="5"/>
      <c r="AI754" s="5" t="s">
        <v>8638</v>
      </c>
      <c r="AJ754" s="5" t="s">
        <v>8639</v>
      </c>
      <c r="AK754" s="5"/>
      <c r="AL754" s="5" t="s">
        <v>8636</v>
      </c>
      <c r="AM754" s="5"/>
      <c r="AN754" s="5" t="s">
        <v>8640</v>
      </c>
      <c r="AO754" s="5"/>
      <c r="AP754" s="5"/>
      <c r="AQ754" s="5" t="s">
        <v>8187</v>
      </c>
      <c r="AR754" s="5" t="s">
        <v>706</v>
      </c>
      <c r="AS754" s="5"/>
      <c r="AT754" s="5" t="s">
        <v>8641</v>
      </c>
      <c r="AU754" s="5"/>
      <c r="AV754" s="5" t="s">
        <v>178</v>
      </c>
      <c r="AW754" s="5" t="s">
        <v>8610</v>
      </c>
    </row>
    <row r="755" customFormat="false" ht="135.8" hidden="false" customHeight="false" outlineLevel="0" collapsed="false">
      <c r="A755" s="5" t="s">
        <v>8642</v>
      </c>
      <c r="B755" s="5" t="s">
        <v>8643</v>
      </c>
      <c r="C755" s="5" t="s">
        <v>8563</v>
      </c>
      <c r="D755" s="5" t="s">
        <v>8564</v>
      </c>
      <c r="E755" s="5" t="s">
        <v>514</v>
      </c>
      <c r="F755" s="5" t="s">
        <v>8644</v>
      </c>
      <c r="G755" s="5" t="s">
        <v>8645</v>
      </c>
      <c r="H755" s="5" t="n">
        <v>9</v>
      </c>
      <c r="I755" s="5" t="s">
        <v>152</v>
      </c>
      <c r="J755" s="5" t="s">
        <v>153</v>
      </c>
      <c r="K755" s="5" t="s">
        <v>8646</v>
      </c>
      <c r="L755" s="5" t="s">
        <v>30</v>
      </c>
      <c r="M755" s="5" t="s">
        <v>155</v>
      </c>
      <c r="N755" s="5" t="s">
        <v>8012</v>
      </c>
      <c r="O755" s="5" t="s">
        <v>157</v>
      </c>
      <c r="P755" s="5" t="s">
        <v>158</v>
      </c>
      <c r="Q755" s="5" t="s">
        <v>159</v>
      </c>
      <c r="R755" s="5" t="s">
        <v>8569</v>
      </c>
      <c r="S755" s="5" t="s">
        <v>8570</v>
      </c>
      <c r="T755" s="5" t="s">
        <v>162</v>
      </c>
      <c r="U755" s="5" t="n">
        <v>365</v>
      </c>
      <c r="V755" s="5" t="s">
        <v>8571</v>
      </c>
      <c r="W755" s="5" t="s">
        <v>8572</v>
      </c>
      <c r="X755" s="5" t="s">
        <v>8647</v>
      </c>
      <c r="Y755" s="5" t="s">
        <v>8648</v>
      </c>
      <c r="Z755" s="5" t="s">
        <v>8649</v>
      </c>
      <c r="AA755" s="5"/>
      <c r="AB755" s="5"/>
      <c r="AC755" s="5"/>
      <c r="AD755" s="5"/>
      <c r="AE755" s="5"/>
      <c r="AF755" s="5" t="s">
        <v>8650</v>
      </c>
      <c r="AG755" s="5"/>
      <c r="AH755" s="5"/>
      <c r="AI755" s="5" t="s">
        <v>8638</v>
      </c>
      <c r="AJ755" s="5"/>
      <c r="AK755" s="5" t="s">
        <v>8651</v>
      </c>
      <c r="AL755" s="5" t="s">
        <v>8650</v>
      </c>
      <c r="AM755" s="5"/>
      <c r="AN755" s="5"/>
      <c r="AO755" s="5" t="s">
        <v>8652</v>
      </c>
      <c r="AP755" s="5"/>
      <c r="AQ755" s="5"/>
      <c r="AR755" s="5" t="s">
        <v>706</v>
      </c>
      <c r="AS755" s="5"/>
      <c r="AT755" s="5" t="s">
        <v>8653</v>
      </c>
      <c r="AU755" s="5"/>
      <c r="AV755" s="5" t="s">
        <v>178</v>
      </c>
      <c r="AW755" s="5" t="s">
        <v>8654</v>
      </c>
    </row>
    <row r="756" customFormat="false" ht="258.95" hidden="false" customHeight="false" outlineLevel="0" collapsed="false">
      <c r="A756" s="5" t="s">
        <v>8655</v>
      </c>
      <c r="B756" s="5" t="s">
        <v>8656</v>
      </c>
      <c r="C756" s="5" t="s">
        <v>8563</v>
      </c>
      <c r="D756" s="5" t="s">
        <v>8564</v>
      </c>
      <c r="E756" s="5" t="s">
        <v>514</v>
      </c>
      <c r="F756" s="5" t="s">
        <v>8657</v>
      </c>
      <c r="G756" s="5" t="s">
        <v>8658</v>
      </c>
      <c r="H756" s="5" t="n">
        <v>9</v>
      </c>
      <c r="I756" s="5" t="s">
        <v>152</v>
      </c>
      <c r="J756" s="5" t="s">
        <v>153</v>
      </c>
      <c r="K756" s="5" t="s">
        <v>8646</v>
      </c>
      <c r="L756" s="5" t="s">
        <v>30</v>
      </c>
      <c r="M756" s="5" t="s">
        <v>155</v>
      </c>
      <c r="N756" s="5" t="s">
        <v>8659</v>
      </c>
      <c r="O756" s="5" t="s">
        <v>157</v>
      </c>
      <c r="P756" s="5" t="s">
        <v>158</v>
      </c>
      <c r="Q756" s="5" t="s">
        <v>335</v>
      </c>
      <c r="R756" s="5" t="s">
        <v>8569</v>
      </c>
      <c r="S756" s="5" t="s">
        <v>8570</v>
      </c>
      <c r="T756" s="5" t="s">
        <v>162</v>
      </c>
      <c r="U756" s="5" t="n">
        <v>365</v>
      </c>
      <c r="V756" s="5" t="s">
        <v>8571</v>
      </c>
      <c r="W756" s="5" t="s">
        <v>8572</v>
      </c>
      <c r="X756" s="5" t="s">
        <v>8660</v>
      </c>
      <c r="Y756" s="5" t="s">
        <v>8661</v>
      </c>
      <c r="Z756" s="5" t="s">
        <v>8662</v>
      </c>
      <c r="AA756" s="5"/>
      <c r="AB756" s="5"/>
      <c r="AC756" s="5"/>
      <c r="AD756" s="5"/>
      <c r="AE756" s="5"/>
      <c r="AF756" s="5" t="s">
        <v>8663</v>
      </c>
      <c r="AG756" s="5" t="s">
        <v>8663</v>
      </c>
      <c r="AH756" s="5"/>
      <c r="AI756" s="5" t="s">
        <v>8664</v>
      </c>
      <c r="AJ756" s="5"/>
      <c r="AK756" s="5" t="s">
        <v>8651</v>
      </c>
      <c r="AL756" s="5" t="s">
        <v>8663</v>
      </c>
      <c r="AM756" s="5"/>
      <c r="AN756" s="5" t="s">
        <v>8210</v>
      </c>
      <c r="AO756" s="5"/>
      <c r="AP756" s="5"/>
      <c r="AQ756" s="5"/>
      <c r="AR756" s="5" t="s">
        <v>706</v>
      </c>
      <c r="AS756" s="5"/>
      <c r="AT756" s="5" t="s">
        <v>8665</v>
      </c>
      <c r="AU756" s="5"/>
      <c r="AV756" s="5" t="s">
        <v>178</v>
      </c>
      <c r="AW756" s="5" t="s">
        <v>8654</v>
      </c>
    </row>
    <row r="757" customFormat="false" ht="113.4" hidden="false" customHeight="false" outlineLevel="0" collapsed="false">
      <c r="A757" s="5" t="s">
        <v>8666</v>
      </c>
      <c r="B757" s="5" t="s">
        <v>8667</v>
      </c>
      <c r="C757" s="5" t="s">
        <v>8563</v>
      </c>
      <c r="D757" s="5" t="s">
        <v>8564</v>
      </c>
      <c r="E757" s="5" t="s">
        <v>626</v>
      </c>
      <c r="F757" s="5" t="s">
        <v>8668</v>
      </c>
      <c r="G757" s="5" t="s">
        <v>8669</v>
      </c>
      <c r="H757" s="5" t="n">
        <v>9</v>
      </c>
      <c r="I757" s="5" t="s">
        <v>152</v>
      </c>
      <c r="J757" s="5" t="s">
        <v>153</v>
      </c>
      <c r="K757" s="5"/>
      <c r="L757" s="5" t="s">
        <v>30</v>
      </c>
      <c r="M757" s="5" t="s">
        <v>155</v>
      </c>
      <c r="N757" s="5" t="s">
        <v>42</v>
      </c>
      <c r="O757" s="5" t="s">
        <v>157</v>
      </c>
      <c r="P757" s="5" t="s">
        <v>215</v>
      </c>
      <c r="Q757" s="5" t="s">
        <v>227</v>
      </c>
      <c r="R757" s="5" t="s">
        <v>8569</v>
      </c>
      <c r="S757" s="5" t="s">
        <v>8570</v>
      </c>
      <c r="T757" s="5" t="s">
        <v>162</v>
      </c>
      <c r="U757" s="5" t="n">
        <v>365</v>
      </c>
      <c r="V757" s="5" t="s">
        <v>8571</v>
      </c>
      <c r="W757" s="5" t="s">
        <v>8572</v>
      </c>
      <c r="X757" s="5" t="s">
        <v>8670</v>
      </c>
      <c r="Y757" s="5" t="s">
        <v>8671</v>
      </c>
      <c r="Z757" s="5" t="s">
        <v>8672</v>
      </c>
      <c r="AA757" s="5"/>
      <c r="AB757" s="5"/>
      <c r="AC757" s="5"/>
      <c r="AD757" s="5"/>
      <c r="AE757" s="5"/>
      <c r="AF757" s="5" t="s">
        <v>8673</v>
      </c>
      <c r="AG757" s="5" t="s">
        <v>8673</v>
      </c>
      <c r="AH757" s="5"/>
      <c r="AI757" s="5"/>
      <c r="AJ757" s="5"/>
      <c r="AK757" s="5"/>
      <c r="AL757" s="5" t="s">
        <v>8673</v>
      </c>
      <c r="AM757" s="5"/>
      <c r="AN757" s="5"/>
      <c r="AO757" s="5"/>
      <c r="AP757" s="5"/>
      <c r="AQ757" s="5"/>
      <c r="AR757" s="5" t="s">
        <v>706</v>
      </c>
      <c r="AS757" s="5"/>
      <c r="AT757" s="5"/>
      <c r="AU757" s="5"/>
      <c r="AV757" s="5"/>
      <c r="AW757" s="5" t="s">
        <v>8674</v>
      </c>
    </row>
    <row r="758" customFormat="false" ht="191.75" hidden="false" customHeight="false" outlineLevel="0" collapsed="false">
      <c r="A758" s="5" t="s">
        <v>8675</v>
      </c>
      <c r="B758" s="5" t="s">
        <v>8676</v>
      </c>
      <c r="C758" s="5" t="s">
        <v>8563</v>
      </c>
      <c r="D758" s="5" t="s">
        <v>8564</v>
      </c>
      <c r="E758" s="5" t="s">
        <v>514</v>
      </c>
      <c r="F758" s="5" t="s">
        <v>8677</v>
      </c>
      <c r="G758" s="5" t="s">
        <v>8678</v>
      </c>
      <c r="H758" s="5" t="n">
        <v>10</v>
      </c>
      <c r="I758" s="5" t="s">
        <v>152</v>
      </c>
      <c r="J758" s="5" t="s">
        <v>153</v>
      </c>
      <c r="K758" s="5" t="s">
        <v>8679</v>
      </c>
      <c r="L758" s="5" t="s">
        <v>30</v>
      </c>
      <c r="M758" s="5" t="s">
        <v>155</v>
      </c>
      <c r="N758" s="5" t="s">
        <v>8680</v>
      </c>
      <c r="O758" s="5" t="s">
        <v>157</v>
      </c>
      <c r="P758" s="5" t="s">
        <v>158</v>
      </c>
      <c r="Q758" s="5" t="s">
        <v>335</v>
      </c>
      <c r="R758" s="5" t="s">
        <v>8569</v>
      </c>
      <c r="S758" s="5" t="s">
        <v>8570</v>
      </c>
      <c r="T758" s="5" t="s">
        <v>162</v>
      </c>
      <c r="U758" s="5" t="n">
        <v>365</v>
      </c>
      <c r="V758" s="5" t="s">
        <v>8571</v>
      </c>
      <c r="W758" s="5" t="s">
        <v>8572</v>
      </c>
      <c r="X758" s="5" t="s">
        <v>8681</v>
      </c>
      <c r="Y758" s="5" t="s">
        <v>8682</v>
      </c>
      <c r="Z758" s="5" t="s">
        <v>8683</v>
      </c>
      <c r="AA758" s="5"/>
      <c r="AB758" s="5"/>
      <c r="AC758" s="5"/>
      <c r="AD758" s="5"/>
      <c r="AE758" s="5"/>
      <c r="AF758" s="5" t="s">
        <v>8684</v>
      </c>
      <c r="AG758" s="5" t="s">
        <v>8684</v>
      </c>
      <c r="AH758" s="5"/>
      <c r="AI758" s="5" t="s">
        <v>8664</v>
      </c>
      <c r="AJ758" s="5" t="s">
        <v>8685</v>
      </c>
      <c r="AK758" s="5" t="s">
        <v>8651</v>
      </c>
      <c r="AL758" s="5" t="s">
        <v>8684</v>
      </c>
      <c r="AM758" s="5"/>
      <c r="AN758" s="5"/>
      <c r="AO758" s="5" t="s">
        <v>8581</v>
      </c>
      <c r="AP758" s="5"/>
      <c r="AQ758" s="5" t="s">
        <v>8684</v>
      </c>
      <c r="AR758" s="5" t="s">
        <v>687</v>
      </c>
      <c r="AS758" s="5"/>
      <c r="AT758" s="5" t="s">
        <v>8686</v>
      </c>
      <c r="AU758" s="5"/>
      <c r="AV758" s="5" t="s">
        <v>178</v>
      </c>
      <c r="AW758" s="5" t="s">
        <v>8610</v>
      </c>
    </row>
    <row r="759" customFormat="false" ht="147" hidden="false" customHeight="false" outlineLevel="0" collapsed="false">
      <c r="A759" s="5" t="s">
        <v>8687</v>
      </c>
      <c r="B759" s="5" t="s">
        <v>8688</v>
      </c>
      <c r="C759" s="5" t="s">
        <v>8563</v>
      </c>
      <c r="D759" s="5" t="s">
        <v>8564</v>
      </c>
      <c r="E759" s="5" t="s">
        <v>514</v>
      </c>
      <c r="F759" s="5" t="s">
        <v>8689</v>
      </c>
      <c r="G759" s="5" t="s">
        <v>8690</v>
      </c>
      <c r="H759" s="5" t="n">
        <v>9</v>
      </c>
      <c r="I759" s="5" t="s">
        <v>152</v>
      </c>
      <c r="J759" s="5" t="s">
        <v>153</v>
      </c>
      <c r="K759" s="5" t="s">
        <v>8691</v>
      </c>
      <c r="L759" s="5" t="s">
        <v>55</v>
      </c>
      <c r="M759" s="5" t="s">
        <v>185</v>
      </c>
      <c r="N759" s="5" t="s">
        <v>201</v>
      </c>
      <c r="O759" s="5" t="s">
        <v>187</v>
      </c>
      <c r="P759" s="5" t="s">
        <v>158</v>
      </c>
      <c r="Q759" s="5" t="s">
        <v>440</v>
      </c>
      <c r="R759" s="5" t="s">
        <v>8569</v>
      </c>
      <c r="S759" s="5" t="s">
        <v>8570</v>
      </c>
      <c r="T759" s="5" t="s">
        <v>162</v>
      </c>
      <c r="U759" s="5" t="n">
        <v>365</v>
      </c>
      <c r="V759" s="5" t="s">
        <v>8571</v>
      </c>
      <c r="W759" s="5" t="s">
        <v>8572</v>
      </c>
      <c r="X759" s="5" t="s">
        <v>8692</v>
      </c>
      <c r="Y759" s="5" t="s">
        <v>8693</v>
      </c>
      <c r="Z759" s="5" t="s">
        <v>8694</v>
      </c>
      <c r="AA759" s="5"/>
      <c r="AB759" s="5"/>
      <c r="AC759" s="5"/>
      <c r="AD759" s="5"/>
      <c r="AE759" s="5"/>
      <c r="AF759" s="5" t="s">
        <v>8695</v>
      </c>
      <c r="AG759" s="5"/>
      <c r="AH759" s="5"/>
      <c r="AI759" s="5"/>
      <c r="AJ759" s="5" t="s">
        <v>8696</v>
      </c>
      <c r="AK759" s="5" t="s">
        <v>8697</v>
      </c>
      <c r="AL759" s="5" t="s">
        <v>8695</v>
      </c>
      <c r="AM759" s="5"/>
      <c r="AN759" s="5"/>
      <c r="AO759" s="5"/>
      <c r="AP759" s="5" t="s">
        <v>8698</v>
      </c>
      <c r="AQ759" s="5"/>
      <c r="AR759" s="5" t="s">
        <v>687</v>
      </c>
      <c r="AS759" s="5"/>
      <c r="AT759" s="5" t="s">
        <v>8596</v>
      </c>
      <c r="AU759" s="5"/>
      <c r="AV759" s="5" t="s">
        <v>178</v>
      </c>
      <c r="AW759" s="5" t="s">
        <v>8610</v>
      </c>
    </row>
    <row r="760" customFormat="false" ht="135.8" hidden="false" customHeight="false" outlineLevel="0" collapsed="false">
      <c r="A760" s="5" t="s">
        <v>8699</v>
      </c>
      <c r="B760" s="5" t="s">
        <v>8700</v>
      </c>
      <c r="C760" s="5" t="s">
        <v>8563</v>
      </c>
      <c r="D760" s="5" t="s">
        <v>8564</v>
      </c>
      <c r="E760" s="5" t="s">
        <v>514</v>
      </c>
      <c r="F760" s="5" t="s">
        <v>8701</v>
      </c>
      <c r="G760" s="5" t="s">
        <v>8702</v>
      </c>
      <c r="H760" s="5" t="n">
        <v>7</v>
      </c>
      <c r="I760" s="5" t="s">
        <v>152</v>
      </c>
      <c r="J760" s="5" t="s">
        <v>153</v>
      </c>
      <c r="K760" s="5" t="s">
        <v>8112</v>
      </c>
      <c r="L760" s="5" t="s">
        <v>30</v>
      </c>
      <c r="M760" s="5" t="s">
        <v>155</v>
      </c>
      <c r="N760" s="5" t="s">
        <v>1030</v>
      </c>
      <c r="O760" s="5" t="s">
        <v>157</v>
      </c>
      <c r="P760" s="5" t="s">
        <v>215</v>
      </c>
      <c r="Q760" s="5" t="s">
        <v>227</v>
      </c>
      <c r="R760" s="5" t="s">
        <v>8569</v>
      </c>
      <c r="S760" s="5" t="s">
        <v>8570</v>
      </c>
      <c r="T760" s="5" t="s">
        <v>162</v>
      </c>
      <c r="U760" s="5" t="n">
        <v>365</v>
      </c>
      <c r="V760" s="5" t="s">
        <v>8571</v>
      </c>
      <c r="W760" s="5" t="s">
        <v>8572</v>
      </c>
      <c r="X760" s="5" t="s">
        <v>8703</v>
      </c>
      <c r="Y760" s="5" t="s">
        <v>8704</v>
      </c>
      <c r="Z760" s="5" t="s">
        <v>8705</v>
      </c>
      <c r="AA760" s="5"/>
      <c r="AB760" s="5"/>
      <c r="AC760" s="5"/>
      <c r="AD760" s="5"/>
      <c r="AE760" s="5"/>
      <c r="AF760" s="5" t="s">
        <v>8706</v>
      </c>
      <c r="AG760" s="5" t="s">
        <v>8706</v>
      </c>
      <c r="AH760" s="5"/>
      <c r="AI760" s="5"/>
      <c r="AJ760" s="5"/>
      <c r="AK760" s="5"/>
      <c r="AL760" s="5" t="s">
        <v>8706</v>
      </c>
      <c r="AM760" s="5" t="s">
        <v>8706</v>
      </c>
      <c r="AN760" s="5"/>
      <c r="AO760" s="5"/>
      <c r="AP760" s="5"/>
      <c r="AQ760" s="5"/>
      <c r="AR760" s="5" t="s">
        <v>687</v>
      </c>
      <c r="AS760" s="5"/>
      <c r="AT760" s="5"/>
      <c r="AU760" s="5"/>
      <c r="AV760" s="5"/>
      <c r="AW760" s="5" t="s">
        <v>8610</v>
      </c>
    </row>
    <row r="761" customFormat="false" ht="124.6" hidden="false" customHeight="false" outlineLevel="0" collapsed="false">
      <c r="A761" s="5" t="s">
        <v>8707</v>
      </c>
      <c r="B761" s="5" t="s">
        <v>8708</v>
      </c>
      <c r="C761" s="5" t="s">
        <v>8563</v>
      </c>
      <c r="D761" s="5" t="s">
        <v>8564</v>
      </c>
      <c r="E761" s="5" t="s">
        <v>514</v>
      </c>
      <c r="F761" s="5" t="s">
        <v>8709</v>
      </c>
      <c r="G761" s="5" t="s">
        <v>8710</v>
      </c>
      <c r="H761" s="5" t="n">
        <v>8</v>
      </c>
      <c r="I761" s="5" t="s">
        <v>152</v>
      </c>
      <c r="J761" s="5" t="s">
        <v>153</v>
      </c>
      <c r="K761" s="5" t="s">
        <v>8711</v>
      </c>
      <c r="L761" s="5" t="s">
        <v>55</v>
      </c>
      <c r="M761" s="5" t="s">
        <v>185</v>
      </c>
      <c r="N761" s="5" t="s">
        <v>54</v>
      </c>
      <c r="O761" s="5" t="s">
        <v>187</v>
      </c>
      <c r="P761" s="5" t="s">
        <v>158</v>
      </c>
      <c r="Q761" s="5" t="s">
        <v>461</v>
      </c>
      <c r="R761" s="5" t="s">
        <v>8569</v>
      </c>
      <c r="S761" s="5" t="s">
        <v>8570</v>
      </c>
      <c r="T761" s="5" t="s">
        <v>162</v>
      </c>
      <c r="U761" s="5" t="n">
        <v>365</v>
      </c>
      <c r="V761" s="5" t="s">
        <v>8571</v>
      </c>
      <c r="W761" s="5" t="s">
        <v>8572</v>
      </c>
      <c r="X761" s="5" t="s">
        <v>8712</v>
      </c>
      <c r="Y761" s="5" t="s">
        <v>8713</v>
      </c>
      <c r="Z761" s="5" t="s">
        <v>8714</v>
      </c>
      <c r="AA761" s="5"/>
      <c r="AB761" s="5"/>
      <c r="AC761" s="5"/>
      <c r="AD761" s="5"/>
      <c r="AE761" s="5"/>
      <c r="AF761" s="5" t="s">
        <v>8715</v>
      </c>
      <c r="AG761" s="5"/>
      <c r="AH761" s="5"/>
      <c r="AI761" s="5"/>
      <c r="AJ761" s="5"/>
      <c r="AK761" s="5" t="s">
        <v>8716</v>
      </c>
      <c r="AL761" s="5" t="s">
        <v>8715</v>
      </c>
      <c r="AM761" s="5"/>
      <c r="AN761" s="5"/>
      <c r="AO761" s="5"/>
      <c r="AP761" s="5"/>
      <c r="AQ761" s="5"/>
      <c r="AR761" s="5" t="s">
        <v>687</v>
      </c>
      <c r="AS761" s="5"/>
      <c r="AT761" s="5" t="s">
        <v>8596</v>
      </c>
      <c r="AU761" s="5"/>
      <c r="AV761" s="5" t="s">
        <v>178</v>
      </c>
      <c r="AW761" s="5" t="s">
        <v>8717</v>
      </c>
    </row>
    <row r="762" customFormat="false" ht="169.4" hidden="false" customHeight="false" outlineLevel="0" collapsed="false">
      <c r="A762" s="5" t="s">
        <v>8718</v>
      </c>
      <c r="B762" s="5" t="s">
        <v>8719</v>
      </c>
      <c r="C762" s="5" t="s">
        <v>8563</v>
      </c>
      <c r="D762" s="5" t="s">
        <v>8564</v>
      </c>
      <c r="E762" s="5" t="s">
        <v>514</v>
      </c>
      <c r="F762" s="5" t="s">
        <v>8720</v>
      </c>
      <c r="G762" s="5" t="s">
        <v>8721</v>
      </c>
      <c r="H762" s="5" t="n">
        <v>10</v>
      </c>
      <c r="I762" s="5" t="s">
        <v>152</v>
      </c>
      <c r="J762" s="5" t="s">
        <v>153</v>
      </c>
      <c r="K762" s="5" t="s">
        <v>3155</v>
      </c>
      <c r="L762" s="5" t="s">
        <v>55</v>
      </c>
      <c r="M762" s="5" t="s">
        <v>185</v>
      </c>
      <c r="N762" s="5" t="s">
        <v>2094</v>
      </c>
      <c r="O762" s="5" t="s">
        <v>187</v>
      </c>
      <c r="P762" s="5" t="s">
        <v>158</v>
      </c>
      <c r="Q762" s="5" t="s">
        <v>461</v>
      </c>
      <c r="R762" s="5" t="s">
        <v>8569</v>
      </c>
      <c r="S762" s="5" t="s">
        <v>8570</v>
      </c>
      <c r="T762" s="5" t="s">
        <v>162</v>
      </c>
      <c r="U762" s="5" t="n">
        <v>365</v>
      </c>
      <c r="V762" s="5" t="s">
        <v>8571</v>
      </c>
      <c r="W762" s="5" t="s">
        <v>8572</v>
      </c>
      <c r="X762" s="5" t="s">
        <v>8722</v>
      </c>
      <c r="Y762" s="5" t="s">
        <v>8723</v>
      </c>
      <c r="Z762" s="5" t="s">
        <v>8724</v>
      </c>
      <c r="AA762" s="5"/>
      <c r="AB762" s="5"/>
      <c r="AC762" s="5"/>
      <c r="AD762" s="5"/>
      <c r="AE762" s="5"/>
      <c r="AF762" s="5" t="s">
        <v>8725</v>
      </c>
      <c r="AG762" s="5"/>
      <c r="AH762" s="5"/>
      <c r="AI762" s="5"/>
      <c r="AJ762" s="5"/>
      <c r="AK762" s="5" t="s">
        <v>8716</v>
      </c>
      <c r="AL762" s="5" t="s">
        <v>8725</v>
      </c>
      <c r="AM762" s="5"/>
      <c r="AN762" s="5"/>
      <c r="AO762" s="5" t="s">
        <v>8625</v>
      </c>
      <c r="AP762" s="5"/>
      <c r="AQ762" s="5" t="s">
        <v>8725</v>
      </c>
      <c r="AR762" s="5" t="s">
        <v>742</v>
      </c>
      <c r="AS762" s="5"/>
      <c r="AT762" s="5" t="s">
        <v>707</v>
      </c>
      <c r="AU762" s="5"/>
      <c r="AV762" s="5" t="s">
        <v>178</v>
      </c>
      <c r="AW762" s="5" t="s">
        <v>8610</v>
      </c>
    </row>
    <row r="763" customFormat="false" ht="180.55" hidden="false" customHeight="false" outlineLevel="0" collapsed="false">
      <c r="A763" s="5" t="s">
        <v>8726</v>
      </c>
      <c r="B763" s="5" t="s">
        <v>8727</v>
      </c>
      <c r="C763" s="5" t="s">
        <v>8563</v>
      </c>
      <c r="D763" s="5" t="s">
        <v>8564</v>
      </c>
      <c r="E763" s="5" t="s">
        <v>514</v>
      </c>
      <c r="F763" s="5" t="s">
        <v>8728</v>
      </c>
      <c r="G763" s="5" t="s">
        <v>8729</v>
      </c>
      <c r="H763" s="5" t="n">
        <v>10</v>
      </c>
      <c r="I763" s="5" t="s">
        <v>152</v>
      </c>
      <c r="J763" s="5" t="s">
        <v>153</v>
      </c>
      <c r="K763" s="5" t="s">
        <v>8730</v>
      </c>
      <c r="L763" s="5" t="s">
        <v>30</v>
      </c>
      <c r="M763" s="5" t="s">
        <v>155</v>
      </c>
      <c r="N763" s="5" t="s">
        <v>8731</v>
      </c>
      <c r="O763" s="5" t="s">
        <v>157</v>
      </c>
      <c r="P763" s="5" t="s">
        <v>158</v>
      </c>
      <c r="Q763" s="5" t="s">
        <v>461</v>
      </c>
      <c r="R763" s="5" t="s">
        <v>8569</v>
      </c>
      <c r="S763" s="5" t="s">
        <v>8570</v>
      </c>
      <c r="T763" s="5" t="s">
        <v>162</v>
      </c>
      <c r="U763" s="5" t="n">
        <v>365</v>
      </c>
      <c r="V763" s="5" t="s">
        <v>8571</v>
      </c>
      <c r="W763" s="5" t="s">
        <v>8732</v>
      </c>
      <c r="X763" s="5" t="s">
        <v>8733</v>
      </c>
      <c r="Y763" s="5" t="s">
        <v>8734</v>
      </c>
      <c r="Z763" s="5" t="s">
        <v>8735</v>
      </c>
      <c r="AA763" s="5"/>
      <c r="AB763" s="5"/>
      <c r="AC763" s="5"/>
      <c r="AD763" s="5"/>
      <c r="AE763" s="5"/>
      <c r="AF763" s="5" t="s">
        <v>8736</v>
      </c>
      <c r="AG763" s="5"/>
      <c r="AH763" s="5"/>
      <c r="AI763" s="5" t="s">
        <v>8578</v>
      </c>
      <c r="AJ763" s="5" t="s">
        <v>8737</v>
      </c>
      <c r="AK763" s="5" t="s">
        <v>8738</v>
      </c>
      <c r="AL763" s="5" t="s">
        <v>8736</v>
      </c>
      <c r="AM763" s="5"/>
      <c r="AN763" s="5"/>
      <c r="AO763" s="5" t="s">
        <v>8739</v>
      </c>
      <c r="AP763" s="5" t="s">
        <v>8740</v>
      </c>
      <c r="AQ763" s="5" t="s">
        <v>8736</v>
      </c>
      <c r="AR763" s="5" t="s">
        <v>706</v>
      </c>
      <c r="AS763" s="5"/>
      <c r="AT763" s="5" t="s">
        <v>8741</v>
      </c>
      <c r="AU763" s="5"/>
      <c r="AV763" s="5" t="s">
        <v>178</v>
      </c>
      <c r="AW763" s="5" t="s">
        <v>8742</v>
      </c>
    </row>
    <row r="764" customFormat="false" ht="135.8" hidden="false" customHeight="false" outlineLevel="0" collapsed="false">
      <c r="A764" s="5" t="s">
        <v>8743</v>
      </c>
      <c r="B764" s="5" t="s">
        <v>8744</v>
      </c>
      <c r="C764" s="5" t="s">
        <v>8563</v>
      </c>
      <c r="D764" s="5" t="s">
        <v>8564</v>
      </c>
      <c r="E764" s="5" t="s">
        <v>600</v>
      </c>
      <c r="F764" s="5" t="s">
        <v>8745</v>
      </c>
      <c r="G764" s="5" t="s">
        <v>8746</v>
      </c>
      <c r="H764" s="5" t="n">
        <v>9</v>
      </c>
      <c r="I764" s="5" t="s">
        <v>152</v>
      </c>
      <c r="J764" s="5" t="s">
        <v>153</v>
      </c>
      <c r="K764" s="5"/>
      <c r="L764" s="5" t="s">
        <v>30</v>
      </c>
      <c r="M764" s="5" t="s">
        <v>155</v>
      </c>
      <c r="N764" s="5" t="s">
        <v>8747</v>
      </c>
      <c r="O764" s="5" t="s">
        <v>157</v>
      </c>
      <c r="P764" s="5" t="s">
        <v>158</v>
      </c>
      <c r="Q764" s="5" t="s">
        <v>461</v>
      </c>
      <c r="R764" s="5" t="s">
        <v>8569</v>
      </c>
      <c r="S764" s="5" t="s">
        <v>8570</v>
      </c>
      <c r="T764" s="5" t="s">
        <v>162</v>
      </c>
      <c r="U764" s="5" t="n">
        <v>365</v>
      </c>
      <c r="V764" s="5" t="s">
        <v>8571</v>
      </c>
      <c r="W764" s="5" t="s">
        <v>8732</v>
      </c>
      <c r="X764" s="5" t="s">
        <v>8748</v>
      </c>
      <c r="Y764" s="5" t="s">
        <v>8749</v>
      </c>
      <c r="Z764" s="5" t="s">
        <v>8750</v>
      </c>
      <c r="AA764" s="5"/>
      <c r="AB764" s="5"/>
      <c r="AC764" s="5"/>
      <c r="AD764" s="5"/>
      <c r="AE764" s="5"/>
      <c r="AF764" s="5" t="s">
        <v>8751</v>
      </c>
      <c r="AG764" s="5" t="s">
        <v>8751</v>
      </c>
      <c r="AH764" s="5" t="s">
        <v>8752</v>
      </c>
      <c r="AI764" s="5" t="s">
        <v>8607</v>
      </c>
      <c r="AJ764" s="5"/>
      <c r="AK764" s="5"/>
      <c r="AL764" s="5" t="s">
        <v>8751</v>
      </c>
      <c r="AM764" s="5"/>
      <c r="AN764" s="5" t="s">
        <v>8753</v>
      </c>
      <c r="AO764" s="5" t="s">
        <v>8754</v>
      </c>
      <c r="AP764" s="5"/>
      <c r="AQ764" s="5"/>
      <c r="AR764" s="5" t="s">
        <v>706</v>
      </c>
      <c r="AS764" s="5"/>
      <c r="AT764" s="5" t="s">
        <v>707</v>
      </c>
      <c r="AU764" s="5"/>
      <c r="AV764" s="5" t="s">
        <v>178</v>
      </c>
      <c r="AW764" s="5" t="s">
        <v>8717</v>
      </c>
    </row>
    <row r="765" customFormat="false" ht="135.8" hidden="false" customHeight="false" outlineLevel="0" collapsed="false">
      <c r="A765" s="5" t="s">
        <v>8755</v>
      </c>
      <c r="B765" s="5" t="s">
        <v>8756</v>
      </c>
      <c r="C765" s="5" t="s">
        <v>8563</v>
      </c>
      <c r="D765" s="5" t="s">
        <v>8564</v>
      </c>
      <c r="E765" s="5" t="s">
        <v>626</v>
      </c>
      <c r="F765" s="5" t="s">
        <v>8757</v>
      </c>
      <c r="G765" s="5" t="s">
        <v>8758</v>
      </c>
      <c r="H765" s="5" t="n">
        <v>9</v>
      </c>
      <c r="I765" s="5" t="s">
        <v>152</v>
      </c>
      <c r="J765" s="5" t="s">
        <v>153</v>
      </c>
      <c r="K765" s="5" t="s">
        <v>5159</v>
      </c>
      <c r="L765" s="5" t="s">
        <v>55</v>
      </c>
      <c r="M765" s="5" t="s">
        <v>185</v>
      </c>
      <c r="N765" s="5" t="s">
        <v>7685</v>
      </c>
      <c r="O765" s="5" t="s">
        <v>187</v>
      </c>
      <c r="P765" s="5" t="s">
        <v>158</v>
      </c>
      <c r="Q765" s="5" t="s">
        <v>461</v>
      </c>
      <c r="R765" s="5" t="s">
        <v>8569</v>
      </c>
      <c r="S765" s="5" t="s">
        <v>8570</v>
      </c>
      <c r="T765" s="5" t="s">
        <v>162</v>
      </c>
      <c r="U765" s="5" t="n">
        <v>365</v>
      </c>
      <c r="V765" s="5" t="s">
        <v>8571</v>
      </c>
      <c r="W765" s="5" t="s">
        <v>8732</v>
      </c>
      <c r="X765" s="5" t="s">
        <v>8759</v>
      </c>
      <c r="Y765" s="5" t="s">
        <v>8760</v>
      </c>
      <c r="Z765" s="5" t="s">
        <v>8761</v>
      </c>
      <c r="AA765" s="5"/>
      <c r="AB765" s="5"/>
      <c r="AC765" s="5"/>
      <c r="AD765" s="5"/>
      <c r="AE765" s="5"/>
      <c r="AF765" s="5" t="s">
        <v>8736</v>
      </c>
      <c r="AG765" s="5"/>
      <c r="AH765" s="5"/>
      <c r="AI765" s="5"/>
      <c r="AJ765" s="5"/>
      <c r="AK765" s="5" t="s">
        <v>8762</v>
      </c>
      <c r="AL765" s="5" t="s">
        <v>8736</v>
      </c>
      <c r="AM765" s="5"/>
      <c r="AN765" s="5"/>
      <c r="AO765" s="5"/>
      <c r="AP765" s="5"/>
      <c r="AQ765" s="5" t="s">
        <v>8736</v>
      </c>
      <c r="AR765" s="5" t="s">
        <v>706</v>
      </c>
      <c r="AS765" s="5"/>
      <c r="AT765" s="5"/>
      <c r="AU765" s="5"/>
      <c r="AV765" s="5" t="s">
        <v>178</v>
      </c>
      <c r="AW765" s="5" t="s">
        <v>8717</v>
      </c>
    </row>
    <row r="766" customFormat="false" ht="124.6" hidden="false" customHeight="false" outlineLevel="0" collapsed="false">
      <c r="A766" s="5" t="s">
        <v>8763</v>
      </c>
      <c r="B766" s="5" t="s">
        <v>8764</v>
      </c>
      <c r="C766" s="5" t="s">
        <v>8563</v>
      </c>
      <c r="D766" s="5" t="s">
        <v>8564</v>
      </c>
      <c r="E766" s="5" t="s">
        <v>626</v>
      </c>
      <c r="F766" s="5" t="s">
        <v>8765</v>
      </c>
      <c r="G766" s="5" t="s">
        <v>8766</v>
      </c>
      <c r="H766" s="5" t="n">
        <v>8</v>
      </c>
      <c r="I766" s="5" t="s">
        <v>152</v>
      </c>
      <c r="J766" s="5" t="s">
        <v>153</v>
      </c>
      <c r="K766" s="5" t="s">
        <v>8711</v>
      </c>
      <c r="L766" s="5" t="s">
        <v>55</v>
      </c>
      <c r="M766" s="5" t="s">
        <v>185</v>
      </c>
      <c r="N766" s="5" t="s">
        <v>54</v>
      </c>
      <c r="O766" s="5" t="s">
        <v>187</v>
      </c>
      <c r="P766" s="5" t="s">
        <v>215</v>
      </c>
      <c r="Q766" s="5" t="s">
        <v>227</v>
      </c>
      <c r="R766" s="5" t="s">
        <v>8569</v>
      </c>
      <c r="S766" s="5" t="s">
        <v>8570</v>
      </c>
      <c r="T766" s="5" t="s">
        <v>162</v>
      </c>
      <c r="U766" s="5" t="n">
        <v>365</v>
      </c>
      <c r="V766" s="5" t="s">
        <v>8571</v>
      </c>
      <c r="W766" s="5" t="s">
        <v>8732</v>
      </c>
      <c r="X766" s="5" t="s">
        <v>8767</v>
      </c>
      <c r="Y766" s="5" t="s">
        <v>8768</v>
      </c>
      <c r="Z766" s="5" t="s">
        <v>8769</v>
      </c>
      <c r="AA766" s="5"/>
      <c r="AB766" s="5"/>
      <c r="AC766" s="5"/>
      <c r="AD766" s="5"/>
      <c r="AE766" s="5"/>
      <c r="AF766" s="5"/>
      <c r="AG766" s="5"/>
      <c r="AH766" s="5"/>
      <c r="AI766" s="5"/>
      <c r="AJ766" s="5"/>
      <c r="AK766" s="5" t="s">
        <v>8770</v>
      </c>
      <c r="AL766" s="5"/>
      <c r="AM766" s="5"/>
      <c r="AN766" s="5"/>
      <c r="AO766" s="5"/>
      <c r="AP766" s="5"/>
      <c r="AQ766" s="5"/>
      <c r="AR766" s="5"/>
      <c r="AS766" s="5"/>
      <c r="AT766" s="5"/>
      <c r="AU766" s="5"/>
      <c r="AV766" s="5" t="s">
        <v>178</v>
      </c>
      <c r="AW766" s="5" t="s">
        <v>8717</v>
      </c>
    </row>
    <row r="767" customFormat="false" ht="158.2" hidden="false" customHeight="false" outlineLevel="0" collapsed="false">
      <c r="A767" s="5" t="s">
        <v>8771</v>
      </c>
      <c r="B767" s="5" t="s">
        <v>8772</v>
      </c>
      <c r="C767" s="5" t="s">
        <v>8563</v>
      </c>
      <c r="D767" s="5" t="s">
        <v>8564</v>
      </c>
      <c r="E767" s="5" t="s">
        <v>514</v>
      </c>
      <c r="F767" s="5" t="s">
        <v>8773</v>
      </c>
      <c r="G767" s="5" t="s">
        <v>8774</v>
      </c>
      <c r="H767" s="5" t="n">
        <v>8</v>
      </c>
      <c r="I767" s="5" t="s">
        <v>152</v>
      </c>
      <c r="J767" s="5" t="s">
        <v>153</v>
      </c>
      <c r="K767" s="5" t="s">
        <v>534</v>
      </c>
      <c r="L767" s="5" t="s">
        <v>55</v>
      </c>
      <c r="M767" s="5" t="s">
        <v>185</v>
      </c>
      <c r="N767" s="5" t="s">
        <v>201</v>
      </c>
      <c r="O767" s="5" t="s">
        <v>187</v>
      </c>
      <c r="P767" s="5" t="s">
        <v>158</v>
      </c>
      <c r="Q767" s="5" t="s">
        <v>227</v>
      </c>
      <c r="R767" s="5" t="s">
        <v>8569</v>
      </c>
      <c r="S767" s="5" t="s">
        <v>8570</v>
      </c>
      <c r="T767" s="5" t="s">
        <v>162</v>
      </c>
      <c r="U767" s="5" t="n">
        <v>365</v>
      </c>
      <c r="V767" s="5" t="s">
        <v>8571</v>
      </c>
      <c r="W767" s="5" t="s">
        <v>8732</v>
      </c>
      <c r="X767" s="5" t="s">
        <v>8775</v>
      </c>
      <c r="Y767" s="5" t="s">
        <v>8776</v>
      </c>
      <c r="Z767" s="5" t="s">
        <v>8777</v>
      </c>
      <c r="AA767" s="5"/>
      <c r="AB767" s="5"/>
      <c r="AC767" s="5"/>
      <c r="AD767" s="5"/>
      <c r="AE767" s="5"/>
      <c r="AF767" s="5" t="s">
        <v>8778</v>
      </c>
      <c r="AG767" s="5"/>
      <c r="AH767" s="5"/>
      <c r="AI767" s="5"/>
      <c r="AJ767" s="5" t="s">
        <v>8685</v>
      </c>
      <c r="AK767" s="5" t="s">
        <v>8779</v>
      </c>
      <c r="AL767" s="5" t="s">
        <v>8778</v>
      </c>
      <c r="AM767" s="5"/>
      <c r="AN767" s="5"/>
      <c r="AO767" s="5"/>
      <c r="AP767" s="5" t="s">
        <v>8780</v>
      </c>
      <c r="AQ767" s="5"/>
      <c r="AR767" s="5" t="s">
        <v>687</v>
      </c>
      <c r="AS767" s="5" t="s">
        <v>8781</v>
      </c>
      <c r="AT767" s="5" t="s">
        <v>8782</v>
      </c>
      <c r="AU767" s="5"/>
      <c r="AV767" s="5" t="s">
        <v>178</v>
      </c>
      <c r="AW767" s="5" t="s">
        <v>8783</v>
      </c>
    </row>
    <row r="768" customFormat="false" ht="124.6" hidden="false" customHeight="false" outlineLevel="0" collapsed="false">
      <c r="A768" s="5" t="s">
        <v>8784</v>
      </c>
      <c r="B768" s="5" t="s">
        <v>8785</v>
      </c>
      <c r="C768" s="5" t="s">
        <v>8563</v>
      </c>
      <c r="D768" s="5" t="s">
        <v>8564</v>
      </c>
      <c r="E768" s="5" t="s">
        <v>514</v>
      </c>
      <c r="F768" s="5" t="s">
        <v>8786</v>
      </c>
      <c r="G768" s="5" t="s">
        <v>8787</v>
      </c>
      <c r="H768" s="5" t="n">
        <v>10</v>
      </c>
      <c r="I768" s="5" t="s">
        <v>152</v>
      </c>
      <c r="J768" s="5" t="s">
        <v>153</v>
      </c>
      <c r="K768" s="5" t="s">
        <v>8788</v>
      </c>
      <c r="L768" s="5" t="s">
        <v>55</v>
      </c>
      <c r="M768" s="5" t="s">
        <v>185</v>
      </c>
      <c r="N768" s="5" t="s">
        <v>186</v>
      </c>
      <c r="O768" s="5" t="s">
        <v>187</v>
      </c>
      <c r="P768" s="5" t="s">
        <v>158</v>
      </c>
      <c r="Q768" s="5" t="s">
        <v>227</v>
      </c>
      <c r="R768" s="5" t="s">
        <v>8569</v>
      </c>
      <c r="S768" s="5" t="s">
        <v>8570</v>
      </c>
      <c r="T768" s="5" t="s">
        <v>162</v>
      </c>
      <c r="U768" s="5" t="n">
        <v>365</v>
      </c>
      <c r="V768" s="5" t="s">
        <v>8571</v>
      </c>
      <c r="W768" s="5" t="s">
        <v>8732</v>
      </c>
      <c r="X768" s="5" t="s">
        <v>8789</v>
      </c>
      <c r="Y768" s="5" t="s">
        <v>8790</v>
      </c>
      <c r="Z768" s="5" t="s">
        <v>8791</v>
      </c>
      <c r="AA768" s="5"/>
      <c r="AB768" s="5"/>
      <c r="AC768" s="5"/>
      <c r="AD768" s="5"/>
      <c r="AE768" s="5"/>
      <c r="AF768" s="5"/>
      <c r="AG768" s="5"/>
      <c r="AH768" s="5"/>
      <c r="AI768" s="5"/>
      <c r="AJ768" s="5" t="s">
        <v>8792</v>
      </c>
      <c r="AK768" s="5" t="s">
        <v>8716</v>
      </c>
      <c r="AL768" s="5"/>
      <c r="AM768" s="5"/>
      <c r="AN768" s="5"/>
      <c r="AO768" s="5"/>
      <c r="AP768" s="5"/>
      <c r="AQ768" s="5"/>
      <c r="AR768" s="5"/>
      <c r="AS768" s="5"/>
      <c r="AT768" s="5"/>
      <c r="AU768" s="5"/>
      <c r="AV768" s="5" t="s">
        <v>178</v>
      </c>
      <c r="AW768" s="5" t="s">
        <v>3062</v>
      </c>
    </row>
    <row r="769" customFormat="false" ht="124.6" hidden="false" customHeight="false" outlineLevel="0" collapsed="false">
      <c r="A769" s="5" t="s">
        <v>8793</v>
      </c>
      <c r="B769" s="5" t="s">
        <v>8794</v>
      </c>
      <c r="C769" s="5" t="s">
        <v>8563</v>
      </c>
      <c r="D769" s="5" t="s">
        <v>8564</v>
      </c>
      <c r="E769" s="5" t="s">
        <v>514</v>
      </c>
      <c r="F769" s="5" t="s">
        <v>8795</v>
      </c>
      <c r="G769" s="5" t="s">
        <v>8796</v>
      </c>
      <c r="H769" s="5" t="n">
        <v>7</v>
      </c>
      <c r="I769" s="5" t="s">
        <v>152</v>
      </c>
      <c r="J769" s="5" t="s">
        <v>652</v>
      </c>
      <c r="K769" s="5" t="s">
        <v>8711</v>
      </c>
      <c r="L769" s="5" t="s">
        <v>55</v>
      </c>
      <c r="M769" s="5" t="s">
        <v>185</v>
      </c>
      <c r="N769" s="5" t="s">
        <v>54</v>
      </c>
      <c r="O769" s="5" t="s">
        <v>187</v>
      </c>
      <c r="P769" s="5" t="s">
        <v>158</v>
      </c>
      <c r="Q769" s="5" t="s">
        <v>461</v>
      </c>
      <c r="R769" s="5" t="s">
        <v>8569</v>
      </c>
      <c r="S769" s="5" t="s">
        <v>8570</v>
      </c>
      <c r="T769" s="5" t="s">
        <v>162</v>
      </c>
      <c r="U769" s="5" t="n">
        <v>180</v>
      </c>
      <c r="V769" s="5" t="s">
        <v>8571</v>
      </c>
      <c r="W769" s="5" t="s">
        <v>8732</v>
      </c>
      <c r="X769" s="5" t="s">
        <v>8797</v>
      </c>
      <c r="Y769" s="5" t="s">
        <v>8798</v>
      </c>
      <c r="Z769" s="5" t="s">
        <v>8799</v>
      </c>
      <c r="AA769" s="5"/>
      <c r="AB769" s="5"/>
      <c r="AC769" s="5"/>
      <c r="AD769" s="5"/>
      <c r="AE769" s="5"/>
      <c r="AF769" s="5"/>
      <c r="AG769" s="5"/>
      <c r="AH769" s="5"/>
      <c r="AI769" s="5"/>
      <c r="AJ769" s="5"/>
      <c r="AK769" s="5" t="s">
        <v>8716</v>
      </c>
      <c r="AL769" s="5"/>
      <c r="AM769" s="5"/>
      <c r="AN769" s="5"/>
      <c r="AO769" s="5"/>
      <c r="AP769" s="5"/>
      <c r="AQ769" s="5"/>
      <c r="AR769" s="5"/>
      <c r="AS769" s="5"/>
      <c r="AT769" s="5"/>
      <c r="AU769" s="5"/>
      <c r="AV769" s="5" t="s">
        <v>178</v>
      </c>
      <c r="AW769" s="5" t="s">
        <v>3062</v>
      </c>
    </row>
    <row r="770" customFormat="false" ht="113.4" hidden="false" customHeight="false" outlineLevel="0" collapsed="false">
      <c r="A770" s="5" t="s">
        <v>8800</v>
      </c>
      <c r="B770" s="5" t="s">
        <v>8801</v>
      </c>
      <c r="C770" s="5" t="s">
        <v>8563</v>
      </c>
      <c r="D770" s="5" t="s">
        <v>8564</v>
      </c>
      <c r="E770" s="5" t="s">
        <v>626</v>
      </c>
      <c r="F770" s="5" t="s">
        <v>8802</v>
      </c>
      <c r="G770" s="5" t="s">
        <v>8803</v>
      </c>
      <c r="H770" s="5" t="n">
        <v>9</v>
      </c>
      <c r="I770" s="5" t="s">
        <v>152</v>
      </c>
      <c r="J770" s="5" t="s">
        <v>153</v>
      </c>
      <c r="K770" s="5" t="s">
        <v>8804</v>
      </c>
      <c r="L770" s="5" t="s">
        <v>30</v>
      </c>
      <c r="M770" s="5" t="s">
        <v>155</v>
      </c>
      <c r="N770" s="5" t="s">
        <v>2854</v>
      </c>
      <c r="O770" s="5" t="s">
        <v>157</v>
      </c>
      <c r="P770" s="5" t="s">
        <v>158</v>
      </c>
      <c r="Q770" s="5" t="s">
        <v>461</v>
      </c>
      <c r="R770" s="5" t="s">
        <v>8569</v>
      </c>
      <c r="S770" s="5" t="s">
        <v>8570</v>
      </c>
      <c r="T770" s="5" t="s">
        <v>162</v>
      </c>
      <c r="U770" s="5" t="n">
        <v>365</v>
      </c>
      <c r="V770" s="5" t="s">
        <v>8571</v>
      </c>
      <c r="W770" s="5" t="s">
        <v>8732</v>
      </c>
      <c r="X770" s="5" t="s">
        <v>8805</v>
      </c>
      <c r="Y770" s="5" t="s">
        <v>8806</v>
      </c>
      <c r="Z770" s="5" t="s">
        <v>8807</v>
      </c>
      <c r="AA770" s="5"/>
      <c r="AB770" s="5"/>
      <c r="AC770" s="5"/>
      <c r="AD770" s="5"/>
      <c r="AE770" s="5"/>
      <c r="AF770" s="5" t="s">
        <v>8778</v>
      </c>
      <c r="AG770" s="5"/>
      <c r="AH770" s="5"/>
      <c r="AI770" s="5" t="s">
        <v>8664</v>
      </c>
      <c r="AJ770" s="5"/>
      <c r="AK770" s="5" t="s">
        <v>8716</v>
      </c>
      <c r="AL770" s="5" t="s">
        <v>8778</v>
      </c>
      <c r="AM770" s="5"/>
      <c r="AN770" s="5"/>
      <c r="AO770" s="5"/>
      <c r="AP770" s="5"/>
      <c r="AQ770" s="5"/>
      <c r="AR770" s="5" t="s">
        <v>687</v>
      </c>
      <c r="AS770" s="5"/>
      <c r="AT770" s="5"/>
      <c r="AU770" s="5"/>
      <c r="AV770" s="5" t="s">
        <v>178</v>
      </c>
      <c r="AW770" s="5" t="s">
        <v>3062</v>
      </c>
    </row>
    <row r="771" customFormat="false" ht="124.6" hidden="false" customHeight="false" outlineLevel="0" collapsed="false">
      <c r="A771" s="5" t="s">
        <v>8808</v>
      </c>
      <c r="B771" s="5" t="s">
        <v>8809</v>
      </c>
      <c r="C771" s="5" t="s">
        <v>8563</v>
      </c>
      <c r="D771" s="5" t="s">
        <v>8564</v>
      </c>
      <c r="E771" s="5" t="s">
        <v>514</v>
      </c>
      <c r="F771" s="5" t="s">
        <v>8810</v>
      </c>
      <c r="G771" s="5" t="s">
        <v>8811</v>
      </c>
      <c r="H771" s="5" t="n">
        <v>9</v>
      </c>
      <c r="I771" s="5" t="s">
        <v>152</v>
      </c>
      <c r="J771" s="5" t="s">
        <v>153</v>
      </c>
      <c r="K771" s="5" t="s">
        <v>8711</v>
      </c>
      <c r="L771" s="5" t="s">
        <v>55</v>
      </c>
      <c r="M771" s="5" t="s">
        <v>185</v>
      </c>
      <c r="N771" s="5" t="s">
        <v>5356</v>
      </c>
      <c r="O771" s="5" t="s">
        <v>187</v>
      </c>
      <c r="P771" s="5" t="s">
        <v>158</v>
      </c>
      <c r="Q771" s="5" t="s">
        <v>3728</v>
      </c>
      <c r="R771" s="5" t="s">
        <v>8569</v>
      </c>
      <c r="S771" s="5" t="s">
        <v>8570</v>
      </c>
      <c r="T771" s="5" t="s">
        <v>162</v>
      </c>
      <c r="U771" s="5" t="n">
        <v>365</v>
      </c>
      <c r="V771" s="5" t="s">
        <v>8571</v>
      </c>
      <c r="W771" s="5" t="s">
        <v>8572</v>
      </c>
      <c r="X771" s="5" t="s">
        <v>8812</v>
      </c>
      <c r="Y771" s="5" t="s">
        <v>8813</v>
      </c>
      <c r="Z771" s="5" t="s">
        <v>8814</v>
      </c>
      <c r="AA771" s="5"/>
      <c r="AB771" s="5"/>
      <c r="AC771" s="5"/>
      <c r="AD771" s="5"/>
      <c r="AE771" s="5"/>
      <c r="AF771" s="5"/>
      <c r="AG771" s="5"/>
      <c r="AH771" s="5"/>
      <c r="AI771" s="5"/>
      <c r="AJ771" s="5"/>
      <c r="AK771" s="5" t="s">
        <v>8815</v>
      </c>
      <c r="AL771" s="5"/>
      <c r="AM771" s="5"/>
      <c r="AN771" s="5"/>
      <c r="AO771" s="5" t="s">
        <v>8625</v>
      </c>
      <c r="AP771" s="5" t="s">
        <v>8816</v>
      </c>
      <c r="AQ771" s="5"/>
      <c r="AR771" s="5"/>
      <c r="AS771" s="5"/>
      <c r="AT771" s="5" t="s">
        <v>8817</v>
      </c>
      <c r="AU771" s="5"/>
      <c r="AV771" s="5" t="s">
        <v>178</v>
      </c>
      <c r="AW771" s="5" t="s">
        <v>3062</v>
      </c>
    </row>
    <row r="772" customFormat="false" ht="180.55" hidden="false" customHeight="false" outlineLevel="0" collapsed="false">
      <c r="A772" s="5" t="s">
        <v>8818</v>
      </c>
      <c r="B772" s="5" t="s">
        <v>8819</v>
      </c>
      <c r="C772" s="5" t="s">
        <v>8563</v>
      </c>
      <c r="D772" s="5" t="s">
        <v>8564</v>
      </c>
      <c r="E772" s="5" t="s">
        <v>514</v>
      </c>
      <c r="F772" s="5" t="s">
        <v>8820</v>
      </c>
      <c r="G772" s="5" t="s">
        <v>8821</v>
      </c>
      <c r="H772" s="5" t="n">
        <v>9</v>
      </c>
      <c r="I772" s="5" t="s">
        <v>152</v>
      </c>
      <c r="J772" s="5" t="s">
        <v>652</v>
      </c>
      <c r="K772" s="5" t="s">
        <v>8788</v>
      </c>
      <c r="L772" s="5" t="s">
        <v>30</v>
      </c>
      <c r="M772" s="5" t="s">
        <v>155</v>
      </c>
      <c r="N772" s="5" t="s">
        <v>8822</v>
      </c>
      <c r="O772" s="5" t="s">
        <v>157</v>
      </c>
      <c r="P772" s="5" t="s">
        <v>158</v>
      </c>
      <c r="Q772" s="5" t="s">
        <v>519</v>
      </c>
      <c r="R772" s="5" t="s">
        <v>8569</v>
      </c>
      <c r="S772" s="5" t="s">
        <v>8570</v>
      </c>
      <c r="T772" s="5" t="s">
        <v>162</v>
      </c>
      <c r="U772" s="5" t="n">
        <v>180</v>
      </c>
      <c r="V772" s="5" t="s">
        <v>8571</v>
      </c>
      <c r="W772" s="5" t="s">
        <v>8572</v>
      </c>
      <c r="X772" s="5" t="s">
        <v>8823</v>
      </c>
      <c r="Y772" s="5" t="s">
        <v>8824</v>
      </c>
      <c r="Z772" s="5" t="s">
        <v>8825</v>
      </c>
      <c r="AA772" s="5"/>
      <c r="AB772" s="5"/>
      <c r="AC772" s="5"/>
      <c r="AD772" s="5"/>
      <c r="AE772" s="5"/>
      <c r="AF772" s="5" t="s">
        <v>8826</v>
      </c>
      <c r="AG772" s="5" t="s">
        <v>8827</v>
      </c>
      <c r="AH772" s="5"/>
      <c r="AI772" s="5" t="s">
        <v>8664</v>
      </c>
      <c r="AJ772" s="5" t="s">
        <v>8792</v>
      </c>
      <c r="AK772" s="5" t="s">
        <v>8828</v>
      </c>
      <c r="AL772" s="5" t="s">
        <v>8826</v>
      </c>
      <c r="AM772" s="5" t="s">
        <v>8827</v>
      </c>
      <c r="AN772" s="5"/>
      <c r="AO772" s="5" t="s">
        <v>8625</v>
      </c>
      <c r="AP772" s="5" t="s">
        <v>8698</v>
      </c>
      <c r="AQ772" s="5"/>
      <c r="AR772" s="5" t="s">
        <v>706</v>
      </c>
      <c r="AS772" s="5"/>
      <c r="AT772" s="5" t="s">
        <v>8829</v>
      </c>
      <c r="AU772" s="5"/>
      <c r="AV772" s="5" t="s">
        <v>178</v>
      </c>
      <c r="AW772" s="5" t="s">
        <v>3062</v>
      </c>
    </row>
    <row r="773" customFormat="false" ht="113.4" hidden="false" customHeight="false" outlineLevel="0" collapsed="false">
      <c r="A773" s="5" t="s">
        <v>8830</v>
      </c>
      <c r="B773" s="5" t="s">
        <v>8831</v>
      </c>
      <c r="C773" s="5" t="s">
        <v>8563</v>
      </c>
      <c r="D773" s="5" t="s">
        <v>8564</v>
      </c>
      <c r="E773" s="5" t="s">
        <v>514</v>
      </c>
      <c r="F773" s="5" t="s">
        <v>8832</v>
      </c>
      <c r="G773" s="5" t="s">
        <v>8833</v>
      </c>
      <c r="H773" s="5" t="n">
        <v>9</v>
      </c>
      <c r="I773" s="5" t="s">
        <v>152</v>
      </c>
      <c r="J773" s="5" t="s">
        <v>153</v>
      </c>
      <c r="K773" s="5" t="s">
        <v>8788</v>
      </c>
      <c r="L773" s="5" t="s">
        <v>55</v>
      </c>
      <c r="M773" s="5" t="s">
        <v>185</v>
      </c>
      <c r="N773" s="5" t="s">
        <v>804</v>
      </c>
      <c r="O773" s="5" t="s">
        <v>187</v>
      </c>
      <c r="P773" s="5" t="s">
        <v>158</v>
      </c>
      <c r="Q773" s="5" t="s">
        <v>227</v>
      </c>
      <c r="R773" s="5" t="s">
        <v>8569</v>
      </c>
      <c r="S773" s="5" t="s">
        <v>8570</v>
      </c>
      <c r="T773" s="5" t="s">
        <v>162</v>
      </c>
      <c r="U773" s="5" t="n">
        <v>365</v>
      </c>
      <c r="V773" s="5" t="s">
        <v>8571</v>
      </c>
      <c r="W773" s="5" t="s">
        <v>8572</v>
      </c>
      <c r="X773" s="5" t="s">
        <v>8834</v>
      </c>
      <c r="Y773" s="5" t="s">
        <v>8835</v>
      </c>
      <c r="Z773" s="5" t="s">
        <v>8836</v>
      </c>
      <c r="AA773" s="5"/>
      <c r="AB773" s="5"/>
      <c r="AC773" s="5"/>
      <c r="AD773" s="5"/>
      <c r="AE773" s="5"/>
      <c r="AF773" s="5"/>
      <c r="AG773" s="5"/>
      <c r="AH773" s="5"/>
      <c r="AI773" s="5"/>
      <c r="AJ773" s="5"/>
      <c r="AK773" s="5" t="s">
        <v>8837</v>
      </c>
      <c r="AL773" s="5"/>
      <c r="AM773" s="5"/>
      <c r="AN773" s="5"/>
      <c r="AO773" s="5" t="s">
        <v>8754</v>
      </c>
      <c r="AP773" s="5"/>
      <c r="AQ773" s="5"/>
      <c r="AR773" s="5"/>
      <c r="AS773" s="5"/>
      <c r="AT773" s="5" t="s">
        <v>8596</v>
      </c>
      <c r="AU773" s="5"/>
      <c r="AV773" s="5" t="s">
        <v>178</v>
      </c>
      <c r="AW773" s="5" t="s">
        <v>8838</v>
      </c>
    </row>
    <row r="774" customFormat="false" ht="135.8" hidden="false" customHeight="false" outlineLevel="0" collapsed="false">
      <c r="A774" s="5" t="s">
        <v>8839</v>
      </c>
      <c r="B774" s="5" t="s">
        <v>8840</v>
      </c>
      <c r="C774" s="5" t="s">
        <v>8563</v>
      </c>
      <c r="D774" s="5" t="s">
        <v>8564</v>
      </c>
      <c r="E774" s="5" t="s">
        <v>514</v>
      </c>
      <c r="F774" s="5" t="s">
        <v>8841</v>
      </c>
      <c r="G774" s="5" t="s">
        <v>8842</v>
      </c>
      <c r="H774" s="5" t="n">
        <v>8</v>
      </c>
      <c r="I774" s="5" t="s">
        <v>152</v>
      </c>
      <c r="J774" s="5" t="s">
        <v>153</v>
      </c>
      <c r="K774" s="5" t="s">
        <v>8711</v>
      </c>
      <c r="L774" s="5" t="s">
        <v>30</v>
      </c>
      <c r="M774" s="5" t="s">
        <v>155</v>
      </c>
      <c r="N774" s="5" t="s">
        <v>2008</v>
      </c>
      <c r="O774" s="5" t="s">
        <v>157</v>
      </c>
      <c r="P774" s="5" t="s">
        <v>158</v>
      </c>
      <c r="Q774" s="5" t="s">
        <v>335</v>
      </c>
      <c r="R774" s="5" t="s">
        <v>8569</v>
      </c>
      <c r="S774" s="5" t="s">
        <v>8570</v>
      </c>
      <c r="T774" s="5" t="s">
        <v>162</v>
      </c>
      <c r="U774" s="5" t="n">
        <v>365</v>
      </c>
      <c r="V774" s="5" t="s">
        <v>8571</v>
      </c>
      <c r="W774" s="5" t="s">
        <v>8572</v>
      </c>
      <c r="X774" s="5" t="s">
        <v>8843</v>
      </c>
      <c r="Y774" s="5" t="s">
        <v>8844</v>
      </c>
      <c r="Z774" s="5" t="s">
        <v>8845</v>
      </c>
      <c r="AA774" s="5"/>
      <c r="AB774" s="5"/>
      <c r="AC774" s="5"/>
      <c r="AD774" s="5"/>
      <c r="AE774" s="5"/>
      <c r="AF774" s="5" t="s">
        <v>8103</v>
      </c>
      <c r="AG774" s="5" t="s">
        <v>8103</v>
      </c>
      <c r="AH774" s="5"/>
      <c r="AI774" s="5" t="s">
        <v>8638</v>
      </c>
      <c r="AJ774" s="5"/>
      <c r="AK774" s="5" t="s">
        <v>8846</v>
      </c>
      <c r="AL774" s="5" t="s">
        <v>8103</v>
      </c>
      <c r="AM774" s="5"/>
      <c r="AN774" s="5" t="s">
        <v>8105</v>
      </c>
      <c r="AO774" s="5"/>
      <c r="AP774" s="5"/>
      <c r="AQ774" s="5" t="s">
        <v>8103</v>
      </c>
      <c r="AR774" s="5" t="s">
        <v>687</v>
      </c>
      <c r="AS774" s="5"/>
      <c r="AT774" s="5" t="s">
        <v>8847</v>
      </c>
      <c r="AU774" s="5"/>
      <c r="AV774" s="5" t="s">
        <v>178</v>
      </c>
      <c r="AW774" s="5" t="s">
        <v>8717</v>
      </c>
    </row>
    <row r="775" customFormat="false" ht="124.6" hidden="false" customHeight="false" outlineLevel="0" collapsed="false">
      <c r="A775" s="5" t="s">
        <v>8848</v>
      </c>
      <c r="B775" s="5" t="s">
        <v>8849</v>
      </c>
      <c r="C775" s="5" t="s">
        <v>8563</v>
      </c>
      <c r="D775" s="5" t="s">
        <v>8564</v>
      </c>
      <c r="E775" s="5" t="s">
        <v>514</v>
      </c>
      <c r="F775" s="5" t="s">
        <v>8850</v>
      </c>
      <c r="G775" s="5" t="s">
        <v>8851</v>
      </c>
      <c r="H775" s="5" t="n">
        <v>8</v>
      </c>
      <c r="I775" s="5" t="s">
        <v>152</v>
      </c>
      <c r="J775" s="5" t="s">
        <v>153</v>
      </c>
      <c r="K775" s="5" t="s">
        <v>8711</v>
      </c>
      <c r="L775" s="5" t="s">
        <v>30</v>
      </c>
      <c r="M775" s="5" t="s">
        <v>155</v>
      </c>
      <c r="N775" s="5" t="s">
        <v>5074</v>
      </c>
      <c r="O775" s="5" t="s">
        <v>157</v>
      </c>
      <c r="P775" s="5" t="s">
        <v>158</v>
      </c>
      <c r="Q775" s="5" t="s">
        <v>335</v>
      </c>
      <c r="R775" s="5" t="s">
        <v>8569</v>
      </c>
      <c r="S775" s="5" t="s">
        <v>8570</v>
      </c>
      <c r="T775" s="5" t="s">
        <v>162</v>
      </c>
      <c r="U775" s="5" t="n">
        <v>365</v>
      </c>
      <c r="V775" s="5" t="s">
        <v>8571</v>
      </c>
      <c r="W775" s="5" t="s">
        <v>8572</v>
      </c>
      <c r="X775" s="5" t="s">
        <v>8852</v>
      </c>
      <c r="Y775" s="5" t="s">
        <v>8853</v>
      </c>
      <c r="Z775" s="5" t="s">
        <v>8854</v>
      </c>
      <c r="AA775" s="5"/>
      <c r="AB775" s="5"/>
      <c r="AC775" s="5"/>
      <c r="AD775" s="5"/>
      <c r="AE775" s="5"/>
      <c r="AF775" s="5" t="s">
        <v>5167</v>
      </c>
      <c r="AG775" s="5"/>
      <c r="AH775" s="5" t="s">
        <v>8855</v>
      </c>
      <c r="AI775" s="5"/>
      <c r="AJ775" s="5"/>
      <c r="AK775" s="5" t="s">
        <v>8846</v>
      </c>
      <c r="AL775" s="5" t="s">
        <v>5167</v>
      </c>
      <c r="AM775" s="5"/>
      <c r="AN775" s="5"/>
      <c r="AO775" s="5" t="s">
        <v>8856</v>
      </c>
      <c r="AP775" s="5"/>
      <c r="AQ775" s="5" t="s">
        <v>5167</v>
      </c>
      <c r="AR775" s="5" t="s">
        <v>351</v>
      </c>
      <c r="AS775" s="5"/>
      <c r="AT775" s="5" t="s">
        <v>8596</v>
      </c>
      <c r="AU775" s="5"/>
      <c r="AV775" s="5" t="s">
        <v>178</v>
      </c>
      <c r="AW775" s="5" t="s">
        <v>8838</v>
      </c>
    </row>
    <row r="776" customFormat="false" ht="202.95" hidden="false" customHeight="false" outlineLevel="0" collapsed="false">
      <c r="A776" s="5" t="s">
        <v>8857</v>
      </c>
      <c r="B776" s="5" t="s">
        <v>8858</v>
      </c>
      <c r="C776" s="5" t="s">
        <v>8859</v>
      </c>
      <c r="D776" s="5" t="s">
        <v>8860</v>
      </c>
      <c r="E776" s="5" t="s">
        <v>149</v>
      </c>
      <c r="F776" s="5" t="s">
        <v>8861</v>
      </c>
      <c r="G776" s="5" t="s">
        <v>8862</v>
      </c>
      <c r="H776" s="5" t="n">
        <v>8</v>
      </c>
      <c r="I776" s="5" t="s">
        <v>152</v>
      </c>
      <c r="J776" s="5" t="s">
        <v>153</v>
      </c>
      <c r="K776" s="5" t="s">
        <v>8863</v>
      </c>
      <c r="L776" s="5" t="s">
        <v>30</v>
      </c>
      <c r="M776" s="5" t="s">
        <v>155</v>
      </c>
      <c r="N776" s="5" t="s">
        <v>8864</v>
      </c>
      <c r="O776" s="5" t="s">
        <v>157</v>
      </c>
      <c r="P776" s="5" t="s">
        <v>158</v>
      </c>
      <c r="Q776" s="5" t="s">
        <v>605</v>
      </c>
      <c r="R776" s="5" t="s">
        <v>8865</v>
      </c>
      <c r="S776" s="5" t="s">
        <v>8866</v>
      </c>
      <c r="T776" s="5" t="s">
        <v>162</v>
      </c>
      <c r="U776" s="5" t="n">
        <v>365</v>
      </c>
      <c r="V776" s="5" t="s">
        <v>8867</v>
      </c>
      <c r="W776" s="5" t="s">
        <v>8868</v>
      </c>
      <c r="X776" s="5" t="s">
        <v>8869</v>
      </c>
      <c r="Y776" s="5" t="s">
        <v>8870</v>
      </c>
      <c r="Z776" s="5" t="s">
        <v>8871</v>
      </c>
      <c r="AA776" s="5"/>
      <c r="AB776" s="5"/>
      <c r="AC776" s="5"/>
      <c r="AD776" s="5"/>
      <c r="AE776" s="5" t="s">
        <v>8872</v>
      </c>
      <c r="AF776" s="5" t="s">
        <v>8873</v>
      </c>
      <c r="AG776" s="5" t="s">
        <v>8873</v>
      </c>
      <c r="AH776" s="5"/>
      <c r="AI776" s="5" t="s">
        <v>8874</v>
      </c>
      <c r="AJ776" s="5"/>
      <c r="AK776" s="5" t="s">
        <v>8875</v>
      </c>
      <c r="AL776" s="5" t="s">
        <v>8873</v>
      </c>
      <c r="AM776" s="5"/>
      <c r="AN776" s="5"/>
      <c r="AO776" s="5"/>
      <c r="AP776" s="5"/>
      <c r="AQ776" s="5" t="s">
        <v>364</v>
      </c>
      <c r="AR776" s="5" t="s">
        <v>175</v>
      </c>
      <c r="AS776" s="5"/>
      <c r="AT776" s="5" t="s">
        <v>2528</v>
      </c>
      <c r="AU776" s="5" t="s">
        <v>329</v>
      </c>
      <c r="AV776" s="5" t="s">
        <v>178</v>
      </c>
      <c r="AW776" s="5" t="s">
        <v>8876</v>
      </c>
    </row>
    <row r="777" customFormat="false" ht="102.2" hidden="false" customHeight="false" outlineLevel="0" collapsed="false">
      <c r="A777" s="5" t="s">
        <v>8877</v>
      </c>
      <c r="B777" s="5" t="s">
        <v>8878</v>
      </c>
      <c r="C777" s="5" t="s">
        <v>8859</v>
      </c>
      <c r="D777" s="5" t="s">
        <v>8860</v>
      </c>
      <c r="E777" s="5" t="s">
        <v>514</v>
      </c>
      <c r="F777" s="5" t="s">
        <v>8879</v>
      </c>
      <c r="G777" s="5" t="s">
        <v>8880</v>
      </c>
      <c r="H777" s="5" t="n">
        <v>8</v>
      </c>
      <c r="I777" s="5" t="s">
        <v>152</v>
      </c>
      <c r="J777" s="5" t="s">
        <v>153</v>
      </c>
      <c r="K777" s="5" t="s">
        <v>8881</v>
      </c>
      <c r="L777" s="5" t="s">
        <v>30</v>
      </c>
      <c r="M777" s="5" t="s">
        <v>155</v>
      </c>
      <c r="N777" s="5" t="s">
        <v>750</v>
      </c>
      <c r="O777" s="5" t="s">
        <v>157</v>
      </c>
      <c r="P777" s="5" t="s">
        <v>158</v>
      </c>
      <c r="Q777" s="5" t="s">
        <v>605</v>
      </c>
      <c r="R777" s="5" t="s">
        <v>8865</v>
      </c>
      <c r="S777" s="5" t="s">
        <v>8866</v>
      </c>
      <c r="T777" s="5" t="s">
        <v>162</v>
      </c>
      <c r="U777" s="5" t="n">
        <v>365</v>
      </c>
      <c r="V777" s="5" t="s">
        <v>8867</v>
      </c>
      <c r="W777" s="5" t="s">
        <v>8868</v>
      </c>
      <c r="X777" s="5" t="s">
        <v>8882</v>
      </c>
      <c r="Y777" s="5" t="s">
        <v>8883</v>
      </c>
      <c r="Z777" s="5" t="s">
        <v>8884</v>
      </c>
      <c r="AA777" s="5"/>
      <c r="AB777" s="5"/>
      <c r="AC777" s="5"/>
      <c r="AD777" s="5"/>
      <c r="AE777" s="5" t="s">
        <v>8885</v>
      </c>
      <c r="AF777" s="5"/>
      <c r="AG777" s="5"/>
      <c r="AH777" s="5"/>
      <c r="AI777" s="5" t="s">
        <v>4968</v>
      </c>
      <c r="AJ777" s="5"/>
      <c r="AK777" s="5" t="s">
        <v>8886</v>
      </c>
      <c r="AL777" s="5"/>
      <c r="AM777" s="5"/>
      <c r="AN777" s="5"/>
      <c r="AO777" s="5"/>
      <c r="AP777" s="5"/>
      <c r="AQ777" s="5"/>
      <c r="AR777" s="5"/>
      <c r="AS777" s="5"/>
      <c r="AT777" s="5" t="s">
        <v>2528</v>
      </c>
      <c r="AU777" s="5"/>
      <c r="AV777" s="5" t="s">
        <v>178</v>
      </c>
      <c r="AW777" s="5" t="s">
        <v>8887</v>
      </c>
    </row>
    <row r="778" customFormat="false" ht="191.75" hidden="false" customHeight="false" outlineLevel="0" collapsed="false">
      <c r="A778" s="5" t="s">
        <v>8888</v>
      </c>
      <c r="B778" s="5" t="s">
        <v>8889</v>
      </c>
      <c r="C778" s="5" t="s">
        <v>8859</v>
      </c>
      <c r="D778" s="5" t="s">
        <v>8860</v>
      </c>
      <c r="E778" s="5" t="s">
        <v>514</v>
      </c>
      <c r="F778" s="5" t="s">
        <v>8890</v>
      </c>
      <c r="G778" s="5" t="s">
        <v>8891</v>
      </c>
      <c r="H778" s="5" t="n">
        <v>8</v>
      </c>
      <c r="I778" s="5" t="s">
        <v>152</v>
      </c>
      <c r="J778" s="5" t="s">
        <v>153</v>
      </c>
      <c r="K778" s="5" t="s">
        <v>8892</v>
      </c>
      <c r="L778" s="5" t="s">
        <v>30</v>
      </c>
      <c r="M778" s="5" t="s">
        <v>155</v>
      </c>
      <c r="N778" s="5" t="s">
        <v>8893</v>
      </c>
      <c r="O778" s="5" t="s">
        <v>157</v>
      </c>
      <c r="P778" s="5" t="s">
        <v>158</v>
      </c>
      <c r="Q778" s="5" t="s">
        <v>605</v>
      </c>
      <c r="R778" s="5" t="s">
        <v>8865</v>
      </c>
      <c r="S778" s="5" t="s">
        <v>8866</v>
      </c>
      <c r="T778" s="5" t="s">
        <v>162</v>
      </c>
      <c r="U778" s="5" t="n">
        <v>365</v>
      </c>
      <c r="V778" s="5" t="s">
        <v>8867</v>
      </c>
      <c r="W778" s="5" t="s">
        <v>8868</v>
      </c>
      <c r="X778" s="5" t="s">
        <v>8894</v>
      </c>
      <c r="Y778" s="5" t="s">
        <v>8895</v>
      </c>
      <c r="Z778" s="5" t="s">
        <v>8896</v>
      </c>
      <c r="AA778" s="5"/>
      <c r="AB778" s="5"/>
      <c r="AC778" s="5"/>
      <c r="AD778" s="5"/>
      <c r="AE778" s="5" t="s">
        <v>8872</v>
      </c>
      <c r="AF778" s="5" t="s">
        <v>8897</v>
      </c>
      <c r="AG778" s="5" t="s">
        <v>8898</v>
      </c>
      <c r="AH778" s="5"/>
      <c r="AI778" s="5" t="s">
        <v>4968</v>
      </c>
      <c r="AJ778" s="5" t="s">
        <v>8899</v>
      </c>
      <c r="AK778" s="5" t="s">
        <v>8900</v>
      </c>
      <c r="AL778" s="5" t="s">
        <v>8897</v>
      </c>
      <c r="AM778" s="5"/>
      <c r="AN778" s="5" t="s">
        <v>8901</v>
      </c>
      <c r="AO778" s="5" t="s">
        <v>8902</v>
      </c>
      <c r="AP778" s="5"/>
      <c r="AQ778" s="5" t="s">
        <v>8898</v>
      </c>
      <c r="AR778" s="5" t="s">
        <v>3180</v>
      </c>
      <c r="AS778" s="5" t="s">
        <v>7913</v>
      </c>
      <c r="AT778" s="5" t="s">
        <v>2528</v>
      </c>
      <c r="AU778" s="5" t="s">
        <v>329</v>
      </c>
      <c r="AV778" s="5" t="s">
        <v>178</v>
      </c>
      <c r="AW778" s="5" t="s">
        <v>8018</v>
      </c>
    </row>
    <row r="779" customFormat="false" ht="102.2" hidden="false" customHeight="false" outlineLevel="0" collapsed="false">
      <c r="A779" s="5" t="s">
        <v>8903</v>
      </c>
      <c r="B779" s="5" t="s">
        <v>8904</v>
      </c>
      <c r="C779" s="5" t="s">
        <v>8859</v>
      </c>
      <c r="D779" s="5" t="s">
        <v>8860</v>
      </c>
      <c r="E779" s="5" t="s">
        <v>514</v>
      </c>
      <c r="F779" s="5" t="s">
        <v>8905</v>
      </c>
      <c r="G779" s="5" t="s">
        <v>8906</v>
      </c>
      <c r="H779" s="5" t="n">
        <v>8</v>
      </c>
      <c r="I779" s="5" t="s">
        <v>152</v>
      </c>
      <c r="J779" s="5" t="s">
        <v>153</v>
      </c>
      <c r="K779" s="5"/>
      <c r="L779" s="5" t="s">
        <v>55</v>
      </c>
      <c r="M779" s="5" t="s">
        <v>185</v>
      </c>
      <c r="N779" s="5" t="s">
        <v>439</v>
      </c>
      <c r="O779" s="5" t="s">
        <v>187</v>
      </c>
      <c r="P779" s="5" t="s">
        <v>215</v>
      </c>
      <c r="Q779" s="5" t="s">
        <v>605</v>
      </c>
      <c r="R779" s="5" t="s">
        <v>8865</v>
      </c>
      <c r="S779" s="5" t="s">
        <v>8866</v>
      </c>
      <c r="T779" s="5" t="s">
        <v>162</v>
      </c>
      <c r="U779" s="5" t="n">
        <v>365</v>
      </c>
      <c r="V779" s="5" t="s">
        <v>8867</v>
      </c>
      <c r="W779" s="5" t="s">
        <v>8868</v>
      </c>
      <c r="X779" s="5" t="s">
        <v>8907</v>
      </c>
      <c r="Y779" s="5" t="s">
        <v>8908</v>
      </c>
      <c r="Z779" s="5" t="s">
        <v>8909</v>
      </c>
      <c r="AA779" s="5"/>
      <c r="AB779" s="5"/>
      <c r="AC779" s="5"/>
      <c r="AD779" s="5"/>
      <c r="AE779" s="5"/>
      <c r="AF779" s="5"/>
      <c r="AG779" s="5"/>
      <c r="AH779" s="5"/>
      <c r="AI779" s="5"/>
      <c r="AJ779" s="5" t="s">
        <v>8910</v>
      </c>
      <c r="AK779" s="5"/>
      <c r="AL779" s="5"/>
      <c r="AM779" s="5"/>
      <c r="AN779" s="5"/>
      <c r="AO779" s="5"/>
      <c r="AP779" s="5"/>
      <c r="AQ779" s="5"/>
      <c r="AR779" s="5"/>
      <c r="AS779" s="5"/>
      <c r="AT779" s="5" t="s">
        <v>2528</v>
      </c>
      <c r="AU779" s="5"/>
      <c r="AV779" s="5" t="s">
        <v>178</v>
      </c>
      <c r="AW779" s="5" t="s">
        <v>8018</v>
      </c>
    </row>
    <row r="780" customFormat="false" ht="102.2" hidden="false" customHeight="false" outlineLevel="0" collapsed="false">
      <c r="A780" s="5" t="s">
        <v>8911</v>
      </c>
      <c r="B780" s="5" t="s">
        <v>8912</v>
      </c>
      <c r="C780" s="5" t="s">
        <v>8859</v>
      </c>
      <c r="D780" s="5" t="s">
        <v>8860</v>
      </c>
      <c r="E780" s="5" t="s">
        <v>514</v>
      </c>
      <c r="F780" s="5" t="s">
        <v>8913</v>
      </c>
      <c r="G780" s="5" t="s">
        <v>8914</v>
      </c>
      <c r="H780" s="5" t="n">
        <v>8</v>
      </c>
      <c r="I780" s="5" t="s">
        <v>152</v>
      </c>
      <c r="J780" s="5" t="s">
        <v>153</v>
      </c>
      <c r="K780" s="5" t="s">
        <v>8863</v>
      </c>
      <c r="L780" s="5" t="s">
        <v>30</v>
      </c>
      <c r="M780" s="5" t="s">
        <v>155</v>
      </c>
      <c r="N780" s="5" t="s">
        <v>1312</v>
      </c>
      <c r="O780" s="5" t="s">
        <v>157</v>
      </c>
      <c r="P780" s="5" t="s">
        <v>158</v>
      </c>
      <c r="Q780" s="5" t="s">
        <v>159</v>
      </c>
      <c r="R780" s="5" t="s">
        <v>8865</v>
      </c>
      <c r="S780" s="5" t="s">
        <v>8866</v>
      </c>
      <c r="T780" s="5" t="s">
        <v>162</v>
      </c>
      <c r="U780" s="5" t="n">
        <v>365</v>
      </c>
      <c r="V780" s="5" t="s">
        <v>8867</v>
      </c>
      <c r="W780" s="5" t="s">
        <v>8868</v>
      </c>
      <c r="X780" s="5" t="s">
        <v>8915</v>
      </c>
      <c r="Y780" s="5" t="s">
        <v>8916</v>
      </c>
      <c r="Z780" s="5" t="s">
        <v>8917</v>
      </c>
      <c r="AA780" s="5"/>
      <c r="AB780" s="5"/>
      <c r="AC780" s="5"/>
      <c r="AD780" s="5"/>
      <c r="AE780" s="5"/>
      <c r="AF780" s="5" t="s">
        <v>8918</v>
      </c>
      <c r="AG780" s="5" t="s">
        <v>8918</v>
      </c>
      <c r="AH780" s="5"/>
      <c r="AI780" s="5"/>
      <c r="AJ780" s="5"/>
      <c r="AK780" s="5" t="s">
        <v>8919</v>
      </c>
      <c r="AL780" s="5" t="s">
        <v>8918</v>
      </c>
      <c r="AM780" s="5"/>
      <c r="AN780" s="5"/>
      <c r="AO780" s="5"/>
      <c r="AP780" s="5"/>
      <c r="AQ780" s="5"/>
      <c r="AR780" s="5" t="s">
        <v>175</v>
      </c>
      <c r="AS780" s="5"/>
      <c r="AT780" s="5"/>
      <c r="AU780" s="5"/>
      <c r="AV780" s="5" t="s">
        <v>178</v>
      </c>
      <c r="AW780" s="5" t="s">
        <v>8920</v>
      </c>
    </row>
    <row r="781" customFormat="false" ht="124.6" hidden="false" customHeight="false" outlineLevel="0" collapsed="false">
      <c r="A781" s="5" t="s">
        <v>8921</v>
      </c>
      <c r="B781" s="5" t="s">
        <v>8922</v>
      </c>
      <c r="C781" s="5" t="s">
        <v>8859</v>
      </c>
      <c r="D781" s="5" t="s">
        <v>8860</v>
      </c>
      <c r="E781" s="5" t="s">
        <v>514</v>
      </c>
      <c r="F781" s="5" t="s">
        <v>8923</v>
      </c>
      <c r="G781" s="5" t="s">
        <v>8924</v>
      </c>
      <c r="H781" s="5" t="n">
        <v>8</v>
      </c>
      <c r="I781" s="5" t="s">
        <v>152</v>
      </c>
      <c r="J781" s="5" t="s">
        <v>153</v>
      </c>
      <c r="K781" s="5" t="s">
        <v>8925</v>
      </c>
      <c r="L781" s="5" t="s">
        <v>30</v>
      </c>
      <c r="M781" s="5" t="s">
        <v>155</v>
      </c>
      <c r="N781" s="5" t="s">
        <v>8926</v>
      </c>
      <c r="O781" s="5" t="s">
        <v>157</v>
      </c>
      <c r="P781" s="5" t="s">
        <v>158</v>
      </c>
      <c r="Q781" s="5" t="s">
        <v>159</v>
      </c>
      <c r="R781" s="5" t="s">
        <v>8865</v>
      </c>
      <c r="S781" s="5" t="s">
        <v>8866</v>
      </c>
      <c r="T781" s="5" t="s">
        <v>162</v>
      </c>
      <c r="U781" s="5" t="n">
        <v>365</v>
      </c>
      <c r="V781" s="5" t="s">
        <v>8867</v>
      </c>
      <c r="W781" s="5" t="s">
        <v>8868</v>
      </c>
      <c r="X781" s="5" t="s">
        <v>8927</v>
      </c>
      <c r="Y781" s="5" t="s">
        <v>8928</v>
      </c>
      <c r="Z781" s="5" t="s">
        <v>8929</v>
      </c>
      <c r="AA781" s="5"/>
      <c r="AB781" s="5"/>
      <c r="AC781" s="5"/>
      <c r="AD781" s="5"/>
      <c r="AE781" s="5"/>
      <c r="AF781" s="5" t="s">
        <v>8930</v>
      </c>
      <c r="AG781" s="5" t="s">
        <v>8930</v>
      </c>
      <c r="AH781" s="5"/>
      <c r="AI781" s="5"/>
      <c r="AJ781" s="5"/>
      <c r="AK781" s="5" t="s">
        <v>8919</v>
      </c>
      <c r="AL781" s="5" t="s">
        <v>8930</v>
      </c>
      <c r="AM781" s="5"/>
      <c r="AN781" s="5" t="s">
        <v>8931</v>
      </c>
      <c r="AO781" s="5"/>
      <c r="AP781" s="5"/>
      <c r="AQ781" s="5"/>
      <c r="AR781" s="5" t="s">
        <v>7938</v>
      </c>
      <c r="AS781" s="5"/>
      <c r="AT781" s="5"/>
      <c r="AU781" s="5"/>
      <c r="AV781" s="5" t="s">
        <v>178</v>
      </c>
      <c r="AW781" s="5" t="s">
        <v>8932</v>
      </c>
    </row>
    <row r="782" customFormat="false" ht="113.4" hidden="false" customHeight="false" outlineLevel="0" collapsed="false">
      <c r="A782" s="5" t="s">
        <v>8933</v>
      </c>
      <c r="B782" s="5" t="s">
        <v>8934</v>
      </c>
      <c r="C782" s="5" t="s">
        <v>8859</v>
      </c>
      <c r="D782" s="5" t="s">
        <v>8860</v>
      </c>
      <c r="E782" s="5" t="s">
        <v>600</v>
      </c>
      <c r="F782" s="5" t="s">
        <v>8935</v>
      </c>
      <c r="G782" s="5" t="s">
        <v>8936</v>
      </c>
      <c r="H782" s="5" t="n">
        <v>8</v>
      </c>
      <c r="I782" s="5" t="s">
        <v>152</v>
      </c>
      <c r="J782" s="5" t="s">
        <v>153</v>
      </c>
      <c r="K782" s="5" t="s">
        <v>8937</v>
      </c>
      <c r="L782" s="5" t="s">
        <v>30</v>
      </c>
      <c r="M782" s="5" t="s">
        <v>155</v>
      </c>
      <c r="N782" s="5" t="s">
        <v>8938</v>
      </c>
      <c r="O782" s="5" t="s">
        <v>157</v>
      </c>
      <c r="P782" s="5" t="s">
        <v>158</v>
      </c>
      <c r="Q782" s="5" t="s">
        <v>399</v>
      </c>
      <c r="R782" s="5" t="s">
        <v>8865</v>
      </c>
      <c r="S782" s="5" t="s">
        <v>8866</v>
      </c>
      <c r="T782" s="5" t="s">
        <v>162</v>
      </c>
      <c r="U782" s="5" t="n">
        <v>365</v>
      </c>
      <c r="V782" s="5" t="s">
        <v>8867</v>
      </c>
      <c r="W782" s="5" t="s">
        <v>8868</v>
      </c>
      <c r="X782" s="5" t="s">
        <v>8939</v>
      </c>
      <c r="Y782" s="5" t="s">
        <v>8940</v>
      </c>
      <c r="Z782" s="5" t="s">
        <v>8941</v>
      </c>
      <c r="AA782" s="5"/>
      <c r="AB782" s="5"/>
      <c r="AC782" s="5"/>
      <c r="AD782" s="5"/>
      <c r="AE782" s="5"/>
      <c r="AF782" s="5" t="s">
        <v>8942</v>
      </c>
      <c r="AG782" s="5" t="s">
        <v>8942</v>
      </c>
      <c r="AH782" s="5"/>
      <c r="AI782" s="5" t="s">
        <v>8943</v>
      </c>
      <c r="AJ782" s="5" t="s">
        <v>8944</v>
      </c>
      <c r="AK782" s="5"/>
      <c r="AL782" s="5" t="s">
        <v>8942</v>
      </c>
      <c r="AM782" s="5"/>
      <c r="AN782" s="5"/>
      <c r="AO782" s="5" t="s">
        <v>8945</v>
      </c>
      <c r="AP782" s="5"/>
      <c r="AQ782" s="5"/>
      <c r="AR782" s="5" t="s">
        <v>7151</v>
      </c>
      <c r="AS782" s="5"/>
      <c r="AT782" s="5"/>
      <c r="AU782" s="5"/>
      <c r="AV782" s="5"/>
      <c r="AW782" s="5" t="s">
        <v>8946</v>
      </c>
    </row>
    <row r="783" customFormat="false" ht="102.2" hidden="false" customHeight="false" outlineLevel="0" collapsed="false">
      <c r="A783" s="5" t="s">
        <v>8947</v>
      </c>
      <c r="B783" s="5" t="s">
        <v>8948</v>
      </c>
      <c r="C783" s="5" t="s">
        <v>8859</v>
      </c>
      <c r="D783" s="5" t="s">
        <v>8860</v>
      </c>
      <c r="E783" s="5" t="s">
        <v>600</v>
      </c>
      <c r="F783" s="5" t="s">
        <v>8949</v>
      </c>
      <c r="G783" s="5" t="s">
        <v>8950</v>
      </c>
      <c r="H783" s="5" t="n">
        <v>1</v>
      </c>
      <c r="I783" s="5" t="s">
        <v>152</v>
      </c>
      <c r="J783" s="5" t="s">
        <v>153</v>
      </c>
      <c r="K783" s="5"/>
      <c r="L783" s="5" t="s">
        <v>30</v>
      </c>
      <c r="M783" s="5" t="s">
        <v>155</v>
      </c>
      <c r="N783" s="5" t="s">
        <v>836</v>
      </c>
      <c r="O783" s="5" t="s">
        <v>157</v>
      </c>
      <c r="P783" s="5" t="s">
        <v>215</v>
      </c>
      <c r="Q783" s="5" t="s">
        <v>605</v>
      </c>
      <c r="R783" s="5" t="s">
        <v>8865</v>
      </c>
      <c r="S783" s="5" t="s">
        <v>8866</v>
      </c>
      <c r="T783" s="5" t="s">
        <v>162</v>
      </c>
      <c r="U783" s="5" t="n">
        <v>365</v>
      </c>
      <c r="V783" s="5" t="s">
        <v>8867</v>
      </c>
      <c r="W783" s="5" t="s">
        <v>8868</v>
      </c>
      <c r="X783" s="5" t="s">
        <v>8951</v>
      </c>
      <c r="Y783" s="5" t="s">
        <v>8952</v>
      </c>
      <c r="Z783" s="5" t="s">
        <v>8953</v>
      </c>
      <c r="AA783" s="5"/>
      <c r="AB783" s="5"/>
      <c r="AC783" s="5"/>
      <c r="AD783" s="5"/>
      <c r="AE783" s="5"/>
      <c r="AF783" s="5"/>
      <c r="AG783" s="5"/>
      <c r="AH783" s="5"/>
      <c r="AI783" s="5" t="s">
        <v>8954</v>
      </c>
      <c r="AJ783" s="5"/>
      <c r="AK783" s="5"/>
      <c r="AL783" s="5"/>
      <c r="AM783" s="5"/>
      <c r="AN783" s="5"/>
      <c r="AO783" s="5"/>
      <c r="AP783" s="5"/>
      <c r="AQ783" s="5"/>
      <c r="AR783" s="5"/>
      <c r="AS783" s="5"/>
      <c r="AT783" s="5"/>
      <c r="AU783" s="5"/>
      <c r="AV783" s="5"/>
      <c r="AW783" s="5" t="s">
        <v>8946</v>
      </c>
    </row>
    <row r="784" customFormat="false" ht="180.55" hidden="false" customHeight="false" outlineLevel="0" collapsed="false">
      <c r="A784" s="5" t="s">
        <v>8955</v>
      </c>
      <c r="B784" s="5" t="s">
        <v>8956</v>
      </c>
      <c r="C784" s="5" t="s">
        <v>8859</v>
      </c>
      <c r="D784" s="5" t="s">
        <v>8860</v>
      </c>
      <c r="E784" s="5" t="s">
        <v>600</v>
      </c>
      <c r="F784" s="5" t="s">
        <v>8957</v>
      </c>
      <c r="G784" s="5" t="s">
        <v>8958</v>
      </c>
      <c r="H784" s="5" t="n">
        <v>4</v>
      </c>
      <c r="I784" s="5" t="s">
        <v>152</v>
      </c>
      <c r="J784" s="5" t="s">
        <v>153</v>
      </c>
      <c r="K784" s="5" t="s">
        <v>8959</v>
      </c>
      <c r="L784" s="5" t="s">
        <v>55</v>
      </c>
      <c r="M784" s="5" t="s">
        <v>185</v>
      </c>
      <c r="N784" s="5" t="s">
        <v>7685</v>
      </c>
      <c r="O784" s="5" t="s">
        <v>187</v>
      </c>
      <c r="P784" s="5" t="s">
        <v>215</v>
      </c>
      <c r="Q784" s="5" t="s">
        <v>605</v>
      </c>
      <c r="R784" s="5" t="s">
        <v>8865</v>
      </c>
      <c r="S784" s="5" t="s">
        <v>8866</v>
      </c>
      <c r="T784" s="5" t="s">
        <v>162</v>
      </c>
      <c r="U784" s="5" t="n">
        <v>365</v>
      </c>
      <c r="V784" s="5" t="s">
        <v>8867</v>
      </c>
      <c r="W784" s="5" t="s">
        <v>8868</v>
      </c>
      <c r="X784" s="5" t="s">
        <v>8960</v>
      </c>
      <c r="Y784" s="5" t="s">
        <v>8961</v>
      </c>
      <c r="Z784" s="5" t="s">
        <v>8962</v>
      </c>
      <c r="AA784" s="5"/>
      <c r="AB784" s="5"/>
      <c r="AC784" s="5"/>
      <c r="AD784" s="5"/>
      <c r="AE784" s="5"/>
      <c r="AF784" s="5" t="s">
        <v>8963</v>
      </c>
      <c r="AG784" s="5"/>
      <c r="AH784" s="5"/>
      <c r="AI784" s="5"/>
      <c r="AJ784" s="5"/>
      <c r="AK784" s="5" t="s">
        <v>8964</v>
      </c>
      <c r="AL784" s="5" t="s">
        <v>8963</v>
      </c>
      <c r="AM784" s="5"/>
      <c r="AN784" s="5"/>
      <c r="AO784" s="5"/>
      <c r="AP784" s="5"/>
      <c r="AQ784" s="5" t="s">
        <v>2116</v>
      </c>
      <c r="AR784" s="5" t="s">
        <v>8965</v>
      </c>
      <c r="AS784" s="5"/>
      <c r="AT784" s="5"/>
      <c r="AU784" s="5"/>
      <c r="AV784" s="5" t="s">
        <v>178</v>
      </c>
      <c r="AW784" s="5" t="s">
        <v>8966</v>
      </c>
    </row>
    <row r="785" customFormat="false" ht="102.2" hidden="false" customHeight="false" outlineLevel="0" collapsed="false">
      <c r="A785" s="5" t="s">
        <v>8967</v>
      </c>
      <c r="B785" s="5" t="s">
        <v>8968</v>
      </c>
      <c r="C785" s="5" t="s">
        <v>8859</v>
      </c>
      <c r="D785" s="5" t="s">
        <v>8860</v>
      </c>
      <c r="E785" s="5" t="s">
        <v>626</v>
      </c>
      <c r="F785" s="5" t="s">
        <v>8969</v>
      </c>
      <c r="G785" s="5" t="s">
        <v>8970</v>
      </c>
      <c r="H785" s="5" t="n">
        <v>5</v>
      </c>
      <c r="I785" s="5" t="s">
        <v>152</v>
      </c>
      <c r="J785" s="5" t="s">
        <v>153</v>
      </c>
      <c r="K785" s="5" t="s">
        <v>8971</v>
      </c>
      <c r="L785" s="5" t="s">
        <v>30</v>
      </c>
      <c r="M785" s="5" t="s">
        <v>155</v>
      </c>
      <c r="N785" s="5" t="s">
        <v>8972</v>
      </c>
      <c r="O785" s="5" t="s">
        <v>157</v>
      </c>
      <c r="P785" s="5" t="s">
        <v>158</v>
      </c>
      <c r="Q785" s="5" t="s">
        <v>335</v>
      </c>
      <c r="R785" s="5" t="s">
        <v>8865</v>
      </c>
      <c r="S785" s="5" t="s">
        <v>8866</v>
      </c>
      <c r="T785" s="5" t="s">
        <v>162</v>
      </c>
      <c r="U785" s="5" t="n">
        <v>365</v>
      </c>
      <c r="V785" s="5" t="s">
        <v>8867</v>
      </c>
      <c r="W785" s="5" t="s">
        <v>8868</v>
      </c>
      <c r="X785" s="5" t="s">
        <v>8973</v>
      </c>
      <c r="Y785" s="5" t="s">
        <v>8974</v>
      </c>
      <c r="Z785" s="5" t="s">
        <v>8975</v>
      </c>
      <c r="AA785" s="5"/>
      <c r="AB785" s="5"/>
      <c r="AC785" s="5"/>
      <c r="AD785" s="5"/>
      <c r="AE785" s="5" t="s">
        <v>8976</v>
      </c>
      <c r="AF785" s="5"/>
      <c r="AG785" s="5"/>
      <c r="AH785" s="5"/>
      <c r="AI785" s="5" t="s">
        <v>4968</v>
      </c>
      <c r="AJ785" s="5" t="s">
        <v>8977</v>
      </c>
      <c r="AK785" s="5" t="s">
        <v>8978</v>
      </c>
      <c r="AL785" s="5"/>
      <c r="AM785" s="5"/>
      <c r="AN785" s="5"/>
      <c r="AO785" s="5"/>
      <c r="AP785" s="5"/>
      <c r="AQ785" s="5"/>
      <c r="AR785" s="5"/>
      <c r="AS785" s="5"/>
      <c r="AT785" s="5"/>
      <c r="AU785" s="5"/>
      <c r="AV785" s="5" t="s">
        <v>178</v>
      </c>
      <c r="AW785" s="5" t="s">
        <v>8979</v>
      </c>
    </row>
    <row r="786" customFormat="false" ht="102.2" hidden="false" customHeight="false" outlineLevel="0" collapsed="false">
      <c r="A786" s="5" t="s">
        <v>8980</v>
      </c>
      <c r="B786" s="5" t="s">
        <v>8981</v>
      </c>
      <c r="C786" s="5" t="s">
        <v>8859</v>
      </c>
      <c r="D786" s="5" t="s">
        <v>8860</v>
      </c>
      <c r="E786" s="5" t="s">
        <v>626</v>
      </c>
      <c r="F786" s="5" t="s">
        <v>8982</v>
      </c>
      <c r="G786" s="5" t="s">
        <v>8983</v>
      </c>
      <c r="H786" s="5" t="n">
        <v>7</v>
      </c>
      <c r="I786" s="5" t="s">
        <v>152</v>
      </c>
      <c r="J786" s="5" t="s">
        <v>153</v>
      </c>
      <c r="K786" s="5" t="s">
        <v>8984</v>
      </c>
      <c r="L786" s="5" t="s">
        <v>30</v>
      </c>
      <c r="M786" s="5" t="s">
        <v>155</v>
      </c>
      <c r="N786" s="5" t="s">
        <v>7333</v>
      </c>
      <c r="O786" s="5" t="s">
        <v>157</v>
      </c>
      <c r="P786" s="5" t="s">
        <v>158</v>
      </c>
      <c r="Q786" s="5" t="s">
        <v>335</v>
      </c>
      <c r="R786" s="5" t="s">
        <v>8865</v>
      </c>
      <c r="S786" s="5" t="s">
        <v>8866</v>
      </c>
      <c r="T786" s="5" t="s">
        <v>162</v>
      </c>
      <c r="U786" s="5" t="n">
        <v>365</v>
      </c>
      <c r="V786" s="5" t="s">
        <v>8867</v>
      </c>
      <c r="W786" s="5" t="s">
        <v>8868</v>
      </c>
      <c r="X786" s="5" t="s">
        <v>8985</v>
      </c>
      <c r="Y786" s="5" t="s">
        <v>8986</v>
      </c>
      <c r="Z786" s="5" t="s">
        <v>8987</v>
      </c>
      <c r="AA786" s="5"/>
      <c r="AB786" s="5"/>
      <c r="AC786" s="5"/>
      <c r="AD786" s="5"/>
      <c r="AE786" s="5" t="s">
        <v>8976</v>
      </c>
      <c r="AF786" s="5"/>
      <c r="AG786" s="5"/>
      <c r="AH786" s="5"/>
      <c r="AI786" s="5"/>
      <c r="AJ786" s="5" t="s">
        <v>8988</v>
      </c>
      <c r="AK786" s="5" t="s">
        <v>8989</v>
      </c>
      <c r="AL786" s="5"/>
      <c r="AM786" s="5"/>
      <c r="AN786" s="5"/>
      <c r="AO786" s="5"/>
      <c r="AP786" s="5"/>
      <c r="AQ786" s="5"/>
      <c r="AR786" s="5"/>
      <c r="AS786" s="5"/>
      <c r="AT786" s="5"/>
      <c r="AU786" s="5"/>
      <c r="AV786" s="5" t="s">
        <v>178</v>
      </c>
      <c r="AW786" s="5" t="s">
        <v>8990</v>
      </c>
    </row>
    <row r="787" customFormat="false" ht="191.75" hidden="false" customHeight="false" outlineLevel="0" collapsed="false">
      <c r="A787" s="5" t="s">
        <v>8991</v>
      </c>
      <c r="B787" s="5" t="s">
        <v>8992</v>
      </c>
      <c r="C787" s="5" t="s">
        <v>8993</v>
      </c>
      <c r="D787" s="5" t="s">
        <v>8994</v>
      </c>
      <c r="E787" s="5" t="s">
        <v>149</v>
      </c>
      <c r="F787" s="5" t="s">
        <v>8995</v>
      </c>
      <c r="G787" s="5" t="s">
        <v>8996</v>
      </c>
      <c r="H787" s="5" t="n">
        <v>9</v>
      </c>
      <c r="I787" s="5" t="s">
        <v>152</v>
      </c>
      <c r="J787" s="5" t="s">
        <v>153</v>
      </c>
      <c r="K787" s="5" t="s">
        <v>8997</v>
      </c>
      <c r="L787" s="5" t="s">
        <v>30</v>
      </c>
      <c r="M787" s="5" t="s">
        <v>155</v>
      </c>
      <c r="N787" s="5" t="s">
        <v>4975</v>
      </c>
      <c r="O787" s="5" t="s">
        <v>157</v>
      </c>
      <c r="P787" s="5" t="s">
        <v>158</v>
      </c>
      <c r="Q787" s="5" t="s">
        <v>605</v>
      </c>
      <c r="R787" s="5" t="s">
        <v>8998</v>
      </c>
      <c r="S787" s="5" t="s">
        <v>8999</v>
      </c>
      <c r="T787" s="5" t="s">
        <v>162</v>
      </c>
      <c r="U787" s="5" t="n">
        <v>365</v>
      </c>
      <c r="V787" s="5" t="s">
        <v>9000</v>
      </c>
      <c r="W787" s="5" t="s">
        <v>9001</v>
      </c>
      <c r="X787" s="5" t="s">
        <v>9002</v>
      </c>
      <c r="Y787" s="5" t="s">
        <v>9003</v>
      </c>
      <c r="Z787" s="5" t="s">
        <v>9004</v>
      </c>
      <c r="AA787" s="5"/>
      <c r="AB787" s="5"/>
      <c r="AC787" s="5"/>
      <c r="AD787" s="5"/>
      <c r="AE787" s="5"/>
      <c r="AF787" s="5" t="s">
        <v>3521</v>
      </c>
      <c r="AG787" s="5" t="s">
        <v>3521</v>
      </c>
      <c r="AH787" s="5" t="s">
        <v>9005</v>
      </c>
      <c r="AI787" s="5" t="s">
        <v>5282</v>
      </c>
      <c r="AJ787" s="5" t="s">
        <v>9006</v>
      </c>
      <c r="AK787" s="5" t="s">
        <v>9007</v>
      </c>
      <c r="AL787" s="5" t="s">
        <v>3521</v>
      </c>
      <c r="AM787" s="5"/>
      <c r="AN787" s="5" t="s">
        <v>3522</v>
      </c>
      <c r="AO787" s="5" t="s">
        <v>9008</v>
      </c>
      <c r="AP787" s="5" t="s">
        <v>9009</v>
      </c>
      <c r="AQ787" s="5" t="s">
        <v>3521</v>
      </c>
      <c r="AR787" s="5" t="s">
        <v>1294</v>
      </c>
      <c r="AS787" s="5"/>
      <c r="AT787" s="5" t="s">
        <v>5154</v>
      </c>
      <c r="AU787" s="5"/>
      <c r="AV787" s="5" t="s">
        <v>178</v>
      </c>
      <c r="AW787" s="5" t="s">
        <v>9010</v>
      </c>
    </row>
    <row r="788" customFormat="false" ht="247.75" hidden="false" customHeight="false" outlineLevel="0" collapsed="false">
      <c r="A788" s="5" t="s">
        <v>9011</v>
      </c>
      <c r="B788" s="5" t="s">
        <v>9012</v>
      </c>
      <c r="C788" s="5" t="s">
        <v>8993</v>
      </c>
      <c r="D788" s="5" t="s">
        <v>8994</v>
      </c>
      <c r="E788" s="5" t="s">
        <v>626</v>
      </c>
      <c r="F788" s="5" t="s">
        <v>9013</v>
      </c>
      <c r="G788" s="5" t="s">
        <v>9014</v>
      </c>
      <c r="H788" s="5" t="n">
        <v>5</v>
      </c>
      <c r="I788" s="5" t="s">
        <v>152</v>
      </c>
      <c r="J788" s="5" t="s">
        <v>153</v>
      </c>
      <c r="K788" s="5" t="s">
        <v>9015</v>
      </c>
      <c r="L788" s="5" t="s">
        <v>30</v>
      </c>
      <c r="M788" s="5" t="s">
        <v>155</v>
      </c>
      <c r="N788" s="5" t="s">
        <v>9016</v>
      </c>
      <c r="O788" s="5" t="s">
        <v>157</v>
      </c>
      <c r="P788" s="5" t="s">
        <v>158</v>
      </c>
      <c r="Q788" s="5" t="s">
        <v>335</v>
      </c>
      <c r="R788" s="5" t="s">
        <v>8998</v>
      </c>
      <c r="S788" s="5" t="s">
        <v>8999</v>
      </c>
      <c r="T788" s="5" t="s">
        <v>162</v>
      </c>
      <c r="U788" s="5" t="n">
        <v>365</v>
      </c>
      <c r="V788" s="5" t="s">
        <v>9000</v>
      </c>
      <c r="W788" s="5" t="s">
        <v>9001</v>
      </c>
      <c r="X788" s="5" t="s">
        <v>9017</v>
      </c>
      <c r="Y788" s="5" t="s">
        <v>9018</v>
      </c>
      <c r="Z788" s="5" t="s">
        <v>9019</v>
      </c>
      <c r="AA788" s="5"/>
      <c r="AB788" s="5"/>
      <c r="AC788" s="5"/>
      <c r="AD788" s="5"/>
      <c r="AE788" s="5"/>
      <c r="AF788" s="5" t="s">
        <v>9020</v>
      </c>
      <c r="AG788" s="5"/>
      <c r="AH788" s="5"/>
      <c r="AI788" s="5" t="s">
        <v>9021</v>
      </c>
      <c r="AJ788" s="5" t="s">
        <v>9022</v>
      </c>
      <c r="AK788" s="5" t="s">
        <v>9023</v>
      </c>
      <c r="AL788" s="5" t="s">
        <v>9020</v>
      </c>
      <c r="AM788" s="5"/>
      <c r="AN788" s="5"/>
      <c r="AO788" s="5" t="s">
        <v>9024</v>
      </c>
      <c r="AP788" s="5"/>
      <c r="AQ788" s="5" t="s">
        <v>9020</v>
      </c>
      <c r="AR788" s="5" t="s">
        <v>687</v>
      </c>
      <c r="AS788" s="5"/>
      <c r="AT788" s="5" t="s">
        <v>5154</v>
      </c>
      <c r="AU788" s="5"/>
      <c r="AV788" s="5" t="s">
        <v>178</v>
      </c>
      <c r="AW788" s="5" t="s">
        <v>9025</v>
      </c>
    </row>
    <row r="789" customFormat="false" ht="147" hidden="false" customHeight="false" outlineLevel="0" collapsed="false">
      <c r="A789" s="5" t="s">
        <v>9026</v>
      </c>
      <c r="B789" s="5" t="s">
        <v>9027</v>
      </c>
      <c r="C789" s="5" t="s">
        <v>8993</v>
      </c>
      <c r="D789" s="5" t="s">
        <v>8994</v>
      </c>
      <c r="E789" s="5" t="s">
        <v>626</v>
      </c>
      <c r="F789" s="5" t="s">
        <v>9028</v>
      </c>
      <c r="G789" s="5" t="s">
        <v>9029</v>
      </c>
      <c r="H789" s="5" t="n">
        <v>10</v>
      </c>
      <c r="I789" s="5" t="s">
        <v>152</v>
      </c>
      <c r="J789" s="5" t="s">
        <v>153</v>
      </c>
      <c r="K789" s="5" t="s">
        <v>9030</v>
      </c>
      <c r="L789" s="5" t="s">
        <v>30</v>
      </c>
      <c r="M789" s="5" t="s">
        <v>155</v>
      </c>
      <c r="N789" s="5" t="s">
        <v>9031</v>
      </c>
      <c r="O789" s="5" t="s">
        <v>157</v>
      </c>
      <c r="P789" s="5" t="s">
        <v>158</v>
      </c>
      <c r="Q789" s="5" t="s">
        <v>440</v>
      </c>
      <c r="R789" s="5" t="s">
        <v>8998</v>
      </c>
      <c r="S789" s="5" t="s">
        <v>8999</v>
      </c>
      <c r="T789" s="5" t="s">
        <v>162</v>
      </c>
      <c r="U789" s="5" t="n">
        <v>365</v>
      </c>
      <c r="V789" s="5" t="s">
        <v>9000</v>
      </c>
      <c r="W789" s="5" t="s">
        <v>9001</v>
      </c>
      <c r="X789" s="5" t="s">
        <v>9032</v>
      </c>
      <c r="Y789" s="5" t="s">
        <v>9033</v>
      </c>
      <c r="Z789" s="5" t="s">
        <v>9034</v>
      </c>
      <c r="AA789" s="5" t="s">
        <v>9035</v>
      </c>
      <c r="AB789" s="5"/>
      <c r="AC789" s="5"/>
      <c r="AD789" s="5"/>
      <c r="AE789" s="5"/>
      <c r="AF789" s="5" t="s">
        <v>9036</v>
      </c>
      <c r="AG789" s="5" t="s">
        <v>9037</v>
      </c>
      <c r="AH789" s="5" t="s">
        <v>9038</v>
      </c>
      <c r="AI789" s="5" t="s">
        <v>9021</v>
      </c>
      <c r="AJ789" s="5"/>
      <c r="AK789" s="5" t="s">
        <v>9039</v>
      </c>
      <c r="AL789" s="5" t="s">
        <v>9036</v>
      </c>
      <c r="AM789" s="5"/>
      <c r="AN789" s="5"/>
      <c r="AO789" s="5" t="s">
        <v>9040</v>
      </c>
      <c r="AP789" s="5"/>
      <c r="AQ789" s="5" t="s">
        <v>9036</v>
      </c>
      <c r="AR789" s="5" t="s">
        <v>9041</v>
      </c>
      <c r="AS789" s="5"/>
      <c r="AT789" s="5" t="s">
        <v>5154</v>
      </c>
      <c r="AU789" s="5"/>
      <c r="AV789" s="5" t="s">
        <v>178</v>
      </c>
      <c r="AW789" s="5" t="s">
        <v>9042</v>
      </c>
    </row>
    <row r="790" customFormat="false" ht="135.8" hidden="false" customHeight="false" outlineLevel="0" collapsed="false">
      <c r="A790" s="5" t="s">
        <v>9043</v>
      </c>
      <c r="B790" s="5" t="s">
        <v>9044</v>
      </c>
      <c r="C790" s="5" t="s">
        <v>8993</v>
      </c>
      <c r="D790" s="5" t="s">
        <v>8994</v>
      </c>
      <c r="E790" s="5" t="s">
        <v>514</v>
      </c>
      <c r="F790" s="5" t="s">
        <v>9045</v>
      </c>
      <c r="G790" s="5" t="s">
        <v>9046</v>
      </c>
      <c r="H790" s="5" t="n">
        <v>8</v>
      </c>
      <c r="I790" s="5" t="s">
        <v>152</v>
      </c>
      <c r="J790" s="5" t="s">
        <v>153</v>
      </c>
      <c r="K790" s="5" t="s">
        <v>9047</v>
      </c>
      <c r="L790" s="5" t="s">
        <v>55</v>
      </c>
      <c r="M790" s="5" t="s">
        <v>185</v>
      </c>
      <c r="N790" s="5" t="s">
        <v>7295</v>
      </c>
      <c r="O790" s="5" t="s">
        <v>187</v>
      </c>
      <c r="P790" s="5" t="s">
        <v>158</v>
      </c>
      <c r="Q790" s="5" t="s">
        <v>335</v>
      </c>
      <c r="R790" s="5" t="s">
        <v>8998</v>
      </c>
      <c r="S790" s="5" t="s">
        <v>8999</v>
      </c>
      <c r="T790" s="5" t="s">
        <v>162</v>
      </c>
      <c r="U790" s="5" t="n">
        <v>365</v>
      </c>
      <c r="V790" s="5" t="s">
        <v>9000</v>
      </c>
      <c r="W790" s="5" t="s">
        <v>9001</v>
      </c>
      <c r="X790" s="5" t="s">
        <v>9048</v>
      </c>
      <c r="Y790" s="5" t="s">
        <v>9049</v>
      </c>
      <c r="Z790" s="5" t="s">
        <v>9050</v>
      </c>
      <c r="AA790" s="5"/>
      <c r="AB790" s="5"/>
      <c r="AC790" s="5"/>
      <c r="AD790" s="5"/>
      <c r="AE790" s="5"/>
      <c r="AF790" s="5"/>
      <c r="AG790" s="5"/>
      <c r="AH790" s="5"/>
      <c r="AI790" s="5"/>
      <c r="AJ790" s="5" t="s">
        <v>9051</v>
      </c>
      <c r="AK790" s="5" t="s">
        <v>9052</v>
      </c>
      <c r="AL790" s="5"/>
      <c r="AM790" s="5"/>
      <c r="AN790" s="5"/>
      <c r="AO790" s="5" t="s">
        <v>9053</v>
      </c>
      <c r="AP790" s="5"/>
      <c r="AQ790" s="5"/>
      <c r="AR790" s="5"/>
      <c r="AS790" s="5"/>
      <c r="AT790" s="5" t="s">
        <v>5154</v>
      </c>
      <c r="AU790" s="5"/>
      <c r="AV790" s="5" t="s">
        <v>178</v>
      </c>
      <c r="AW790" s="5" t="s">
        <v>9054</v>
      </c>
    </row>
    <row r="791" customFormat="false" ht="180.55" hidden="false" customHeight="false" outlineLevel="0" collapsed="false">
      <c r="A791" s="5" t="s">
        <v>9055</v>
      </c>
      <c r="B791" s="5" t="s">
        <v>9056</v>
      </c>
      <c r="C791" s="5" t="s">
        <v>8993</v>
      </c>
      <c r="D791" s="5" t="s">
        <v>8994</v>
      </c>
      <c r="E791" s="5" t="s">
        <v>626</v>
      </c>
      <c r="F791" s="5" t="s">
        <v>9057</v>
      </c>
      <c r="G791" s="5" t="s">
        <v>9058</v>
      </c>
      <c r="H791" s="5" t="n">
        <v>5</v>
      </c>
      <c r="I791" s="5" t="s">
        <v>152</v>
      </c>
      <c r="J791" s="5" t="s">
        <v>153</v>
      </c>
      <c r="K791" s="5"/>
      <c r="L791" s="5" t="s">
        <v>55</v>
      </c>
      <c r="M791" s="5" t="s">
        <v>185</v>
      </c>
      <c r="N791" s="5" t="s">
        <v>439</v>
      </c>
      <c r="O791" s="5" t="s">
        <v>187</v>
      </c>
      <c r="P791" s="5" t="s">
        <v>158</v>
      </c>
      <c r="Q791" s="5" t="s">
        <v>335</v>
      </c>
      <c r="R791" s="5" t="s">
        <v>8998</v>
      </c>
      <c r="S791" s="5" t="s">
        <v>8999</v>
      </c>
      <c r="T791" s="5" t="s">
        <v>162</v>
      </c>
      <c r="U791" s="5" t="n">
        <v>365</v>
      </c>
      <c r="V791" s="5" t="s">
        <v>9000</v>
      </c>
      <c r="W791" s="5" t="s">
        <v>9001</v>
      </c>
      <c r="X791" s="5" t="s">
        <v>9059</v>
      </c>
      <c r="Y791" s="5" t="s">
        <v>9060</v>
      </c>
      <c r="Z791" s="5" t="s">
        <v>9061</v>
      </c>
      <c r="AA791" s="5"/>
      <c r="AB791" s="5"/>
      <c r="AC791" s="5"/>
      <c r="AD791" s="5"/>
      <c r="AE791" s="5"/>
      <c r="AF791" s="5"/>
      <c r="AG791" s="5"/>
      <c r="AH791" s="5"/>
      <c r="AI791" s="5"/>
      <c r="AJ791" s="5" t="s">
        <v>9062</v>
      </c>
      <c r="AK791" s="5"/>
      <c r="AL791" s="5"/>
      <c r="AM791" s="5"/>
      <c r="AN791" s="5"/>
      <c r="AO791" s="5"/>
      <c r="AP791" s="5"/>
      <c r="AQ791" s="5"/>
      <c r="AR791" s="5"/>
      <c r="AS791" s="5"/>
      <c r="AT791" s="5"/>
      <c r="AU791" s="5"/>
      <c r="AV791" s="5"/>
      <c r="AW791" s="5" t="s">
        <v>9063</v>
      </c>
    </row>
    <row r="792" customFormat="false" ht="135.8" hidden="false" customHeight="false" outlineLevel="0" collapsed="false">
      <c r="A792" s="5" t="s">
        <v>9064</v>
      </c>
      <c r="B792" s="5" t="s">
        <v>9065</v>
      </c>
      <c r="C792" s="5" t="s">
        <v>8993</v>
      </c>
      <c r="D792" s="5" t="s">
        <v>8994</v>
      </c>
      <c r="E792" s="5" t="s">
        <v>626</v>
      </c>
      <c r="F792" s="5" t="s">
        <v>9066</v>
      </c>
      <c r="G792" s="5" t="s">
        <v>9067</v>
      </c>
      <c r="H792" s="5" t="n">
        <v>8</v>
      </c>
      <c r="I792" s="5" t="s">
        <v>152</v>
      </c>
      <c r="J792" s="5" t="s">
        <v>153</v>
      </c>
      <c r="K792" s="5" t="s">
        <v>9068</v>
      </c>
      <c r="L792" s="5" t="s">
        <v>30</v>
      </c>
      <c r="M792" s="5" t="s">
        <v>155</v>
      </c>
      <c r="N792" s="5" t="s">
        <v>9069</v>
      </c>
      <c r="O792" s="5" t="s">
        <v>157</v>
      </c>
      <c r="P792" s="5" t="s">
        <v>158</v>
      </c>
      <c r="Q792" s="5" t="s">
        <v>605</v>
      </c>
      <c r="R792" s="5" t="s">
        <v>8998</v>
      </c>
      <c r="S792" s="5" t="s">
        <v>8999</v>
      </c>
      <c r="T792" s="5" t="s">
        <v>162</v>
      </c>
      <c r="U792" s="5" t="n">
        <v>365</v>
      </c>
      <c r="V792" s="5" t="s">
        <v>9000</v>
      </c>
      <c r="W792" s="5" t="s">
        <v>9001</v>
      </c>
      <c r="X792" s="5" t="s">
        <v>9070</v>
      </c>
      <c r="Y792" s="5" t="s">
        <v>9071</v>
      </c>
      <c r="Z792" s="5" t="s">
        <v>9072</v>
      </c>
      <c r="AA792" s="5"/>
      <c r="AB792" s="5"/>
      <c r="AC792" s="5"/>
      <c r="AD792" s="5"/>
      <c r="AE792" s="5"/>
      <c r="AF792" s="5" t="s">
        <v>9073</v>
      </c>
      <c r="AG792" s="5"/>
      <c r="AH792" s="5"/>
      <c r="AI792" s="5" t="s">
        <v>7414</v>
      </c>
      <c r="AJ792" s="5" t="s">
        <v>9074</v>
      </c>
      <c r="AK792" s="5"/>
      <c r="AL792" s="5" t="s">
        <v>9073</v>
      </c>
      <c r="AM792" s="5"/>
      <c r="AN792" s="5"/>
      <c r="AO792" s="5" t="s">
        <v>9075</v>
      </c>
      <c r="AP792" s="5"/>
      <c r="AQ792" s="5" t="s">
        <v>9073</v>
      </c>
      <c r="AR792" s="5" t="s">
        <v>646</v>
      </c>
      <c r="AS792" s="5"/>
      <c r="AT792" s="5"/>
      <c r="AU792" s="5"/>
      <c r="AV792" s="5" t="s">
        <v>178</v>
      </c>
      <c r="AW792" s="5" t="s">
        <v>9076</v>
      </c>
    </row>
    <row r="793" customFormat="false" ht="113.4" hidden="false" customHeight="false" outlineLevel="0" collapsed="false">
      <c r="A793" s="5" t="s">
        <v>9077</v>
      </c>
      <c r="B793" s="5" t="s">
        <v>9078</v>
      </c>
      <c r="C793" s="5" t="s">
        <v>8993</v>
      </c>
      <c r="D793" s="5" t="s">
        <v>8994</v>
      </c>
      <c r="E793" s="5" t="s">
        <v>514</v>
      </c>
      <c r="F793" s="5" t="s">
        <v>9079</v>
      </c>
      <c r="G793" s="5" t="s">
        <v>9080</v>
      </c>
      <c r="H793" s="5" t="n">
        <v>8</v>
      </c>
      <c r="I793" s="5" t="s">
        <v>152</v>
      </c>
      <c r="J793" s="5" t="s">
        <v>153</v>
      </c>
      <c r="K793" s="5"/>
      <c r="L793" s="5" t="s">
        <v>68</v>
      </c>
      <c r="M793" s="5" t="s">
        <v>185</v>
      </c>
      <c r="N793" s="5" t="s">
        <v>72</v>
      </c>
      <c r="O793" s="5" t="s">
        <v>187</v>
      </c>
      <c r="P793" s="5" t="s">
        <v>215</v>
      </c>
      <c r="Q793" s="5" t="s">
        <v>440</v>
      </c>
      <c r="R793" s="5" t="s">
        <v>8998</v>
      </c>
      <c r="S793" s="5" t="s">
        <v>8999</v>
      </c>
      <c r="T793" s="5" t="s">
        <v>162</v>
      </c>
      <c r="U793" s="5" t="n">
        <v>365</v>
      </c>
      <c r="V793" s="5" t="s">
        <v>9000</v>
      </c>
      <c r="W793" s="5" t="s">
        <v>9001</v>
      </c>
      <c r="X793" s="5" t="s">
        <v>9081</v>
      </c>
      <c r="Y793" s="5" t="s">
        <v>9082</v>
      </c>
      <c r="Z793" s="5" t="s">
        <v>9083</v>
      </c>
      <c r="AA793" s="5"/>
      <c r="AB793" s="5"/>
      <c r="AC793" s="5"/>
      <c r="AD793" s="5"/>
      <c r="AE793" s="5"/>
      <c r="AF793" s="5"/>
      <c r="AG793" s="5"/>
      <c r="AH793" s="5"/>
      <c r="AI793" s="5"/>
      <c r="AJ793" s="5"/>
      <c r="AK793" s="5"/>
      <c r="AL793" s="5"/>
      <c r="AM793" s="5"/>
      <c r="AN793" s="5"/>
      <c r="AO793" s="5" t="s">
        <v>9084</v>
      </c>
      <c r="AP793" s="5"/>
      <c r="AQ793" s="5"/>
      <c r="AR793" s="5"/>
      <c r="AS793" s="5"/>
      <c r="AT793" s="5"/>
      <c r="AU793" s="5"/>
      <c r="AV793" s="5"/>
      <c r="AW793" s="5" t="s">
        <v>9085</v>
      </c>
    </row>
    <row r="794" customFormat="false" ht="124.6" hidden="false" customHeight="false" outlineLevel="0" collapsed="false">
      <c r="A794" s="5" t="s">
        <v>9086</v>
      </c>
      <c r="B794" s="5" t="s">
        <v>9087</v>
      </c>
      <c r="C794" s="5" t="s">
        <v>8993</v>
      </c>
      <c r="D794" s="5" t="s">
        <v>8994</v>
      </c>
      <c r="E794" s="5" t="s">
        <v>626</v>
      </c>
      <c r="F794" s="5" t="s">
        <v>9088</v>
      </c>
      <c r="G794" s="5" t="s">
        <v>9089</v>
      </c>
      <c r="H794" s="5" t="n">
        <v>2</v>
      </c>
      <c r="I794" s="5" t="s">
        <v>152</v>
      </c>
      <c r="J794" s="5" t="s">
        <v>153</v>
      </c>
      <c r="K794" s="5"/>
      <c r="L794" s="5" t="s">
        <v>30</v>
      </c>
      <c r="M794" s="5" t="s">
        <v>155</v>
      </c>
      <c r="N794" s="5" t="s">
        <v>124</v>
      </c>
      <c r="O794" s="5" t="s">
        <v>157</v>
      </c>
      <c r="P794" s="5" t="s">
        <v>215</v>
      </c>
      <c r="Q794" s="5" t="s">
        <v>440</v>
      </c>
      <c r="R794" s="5" t="s">
        <v>8998</v>
      </c>
      <c r="S794" s="5" t="s">
        <v>8999</v>
      </c>
      <c r="T794" s="5" t="s">
        <v>162</v>
      </c>
      <c r="U794" s="5" t="n">
        <v>365</v>
      </c>
      <c r="V794" s="5" t="s">
        <v>9000</v>
      </c>
      <c r="W794" s="5" t="s">
        <v>9001</v>
      </c>
      <c r="X794" s="5" t="s">
        <v>9090</v>
      </c>
      <c r="Y794" s="5" t="s">
        <v>9091</v>
      </c>
      <c r="Z794" s="5" t="s">
        <v>9092</v>
      </c>
      <c r="AA794" s="5" t="s">
        <v>7412</v>
      </c>
      <c r="AB794" s="5"/>
      <c r="AC794" s="5"/>
      <c r="AD794" s="5"/>
      <c r="AE794" s="5"/>
      <c r="AF794" s="5"/>
      <c r="AG794" s="5"/>
      <c r="AH794" s="5"/>
      <c r="AI794" s="5"/>
      <c r="AJ794" s="5"/>
      <c r="AK794" s="5"/>
      <c r="AL794" s="5"/>
      <c r="AM794" s="5"/>
      <c r="AN794" s="5"/>
      <c r="AO794" s="5"/>
      <c r="AP794" s="5"/>
      <c r="AQ794" s="5"/>
      <c r="AR794" s="5"/>
      <c r="AS794" s="5"/>
      <c r="AT794" s="5"/>
      <c r="AU794" s="5"/>
      <c r="AV794" s="5"/>
      <c r="AW794" s="5" t="s">
        <v>9093</v>
      </c>
    </row>
    <row r="795" customFormat="false" ht="214.15" hidden="false" customHeight="false" outlineLevel="0" collapsed="false">
      <c r="A795" s="5" t="s">
        <v>9094</v>
      </c>
      <c r="B795" s="5" t="s">
        <v>9095</v>
      </c>
      <c r="C795" s="5" t="s">
        <v>8993</v>
      </c>
      <c r="D795" s="5" t="s">
        <v>8994</v>
      </c>
      <c r="E795" s="5" t="s">
        <v>626</v>
      </c>
      <c r="F795" s="5" t="s">
        <v>9096</v>
      </c>
      <c r="G795" s="5" t="s">
        <v>9097</v>
      </c>
      <c r="H795" s="5" t="n">
        <v>10</v>
      </c>
      <c r="I795" s="5" t="s">
        <v>603</v>
      </c>
      <c r="J795" s="5" t="s">
        <v>557</v>
      </c>
      <c r="K795" s="5" t="s">
        <v>9098</v>
      </c>
      <c r="L795" s="5" t="s">
        <v>30</v>
      </c>
      <c r="M795" s="5" t="s">
        <v>155</v>
      </c>
      <c r="N795" s="5" t="s">
        <v>9099</v>
      </c>
      <c r="O795" s="5" t="s">
        <v>570</v>
      </c>
      <c r="P795" s="5" t="s">
        <v>158</v>
      </c>
      <c r="Q795" s="5" t="s">
        <v>440</v>
      </c>
      <c r="R795" s="5" t="s">
        <v>8998</v>
      </c>
      <c r="S795" s="5" t="s">
        <v>8999</v>
      </c>
      <c r="T795" s="5" t="s">
        <v>606</v>
      </c>
      <c r="U795" s="5" t="n">
        <v>90</v>
      </c>
      <c r="V795" s="5" t="s">
        <v>9000</v>
      </c>
      <c r="W795" s="5" t="s">
        <v>9100</v>
      </c>
      <c r="X795" s="5" t="s">
        <v>9101</v>
      </c>
      <c r="Y795" s="5" t="s">
        <v>9102</v>
      </c>
      <c r="Z795" s="5" t="s">
        <v>9103</v>
      </c>
      <c r="AA795" s="5"/>
      <c r="AB795" s="5"/>
      <c r="AC795" s="5"/>
      <c r="AD795" s="5"/>
      <c r="AE795" s="5"/>
      <c r="AF795" s="5" t="s">
        <v>9104</v>
      </c>
      <c r="AG795" s="5" t="s">
        <v>3521</v>
      </c>
      <c r="AH795" s="5" t="s">
        <v>9105</v>
      </c>
      <c r="AI795" s="5"/>
      <c r="AJ795" s="5"/>
      <c r="AK795" s="5" t="s">
        <v>9023</v>
      </c>
      <c r="AL795" s="5" t="s">
        <v>9104</v>
      </c>
      <c r="AM795" s="5"/>
      <c r="AN795" s="5" t="s">
        <v>3522</v>
      </c>
      <c r="AO795" s="5" t="s">
        <v>9106</v>
      </c>
      <c r="AP795" s="5"/>
      <c r="AQ795" s="5" t="s">
        <v>9104</v>
      </c>
      <c r="AR795" s="5" t="s">
        <v>1294</v>
      </c>
      <c r="AS795" s="5"/>
      <c r="AT795" s="5" t="s">
        <v>5154</v>
      </c>
      <c r="AU795" s="5"/>
      <c r="AV795" s="5" t="s">
        <v>178</v>
      </c>
      <c r="AW795" s="5" t="s">
        <v>9107</v>
      </c>
    </row>
    <row r="796" customFormat="false" ht="135.8" hidden="false" customHeight="false" outlineLevel="0" collapsed="false">
      <c r="A796" s="5" t="s">
        <v>9108</v>
      </c>
      <c r="B796" s="5" t="s">
        <v>9109</v>
      </c>
      <c r="C796" s="5" t="s">
        <v>8993</v>
      </c>
      <c r="D796" s="5" t="s">
        <v>8994</v>
      </c>
      <c r="E796" s="5" t="s">
        <v>626</v>
      </c>
      <c r="F796" s="5" t="s">
        <v>9110</v>
      </c>
      <c r="G796" s="5" t="s">
        <v>9111</v>
      </c>
      <c r="H796" s="5" t="n">
        <v>9</v>
      </c>
      <c r="I796" s="5" t="s">
        <v>152</v>
      </c>
      <c r="J796" s="5" t="s">
        <v>153</v>
      </c>
      <c r="K796" s="5"/>
      <c r="L796" s="5" t="s">
        <v>55</v>
      </c>
      <c r="M796" s="5" t="s">
        <v>185</v>
      </c>
      <c r="N796" s="5" t="s">
        <v>6226</v>
      </c>
      <c r="O796" s="5" t="s">
        <v>187</v>
      </c>
      <c r="P796" s="5" t="s">
        <v>158</v>
      </c>
      <c r="Q796" s="5" t="s">
        <v>451</v>
      </c>
      <c r="R796" s="5" t="s">
        <v>8998</v>
      </c>
      <c r="S796" s="5" t="s">
        <v>8999</v>
      </c>
      <c r="T796" s="5" t="s">
        <v>162</v>
      </c>
      <c r="U796" s="5" t="n">
        <v>365</v>
      </c>
      <c r="V796" s="5" t="s">
        <v>9000</v>
      </c>
      <c r="W796" s="5" t="s">
        <v>9100</v>
      </c>
      <c r="X796" s="5" t="s">
        <v>9112</v>
      </c>
      <c r="Y796" s="5" t="s">
        <v>9113</v>
      </c>
      <c r="Z796" s="5" t="s">
        <v>9114</v>
      </c>
      <c r="AA796" s="5"/>
      <c r="AB796" s="5"/>
      <c r="AC796" s="5"/>
      <c r="AD796" s="5"/>
      <c r="AE796" s="5"/>
      <c r="AF796" s="5" t="s">
        <v>9115</v>
      </c>
      <c r="AG796" s="5"/>
      <c r="AH796" s="5"/>
      <c r="AI796" s="5"/>
      <c r="AJ796" s="5" t="s">
        <v>9116</v>
      </c>
      <c r="AK796" s="5"/>
      <c r="AL796" s="5" t="s">
        <v>9115</v>
      </c>
      <c r="AM796" s="5"/>
      <c r="AN796" s="5"/>
      <c r="AO796" s="5" t="s">
        <v>9117</v>
      </c>
      <c r="AP796" s="5"/>
      <c r="AQ796" s="5" t="s">
        <v>9115</v>
      </c>
      <c r="AR796" s="5" t="s">
        <v>9118</v>
      </c>
      <c r="AS796" s="5"/>
      <c r="AT796" s="5"/>
      <c r="AU796" s="5"/>
      <c r="AV796" s="5"/>
      <c r="AW796" s="5" t="s">
        <v>9119</v>
      </c>
    </row>
    <row r="797" customFormat="false" ht="169.4" hidden="false" customHeight="false" outlineLevel="0" collapsed="false">
      <c r="A797" s="5" t="s">
        <v>9120</v>
      </c>
      <c r="B797" s="5" t="s">
        <v>9121</v>
      </c>
      <c r="C797" s="5" t="s">
        <v>8993</v>
      </c>
      <c r="D797" s="5" t="s">
        <v>8994</v>
      </c>
      <c r="E797" s="5" t="s">
        <v>626</v>
      </c>
      <c r="F797" s="5" t="s">
        <v>9122</v>
      </c>
      <c r="G797" s="5" t="s">
        <v>9123</v>
      </c>
      <c r="H797" s="5" t="n">
        <v>9</v>
      </c>
      <c r="I797" s="5" t="s">
        <v>603</v>
      </c>
      <c r="J797" s="5" t="s">
        <v>557</v>
      </c>
      <c r="K797" s="5"/>
      <c r="L797" s="5" t="s">
        <v>30</v>
      </c>
      <c r="M797" s="5" t="s">
        <v>155</v>
      </c>
      <c r="N797" s="5" t="s">
        <v>1534</v>
      </c>
      <c r="O797" s="5" t="s">
        <v>157</v>
      </c>
      <c r="P797" s="5" t="s">
        <v>215</v>
      </c>
      <c r="Q797" s="5" t="s">
        <v>440</v>
      </c>
      <c r="R797" s="5" t="s">
        <v>8998</v>
      </c>
      <c r="S797" s="5" t="s">
        <v>8999</v>
      </c>
      <c r="T797" s="5" t="s">
        <v>606</v>
      </c>
      <c r="U797" s="5" t="n">
        <v>90</v>
      </c>
      <c r="V797" s="5" t="s">
        <v>9000</v>
      </c>
      <c r="W797" s="5" t="s">
        <v>9100</v>
      </c>
      <c r="X797" s="5" t="s">
        <v>9124</v>
      </c>
      <c r="Y797" s="5" t="s">
        <v>9125</v>
      </c>
      <c r="Z797" s="5" t="s">
        <v>9126</v>
      </c>
      <c r="AA797" s="5" t="s">
        <v>9127</v>
      </c>
      <c r="AB797" s="5"/>
      <c r="AC797" s="5"/>
      <c r="AD797" s="5"/>
      <c r="AE797" s="5"/>
      <c r="AF797" s="5" t="s">
        <v>9128</v>
      </c>
      <c r="AG797" s="5" t="s">
        <v>9129</v>
      </c>
      <c r="AH797" s="5"/>
      <c r="AI797" s="5"/>
      <c r="AJ797" s="5"/>
      <c r="AK797" s="5"/>
      <c r="AL797" s="5" t="s">
        <v>9128</v>
      </c>
      <c r="AM797" s="5" t="s">
        <v>9129</v>
      </c>
      <c r="AN797" s="5"/>
      <c r="AO797" s="5"/>
      <c r="AP797" s="5"/>
      <c r="AQ797" s="5" t="s">
        <v>9130</v>
      </c>
      <c r="AR797" s="5" t="s">
        <v>1294</v>
      </c>
      <c r="AS797" s="5"/>
      <c r="AT797" s="5"/>
      <c r="AU797" s="5"/>
      <c r="AV797" s="5"/>
      <c r="AW797" s="5" t="s">
        <v>9131</v>
      </c>
    </row>
    <row r="798" customFormat="false" ht="113.4" hidden="false" customHeight="false" outlineLevel="0" collapsed="false">
      <c r="A798" s="5" t="s">
        <v>9132</v>
      </c>
      <c r="B798" s="5" t="s">
        <v>9133</v>
      </c>
      <c r="C798" s="5" t="s">
        <v>8993</v>
      </c>
      <c r="D798" s="5" t="s">
        <v>8994</v>
      </c>
      <c r="E798" s="5" t="s">
        <v>626</v>
      </c>
      <c r="F798" s="5" t="s">
        <v>9134</v>
      </c>
      <c r="G798" s="5" t="s">
        <v>9135</v>
      </c>
      <c r="H798" s="5" t="n">
        <v>6</v>
      </c>
      <c r="I798" s="5" t="s">
        <v>152</v>
      </c>
      <c r="J798" s="5" t="s">
        <v>652</v>
      </c>
      <c r="K798" s="5"/>
      <c r="L798" s="5" t="s">
        <v>55</v>
      </c>
      <c r="M798" s="5" t="s">
        <v>185</v>
      </c>
      <c r="N798" s="5" t="s">
        <v>439</v>
      </c>
      <c r="O798" s="5" t="s">
        <v>187</v>
      </c>
      <c r="P798" s="5" t="s">
        <v>215</v>
      </c>
      <c r="Q798" s="5" t="s">
        <v>440</v>
      </c>
      <c r="R798" s="5" t="s">
        <v>8998</v>
      </c>
      <c r="S798" s="5" t="s">
        <v>8999</v>
      </c>
      <c r="T798" s="5" t="s">
        <v>162</v>
      </c>
      <c r="U798" s="5" t="n">
        <v>180</v>
      </c>
      <c r="V798" s="5" t="s">
        <v>9000</v>
      </c>
      <c r="W798" s="5" t="s">
        <v>9100</v>
      </c>
      <c r="X798" s="5" t="s">
        <v>9136</v>
      </c>
      <c r="Y798" s="5" t="s">
        <v>9137</v>
      </c>
      <c r="Z798" s="5" t="s">
        <v>9138</v>
      </c>
      <c r="AA798" s="5"/>
      <c r="AB798" s="5"/>
      <c r="AC798" s="5"/>
      <c r="AD798" s="5"/>
      <c r="AE798" s="5"/>
      <c r="AF798" s="5" t="s">
        <v>9139</v>
      </c>
      <c r="AG798" s="5"/>
      <c r="AH798" s="5"/>
      <c r="AI798" s="5"/>
      <c r="AJ798" s="5" t="s">
        <v>9140</v>
      </c>
      <c r="AK798" s="5"/>
      <c r="AL798" s="5" t="s">
        <v>9139</v>
      </c>
      <c r="AM798" s="5"/>
      <c r="AN798" s="5"/>
      <c r="AO798" s="5"/>
      <c r="AP798" s="5"/>
      <c r="AQ798" s="5"/>
      <c r="AR798" s="5" t="s">
        <v>1294</v>
      </c>
      <c r="AS798" s="5"/>
      <c r="AT798" s="5"/>
      <c r="AU798" s="5"/>
      <c r="AV798" s="5"/>
      <c r="AW798" s="5" t="s">
        <v>9141</v>
      </c>
    </row>
    <row r="799" customFormat="false" ht="169.4" hidden="false" customHeight="false" outlineLevel="0" collapsed="false">
      <c r="A799" s="5" t="s">
        <v>9142</v>
      </c>
      <c r="B799" s="5" t="s">
        <v>9143</v>
      </c>
      <c r="C799" s="5" t="s">
        <v>8993</v>
      </c>
      <c r="D799" s="5" t="s">
        <v>8994</v>
      </c>
      <c r="E799" s="5" t="s">
        <v>626</v>
      </c>
      <c r="F799" s="5" t="s">
        <v>9144</v>
      </c>
      <c r="G799" s="5" t="s">
        <v>9145</v>
      </c>
      <c r="H799" s="5" t="n">
        <v>5</v>
      </c>
      <c r="I799" s="5" t="s">
        <v>603</v>
      </c>
      <c r="J799" s="5" t="s">
        <v>557</v>
      </c>
      <c r="K799" s="5"/>
      <c r="L799" s="5" t="s">
        <v>68</v>
      </c>
      <c r="M799" s="5" t="s">
        <v>185</v>
      </c>
      <c r="N799" s="5" t="s">
        <v>2038</v>
      </c>
      <c r="O799" s="5" t="s">
        <v>666</v>
      </c>
      <c r="P799" s="5" t="s">
        <v>215</v>
      </c>
      <c r="Q799" s="5" t="s">
        <v>440</v>
      </c>
      <c r="R799" s="5" t="s">
        <v>8998</v>
      </c>
      <c r="S799" s="5" t="s">
        <v>8999</v>
      </c>
      <c r="T799" s="5" t="s">
        <v>606</v>
      </c>
      <c r="U799" s="5" t="n">
        <v>90</v>
      </c>
      <c r="V799" s="5" t="s">
        <v>9000</v>
      </c>
      <c r="W799" s="5" t="s">
        <v>9100</v>
      </c>
      <c r="X799" s="5" t="s">
        <v>9146</v>
      </c>
      <c r="Y799" s="5" t="s">
        <v>9147</v>
      </c>
      <c r="Z799" s="5" t="s">
        <v>9148</v>
      </c>
      <c r="AA799" s="5"/>
      <c r="AB799" s="5"/>
      <c r="AC799" s="5"/>
      <c r="AD799" s="5"/>
      <c r="AE799" s="5"/>
      <c r="AF799" s="5" t="s">
        <v>9149</v>
      </c>
      <c r="AG799" s="5"/>
      <c r="AH799" s="5"/>
      <c r="AI799" s="5"/>
      <c r="AJ799" s="5"/>
      <c r="AK799" s="5"/>
      <c r="AL799" s="5" t="s">
        <v>9149</v>
      </c>
      <c r="AM799" s="5"/>
      <c r="AN799" s="5"/>
      <c r="AO799" s="5" t="s">
        <v>9150</v>
      </c>
      <c r="AP799" s="5"/>
      <c r="AQ799" s="5" t="s">
        <v>9130</v>
      </c>
      <c r="AR799" s="5" t="s">
        <v>1294</v>
      </c>
      <c r="AS799" s="5"/>
      <c r="AT799" s="5"/>
      <c r="AU799" s="5"/>
      <c r="AV799" s="5"/>
      <c r="AW799" s="5" t="s">
        <v>9151</v>
      </c>
    </row>
    <row r="800" customFormat="false" ht="113.4" hidden="false" customHeight="false" outlineLevel="0" collapsed="false">
      <c r="A800" s="5" t="s">
        <v>9152</v>
      </c>
      <c r="B800" s="5" t="s">
        <v>9153</v>
      </c>
      <c r="C800" s="5" t="s">
        <v>8993</v>
      </c>
      <c r="D800" s="5" t="s">
        <v>8994</v>
      </c>
      <c r="E800" s="5" t="s">
        <v>626</v>
      </c>
      <c r="F800" s="5" t="s">
        <v>9154</v>
      </c>
      <c r="G800" s="5" t="s">
        <v>9155</v>
      </c>
      <c r="H800" s="5" t="n">
        <v>7</v>
      </c>
      <c r="I800" s="5" t="s">
        <v>152</v>
      </c>
      <c r="J800" s="5" t="s">
        <v>153</v>
      </c>
      <c r="K800" s="5"/>
      <c r="L800" s="5" t="s">
        <v>30</v>
      </c>
      <c r="M800" s="5" t="s">
        <v>155</v>
      </c>
      <c r="N800" s="5" t="s">
        <v>124</v>
      </c>
      <c r="O800" s="5" t="s">
        <v>157</v>
      </c>
      <c r="P800" s="5" t="s">
        <v>215</v>
      </c>
      <c r="Q800" s="5" t="s">
        <v>440</v>
      </c>
      <c r="R800" s="5" t="s">
        <v>8998</v>
      </c>
      <c r="S800" s="5" t="s">
        <v>8999</v>
      </c>
      <c r="T800" s="5" t="s">
        <v>162</v>
      </c>
      <c r="U800" s="5" t="n">
        <v>365</v>
      </c>
      <c r="V800" s="5" t="s">
        <v>9000</v>
      </c>
      <c r="W800" s="5" t="s">
        <v>9100</v>
      </c>
      <c r="X800" s="5" t="s">
        <v>9156</v>
      </c>
      <c r="Y800" s="5" t="s">
        <v>9157</v>
      </c>
      <c r="Z800" s="5" t="s">
        <v>9158</v>
      </c>
      <c r="AA800" s="5" t="s">
        <v>9159</v>
      </c>
      <c r="AB800" s="5"/>
      <c r="AC800" s="5"/>
      <c r="AD800" s="5"/>
      <c r="AE800" s="5"/>
      <c r="AF800" s="5"/>
      <c r="AG800" s="5"/>
      <c r="AH800" s="5"/>
      <c r="AI800" s="5"/>
      <c r="AJ800" s="5"/>
      <c r="AK800" s="5"/>
      <c r="AL800" s="5"/>
      <c r="AM800" s="5"/>
      <c r="AN800" s="5"/>
      <c r="AO800" s="5"/>
      <c r="AP800" s="5"/>
      <c r="AQ800" s="5"/>
      <c r="AR800" s="5"/>
      <c r="AS800" s="5"/>
      <c r="AT800" s="5"/>
      <c r="AU800" s="5"/>
      <c r="AV800" s="5"/>
      <c r="AW800" s="5" t="s">
        <v>9160</v>
      </c>
    </row>
    <row r="801" customFormat="false" ht="113.4" hidden="false" customHeight="false" outlineLevel="0" collapsed="false">
      <c r="A801" s="5" t="s">
        <v>9161</v>
      </c>
      <c r="B801" s="5" t="s">
        <v>9162</v>
      </c>
      <c r="C801" s="5" t="s">
        <v>8993</v>
      </c>
      <c r="D801" s="5" t="s">
        <v>8994</v>
      </c>
      <c r="E801" s="5" t="s">
        <v>626</v>
      </c>
      <c r="F801" s="5" t="s">
        <v>9163</v>
      </c>
      <c r="G801" s="5" t="s">
        <v>9164</v>
      </c>
      <c r="H801" s="5" t="n">
        <v>9</v>
      </c>
      <c r="I801" s="5" t="s">
        <v>603</v>
      </c>
      <c r="J801" s="5" t="s">
        <v>153</v>
      </c>
      <c r="K801" s="5"/>
      <c r="L801" s="5" t="s">
        <v>30</v>
      </c>
      <c r="M801" s="5" t="s">
        <v>155</v>
      </c>
      <c r="N801" s="5" t="s">
        <v>124</v>
      </c>
      <c r="O801" s="5" t="s">
        <v>157</v>
      </c>
      <c r="P801" s="5" t="s">
        <v>215</v>
      </c>
      <c r="Q801" s="5" t="s">
        <v>440</v>
      </c>
      <c r="R801" s="5" t="s">
        <v>8998</v>
      </c>
      <c r="S801" s="5" t="s">
        <v>8999</v>
      </c>
      <c r="T801" s="5" t="s">
        <v>606</v>
      </c>
      <c r="U801" s="5" t="n">
        <v>365</v>
      </c>
      <c r="V801" s="5" t="s">
        <v>9000</v>
      </c>
      <c r="W801" s="5" t="s">
        <v>9100</v>
      </c>
      <c r="X801" s="5" t="s">
        <v>9165</v>
      </c>
      <c r="Y801" s="5" t="s">
        <v>9166</v>
      </c>
      <c r="Z801" s="5" t="s">
        <v>9167</v>
      </c>
      <c r="AA801" s="5" t="s">
        <v>9168</v>
      </c>
      <c r="AB801" s="5"/>
      <c r="AC801" s="5"/>
      <c r="AD801" s="5"/>
      <c r="AE801" s="5"/>
      <c r="AF801" s="5"/>
      <c r="AG801" s="5"/>
      <c r="AH801" s="5"/>
      <c r="AI801" s="5"/>
      <c r="AJ801" s="5"/>
      <c r="AK801" s="5"/>
      <c r="AL801" s="5"/>
      <c r="AM801" s="5"/>
      <c r="AN801" s="5"/>
      <c r="AO801" s="5"/>
      <c r="AP801" s="5"/>
      <c r="AQ801" s="5"/>
      <c r="AR801" s="5"/>
      <c r="AS801" s="5"/>
      <c r="AT801" s="5"/>
      <c r="AU801" s="5"/>
      <c r="AV801" s="5"/>
      <c r="AW801" s="5" t="s">
        <v>9169</v>
      </c>
    </row>
    <row r="802" customFormat="false" ht="247.75" hidden="false" customHeight="false" outlineLevel="0" collapsed="false">
      <c r="A802" s="5" t="s">
        <v>9170</v>
      </c>
      <c r="B802" s="5" t="s">
        <v>9171</v>
      </c>
      <c r="C802" s="5" t="s">
        <v>8993</v>
      </c>
      <c r="D802" s="5" t="s">
        <v>8994</v>
      </c>
      <c r="E802" s="5" t="s">
        <v>600</v>
      </c>
      <c r="F802" s="5" t="s">
        <v>9172</v>
      </c>
      <c r="G802" s="5" t="s">
        <v>9173</v>
      </c>
      <c r="H802" s="5" t="n">
        <v>9</v>
      </c>
      <c r="I802" s="5" t="s">
        <v>152</v>
      </c>
      <c r="J802" s="5" t="s">
        <v>652</v>
      </c>
      <c r="K802" s="5" t="s">
        <v>9174</v>
      </c>
      <c r="L802" s="5" t="s">
        <v>30</v>
      </c>
      <c r="M802" s="5" t="s">
        <v>155</v>
      </c>
      <c r="N802" s="5" t="s">
        <v>9175</v>
      </c>
      <c r="O802" s="5" t="s">
        <v>157</v>
      </c>
      <c r="P802" s="5" t="s">
        <v>158</v>
      </c>
      <c r="Q802" s="5" t="s">
        <v>605</v>
      </c>
      <c r="R802" s="5" t="s">
        <v>8998</v>
      </c>
      <c r="S802" s="5" t="s">
        <v>8999</v>
      </c>
      <c r="T802" s="5" t="s">
        <v>162</v>
      </c>
      <c r="U802" s="5" t="n">
        <v>180</v>
      </c>
      <c r="V802" s="5" t="s">
        <v>9000</v>
      </c>
      <c r="W802" s="5" t="s">
        <v>9001</v>
      </c>
      <c r="X802" s="5" t="s">
        <v>9176</v>
      </c>
      <c r="Y802" s="5" t="s">
        <v>9177</v>
      </c>
      <c r="Z802" s="5" t="s">
        <v>9178</v>
      </c>
      <c r="AA802" s="5" t="s">
        <v>9179</v>
      </c>
      <c r="AB802" s="5"/>
      <c r="AC802" s="5"/>
      <c r="AD802" s="5"/>
      <c r="AE802" s="5" t="s">
        <v>8885</v>
      </c>
      <c r="AF802" s="5" t="s">
        <v>9180</v>
      </c>
      <c r="AG802" s="5" t="s">
        <v>9180</v>
      </c>
      <c r="AH802" s="5" t="s">
        <v>9181</v>
      </c>
      <c r="AI802" s="5"/>
      <c r="AJ802" s="5" t="s">
        <v>9182</v>
      </c>
      <c r="AK802" s="5" t="s">
        <v>5270</v>
      </c>
      <c r="AL802" s="5" t="s">
        <v>9180</v>
      </c>
      <c r="AM802" s="5"/>
      <c r="AN802" s="5" t="s">
        <v>9183</v>
      </c>
      <c r="AO802" s="5" t="s">
        <v>9053</v>
      </c>
      <c r="AP802" s="5"/>
      <c r="AQ802" s="5" t="s">
        <v>9180</v>
      </c>
      <c r="AR802" s="5" t="s">
        <v>7151</v>
      </c>
      <c r="AS802" s="5"/>
      <c r="AT802" s="5" t="s">
        <v>5154</v>
      </c>
      <c r="AU802" s="5"/>
      <c r="AV802" s="5" t="s">
        <v>178</v>
      </c>
      <c r="AW802" s="5" t="s">
        <v>9184</v>
      </c>
    </row>
    <row r="803" customFormat="false" ht="124.6" hidden="false" customHeight="false" outlineLevel="0" collapsed="false">
      <c r="A803" s="5" t="s">
        <v>9185</v>
      </c>
      <c r="B803" s="5" t="s">
        <v>9186</v>
      </c>
      <c r="C803" s="5" t="s">
        <v>8993</v>
      </c>
      <c r="D803" s="5" t="s">
        <v>8994</v>
      </c>
      <c r="E803" s="5" t="s">
        <v>626</v>
      </c>
      <c r="F803" s="5" t="s">
        <v>9187</v>
      </c>
      <c r="G803" s="5" t="s">
        <v>9188</v>
      </c>
      <c r="H803" s="5" t="n">
        <v>8</v>
      </c>
      <c r="I803" s="5" t="s">
        <v>603</v>
      </c>
      <c r="J803" s="5" t="s">
        <v>153</v>
      </c>
      <c r="K803" s="5"/>
      <c r="L803" s="5" t="s">
        <v>30</v>
      </c>
      <c r="M803" s="5" t="s">
        <v>155</v>
      </c>
      <c r="N803" s="5" t="s">
        <v>3895</v>
      </c>
      <c r="O803" s="5" t="s">
        <v>157</v>
      </c>
      <c r="P803" s="5" t="s">
        <v>215</v>
      </c>
      <c r="Q803" s="5" t="s">
        <v>440</v>
      </c>
      <c r="R803" s="5" t="s">
        <v>8998</v>
      </c>
      <c r="S803" s="5" t="s">
        <v>8999</v>
      </c>
      <c r="T803" s="5" t="s">
        <v>606</v>
      </c>
      <c r="U803" s="5" t="n">
        <v>365</v>
      </c>
      <c r="V803" s="5" t="s">
        <v>9000</v>
      </c>
      <c r="W803" s="5" t="s">
        <v>9001</v>
      </c>
      <c r="X803" s="5" t="s">
        <v>9189</v>
      </c>
      <c r="Y803" s="5" t="s">
        <v>9190</v>
      </c>
      <c r="Z803" s="5" t="s">
        <v>9191</v>
      </c>
      <c r="AA803" s="5"/>
      <c r="AB803" s="5"/>
      <c r="AC803" s="5"/>
      <c r="AD803" s="5"/>
      <c r="AE803" s="5"/>
      <c r="AF803" s="5" t="s">
        <v>9192</v>
      </c>
      <c r="AG803" s="5" t="s">
        <v>9192</v>
      </c>
      <c r="AH803" s="5"/>
      <c r="AI803" s="5"/>
      <c r="AJ803" s="5" t="s">
        <v>9193</v>
      </c>
      <c r="AK803" s="5"/>
      <c r="AL803" s="5" t="s">
        <v>9192</v>
      </c>
      <c r="AM803" s="5"/>
      <c r="AN803" s="5" t="s">
        <v>9183</v>
      </c>
      <c r="AO803" s="5"/>
      <c r="AP803" s="5"/>
      <c r="AQ803" s="5" t="s">
        <v>9180</v>
      </c>
      <c r="AR803" s="5" t="s">
        <v>7151</v>
      </c>
      <c r="AS803" s="5"/>
      <c r="AT803" s="5"/>
      <c r="AU803" s="5"/>
      <c r="AV803" s="5" t="s">
        <v>178</v>
      </c>
      <c r="AW803" s="5" t="s">
        <v>9194</v>
      </c>
    </row>
    <row r="804" customFormat="false" ht="124.6" hidden="false" customHeight="false" outlineLevel="0" collapsed="false">
      <c r="A804" s="5" t="s">
        <v>9195</v>
      </c>
      <c r="B804" s="5" t="s">
        <v>9196</v>
      </c>
      <c r="C804" s="5" t="s">
        <v>8993</v>
      </c>
      <c r="D804" s="5" t="s">
        <v>8994</v>
      </c>
      <c r="E804" s="5" t="s">
        <v>626</v>
      </c>
      <c r="F804" s="5" t="s">
        <v>9197</v>
      </c>
      <c r="G804" s="5" t="s">
        <v>9198</v>
      </c>
      <c r="H804" s="5" t="n">
        <v>8</v>
      </c>
      <c r="I804" s="5" t="s">
        <v>152</v>
      </c>
      <c r="J804" s="5" t="s">
        <v>153</v>
      </c>
      <c r="K804" s="5"/>
      <c r="L804" s="5" t="s">
        <v>30</v>
      </c>
      <c r="M804" s="5" t="s">
        <v>155</v>
      </c>
      <c r="N804" s="5" t="s">
        <v>5907</v>
      </c>
      <c r="O804" s="5" t="s">
        <v>157</v>
      </c>
      <c r="P804" s="5" t="s">
        <v>158</v>
      </c>
      <c r="Q804" s="5" t="s">
        <v>335</v>
      </c>
      <c r="R804" s="5" t="s">
        <v>8998</v>
      </c>
      <c r="S804" s="5" t="s">
        <v>8999</v>
      </c>
      <c r="T804" s="5" t="s">
        <v>162</v>
      </c>
      <c r="U804" s="5" t="n">
        <v>365</v>
      </c>
      <c r="V804" s="5" t="s">
        <v>9000</v>
      </c>
      <c r="W804" s="5" t="s">
        <v>9001</v>
      </c>
      <c r="X804" s="5" t="s">
        <v>9199</v>
      </c>
      <c r="Y804" s="5" t="s">
        <v>9200</v>
      </c>
      <c r="Z804" s="5" t="s">
        <v>9201</v>
      </c>
      <c r="AA804" s="5"/>
      <c r="AB804" s="5"/>
      <c r="AC804" s="5"/>
      <c r="AD804" s="5"/>
      <c r="AE804" s="5" t="s">
        <v>8885</v>
      </c>
      <c r="AF804" s="5" t="s">
        <v>9202</v>
      </c>
      <c r="AG804" s="5"/>
      <c r="AH804" s="5"/>
      <c r="AI804" s="5"/>
      <c r="AJ804" s="5" t="s">
        <v>9022</v>
      </c>
      <c r="AK804" s="5"/>
      <c r="AL804" s="5" t="s">
        <v>9202</v>
      </c>
      <c r="AM804" s="5"/>
      <c r="AN804" s="5"/>
      <c r="AO804" s="5" t="s">
        <v>9053</v>
      </c>
      <c r="AP804" s="5"/>
      <c r="AQ804" s="5"/>
      <c r="AR804" s="5" t="s">
        <v>7151</v>
      </c>
      <c r="AS804" s="5"/>
      <c r="AT804" s="5"/>
      <c r="AU804" s="5"/>
      <c r="AV804" s="5"/>
      <c r="AW804" s="5" t="s">
        <v>9203</v>
      </c>
    </row>
    <row r="805" customFormat="false" ht="135.8" hidden="false" customHeight="false" outlineLevel="0" collapsed="false">
      <c r="A805" s="5" t="s">
        <v>9204</v>
      </c>
      <c r="B805" s="5" t="s">
        <v>9205</v>
      </c>
      <c r="C805" s="5" t="s">
        <v>8993</v>
      </c>
      <c r="D805" s="5" t="s">
        <v>8994</v>
      </c>
      <c r="E805" s="5" t="s">
        <v>626</v>
      </c>
      <c r="F805" s="5" t="s">
        <v>9206</v>
      </c>
      <c r="G805" s="5" t="s">
        <v>9207</v>
      </c>
      <c r="H805" s="5" t="n">
        <v>9</v>
      </c>
      <c r="I805" s="5" t="s">
        <v>603</v>
      </c>
      <c r="J805" s="5" t="s">
        <v>652</v>
      </c>
      <c r="K805" s="5"/>
      <c r="L805" s="5" t="s">
        <v>30</v>
      </c>
      <c r="M805" s="5" t="s">
        <v>155</v>
      </c>
      <c r="N805" s="5" t="s">
        <v>1030</v>
      </c>
      <c r="O805" s="5" t="s">
        <v>157</v>
      </c>
      <c r="P805" s="5" t="s">
        <v>641</v>
      </c>
      <c r="Q805" s="5" t="s">
        <v>519</v>
      </c>
      <c r="R805" s="5" t="s">
        <v>8998</v>
      </c>
      <c r="S805" s="5" t="s">
        <v>8999</v>
      </c>
      <c r="T805" s="5" t="s">
        <v>606</v>
      </c>
      <c r="U805" s="5" t="n">
        <v>180</v>
      </c>
      <c r="V805" s="5" t="s">
        <v>9000</v>
      </c>
      <c r="W805" s="5" t="s">
        <v>9001</v>
      </c>
      <c r="X805" s="5" t="s">
        <v>9208</v>
      </c>
      <c r="Y805" s="5" t="s">
        <v>9209</v>
      </c>
      <c r="Z805" s="5" t="s">
        <v>9210</v>
      </c>
      <c r="AA805" s="5"/>
      <c r="AB805" s="5"/>
      <c r="AC805" s="5"/>
      <c r="AD805" s="5"/>
      <c r="AE805" s="5"/>
      <c r="AF805" s="5" t="s">
        <v>9211</v>
      </c>
      <c r="AG805" s="5" t="s">
        <v>9211</v>
      </c>
      <c r="AH805" s="5"/>
      <c r="AI805" s="5"/>
      <c r="AJ805" s="5"/>
      <c r="AK805" s="5"/>
      <c r="AL805" s="5" t="s">
        <v>9211</v>
      </c>
      <c r="AM805" s="5" t="s">
        <v>9211</v>
      </c>
      <c r="AN805" s="5"/>
      <c r="AO805" s="5"/>
      <c r="AP805" s="5"/>
      <c r="AQ805" s="5"/>
      <c r="AR805" s="5" t="s">
        <v>7151</v>
      </c>
      <c r="AS805" s="5"/>
      <c r="AT805" s="5"/>
      <c r="AU805" s="5"/>
      <c r="AV805" s="5"/>
      <c r="AW805" s="5" t="s">
        <v>9212</v>
      </c>
    </row>
    <row r="806" customFormat="false" ht="124.6" hidden="false" customHeight="false" outlineLevel="0" collapsed="false">
      <c r="A806" s="5" t="s">
        <v>9213</v>
      </c>
      <c r="B806" s="5" t="s">
        <v>9214</v>
      </c>
      <c r="C806" s="5" t="s">
        <v>8993</v>
      </c>
      <c r="D806" s="5" t="s">
        <v>8994</v>
      </c>
      <c r="E806" s="5" t="s">
        <v>600</v>
      </c>
      <c r="F806" s="5" t="s">
        <v>9215</v>
      </c>
      <c r="G806" s="5" t="s">
        <v>9216</v>
      </c>
      <c r="H806" s="5" t="n">
        <v>9</v>
      </c>
      <c r="I806" s="5" t="s">
        <v>603</v>
      </c>
      <c r="J806" s="5" t="s">
        <v>652</v>
      </c>
      <c r="K806" s="5" t="s">
        <v>9217</v>
      </c>
      <c r="L806" s="5" t="s">
        <v>30</v>
      </c>
      <c r="M806" s="5" t="s">
        <v>155</v>
      </c>
      <c r="N806" s="5" t="s">
        <v>450</v>
      </c>
      <c r="O806" s="5" t="s">
        <v>157</v>
      </c>
      <c r="P806" s="5" t="s">
        <v>158</v>
      </c>
      <c r="Q806" s="5" t="s">
        <v>605</v>
      </c>
      <c r="R806" s="5" t="s">
        <v>8998</v>
      </c>
      <c r="S806" s="5" t="s">
        <v>8999</v>
      </c>
      <c r="T806" s="5" t="s">
        <v>606</v>
      </c>
      <c r="U806" s="5" t="n">
        <v>180</v>
      </c>
      <c r="V806" s="5" t="s">
        <v>9000</v>
      </c>
      <c r="W806" s="5" t="s">
        <v>9001</v>
      </c>
      <c r="X806" s="5" t="s">
        <v>9218</v>
      </c>
      <c r="Y806" s="5" t="s">
        <v>9219</v>
      </c>
      <c r="Z806" s="5" t="s">
        <v>9220</v>
      </c>
      <c r="AA806" s="5"/>
      <c r="AB806" s="5"/>
      <c r="AC806" s="5"/>
      <c r="AD806" s="5"/>
      <c r="AE806" s="5" t="s">
        <v>8885</v>
      </c>
      <c r="AF806" s="5"/>
      <c r="AG806" s="5"/>
      <c r="AH806" s="5"/>
      <c r="AI806" s="5"/>
      <c r="AJ806" s="5"/>
      <c r="AK806" s="5"/>
      <c r="AL806" s="5"/>
      <c r="AM806" s="5"/>
      <c r="AN806" s="5"/>
      <c r="AO806" s="5"/>
      <c r="AP806" s="5"/>
      <c r="AQ806" s="5"/>
      <c r="AR806" s="5"/>
      <c r="AS806" s="5"/>
      <c r="AT806" s="5"/>
      <c r="AU806" s="5"/>
      <c r="AV806" s="5"/>
      <c r="AW806" s="5" t="s">
        <v>9221</v>
      </c>
    </row>
    <row r="807" customFormat="false" ht="191.75" hidden="false" customHeight="false" outlineLevel="0" collapsed="false">
      <c r="A807" s="5" t="s">
        <v>9222</v>
      </c>
      <c r="B807" s="5" t="s">
        <v>9223</v>
      </c>
      <c r="C807" s="5" t="s">
        <v>8993</v>
      </c>
      <c r="D807" s="5" t="s">
        <v>8994</v>
      </c>
      <c r="E807" s="5" t="s">
        <v>600</v>
      </c>
      <c r="F807" s="5" t="s">
        <v>9224</v>
      </c>
      <c r="G807" s="5" t="s">
        <v>9225</v>
      </c>
      <c r="H807" s="5" t="n">
        <v>9</v>
      </c>
      <c r="I807" s="5" t="s">
        <v>603</v>
      </c>
      <c r="J807" s="5" t="s">
        <v>153</v>
      </c>
      <c r="K807" s="5" t="s">
        <v>9226</v>
      </c>
      <c r="L807" s="5" t="s">
        <v>30</v>
      </c>
      <c r="M807" s="5" t="s">
        <v>155</v>
      </c>
      <c r="N807" s="5" t="s">
        <v>5311</v>
      </c>
      <c r="O807" s="5" t="s">
        <v>570</v>
      </c>
      <c r="P807" s="5" t="s">
        <v>158</v>
      </c>
      <c r="Q807" s="5" t="s">
        <v>605</v>
      </c>
      <c r="R807" s="5" t="s">
        <v>8998</v>
      </c>
      <c r="S807" s="5" t="s">
        <v>8999</v>
      </c>
      <c r="T807" s="5" t="s">
        <v>606</v>
      </c>
      <c r="U807" s="5" t="n">
        <v>365</v>
      </c>
      <c r="V807" s="5" t="s">
        <v>9000</v>
      </c>
      <c r="W807" s="5" t="s">
        <v>9001</v>
      </c>
      <c r="X807" s="5" t="s">
        <v>9227</v>
      </c>
      <c r="Y807" s="5" t="s">
        <v>9228</v>
      </c>
      <c r="Z807" s="5" t="s">
        <v>9229</v>
      </c>
      <c r="AA807" s="5"/>
      <c r="AB807" s="5"/>
      <c r="AC807" s="5"/>
      <c r="AD807" s="5"/>
      <c r="AE807" s="5"/>
      <c r="AF807" s="5" t="s">
        <v>9230</v>
      </c>
      <c r="AG807" s="5"/>
      <c r="AH807" s="5"/>
      <c r="AI807" s="5" t="s">
        <v>5282</v>
      </c>
      <c r="AJ807" s="5"/>
      <c r="AK807" s="5"/>
      <c r="AL807" s="5" t="s">
        <v>9230</v>
      </c>
      <c r="AM807" s="5"/>
      <c r="AN807" s="5"/>
      <c r="AO807" s="5" t="s">
        <v>9231</v>
      </c>
      <c r="AP807" s="5"/>
      <c r="AQ807" s="5" t="s">
        <v>5316</v>
      </c>
      <c r="AR807" s="5" t="s">
        <v>5317</v>
      </c>
      <c r="AS807" s="5"/>
      <c r="AT807" s="5"/>
      <c r="AU807" s="5"/>
      <c r="AV807" s="5" t="s">
        <v>178</v>
      </c>
      <c r="AW807" s="5" t="s">
        <v>9232</v>
      </c>
    </row>
    <row r="808" customFormat="false" ht="113.4" hidden="false" customHeight="false" outlineLevel="0" collapsed="false">
      <c r="A808" s="5" t="s">
        <v>9233</v>
      </c>
      <c r="B808" s="5" t="s">
        <v>9234</v>
      </c>
      <c r="C808" s="5" t="s">
        <v>8993</v>
      </c>
      <c r="D808" s="5" t="s">
        <v>8994</v>
      </c>
      <c r="E808" s="5" t="s">
        <v>600</v>
      </c>
      <c r="F808" s="5" t="s">
        <v>9235</v>
      </c>
      <c r="G808" s="5" t="s">
        <v>9236</v>
      </c>
      <c r="H808" s="5" t="n">
        <v>6</v>
      </c>
      <c r="I808" s="5" t="s">
        <v>152</v>
      </c>
      <c r="J808" s="5" t="s">
        <v>153</v>
      </c>
      <c r="K808" s="5" t="s">
        <v>9237</v>
      </c>
      <c r="L808" s="5" t="s">
        <v>68</v>
      </c>
      <c r="M808" s="5" t="s">
        <v>185</v>
      </c>
      <c r="N808" s="5" t="s">
        <v>72</v>
      </c>
      <c r="O808" s="5" t="s">
        <v>187</v>
      </c>
      <c r="P808" s="5" t="s">
        <v>215</v>
      </c>
      <c r="Q808" s="5" t="s">
        <v>440</v>
      </c>
      <c r="R808" s="5" t="s">
        <v>8998</v>
      </c>
      <c r="S808" s="5" t="s">
        <v>8999</v>
      </c>
      <c r="T808" s="5" t="s">
        <v>162</v>
      </c>
      <c r="U808" s="5" t="n">
        <v>365</v>
      </c>
      <c r="V808" s="5" t="s">
        <v>9000</v>
      </c>
      <c r="W808" s="5" t="s">
        <v>9001</v>
      </c>
      <c r="X808" s="5" t="s">
        <v>9238</v>
      </c>
      <c r="Y808" s="5" t="s">
        <v>9239</v>
      </c>
      <c r="Z808" s="5" t="s">
        <v>9240</v>
      </c>
      <c r="AA808" s="5"/>
      <c r="AB808" s="5"/>
      <c r="AC808" s="5"/>
      <c r="AD808" s="5"/>
      <c r="AE808" s="5"/>
      <c r="AF808" s="5" t="s">
        <v>9241</v>
      </c>
      <c r="AG808" s="5"/>
      <c r="AH808" s="5"/>
      <c r="AI808" s="5"/>
      <c r="AJ808" s="5"/>
      <c r="AK808" s="5"/>
      <c r="AL808" s="5" t="s">
        <v>9241</v>
      </c>
      <c r="AM808" s="5"/>
      <c r="AN808" s="5"/>
      <c r="AO808" s="5" t="s">
        <v>9242</v>
      </c>
      <c r="AP808" s="5"/>
      <c r="AQ808" s="5"/>
      <c r="AR808" s="5" t="s">
        <v>1774</v>
      </c>
      <c r="AS808" s="5"/>
      <c r="AT808" s="5"/>
      <c r="AU808" s="5"/>
      <c r="AV808" s="5"/>
      <c r="AW808" s="5" t="s">
        <v>9243</v>
      </c>
    </row>
    <row r="809" customFormat="false" ht="135.8" hidden="false" customHeight="false" outlineLevel="0" collapsed="false">
      <c r="A809" s="5" t="s">
        <v>9244</v>
      </c>
      <c r="B809" s="5" t="s">
        <v>9245</v>
      </c>
      <c r="C809" s="5" t="s">
        <v>8993</v>
      </c>
      <c r="D809" s="5" t="s">
        <v>8994</v>
      </c>
      <c r="E809" s="5" t="s">
        <v>600</v>
      </c>
      <c r="F809" s="5" t="s">
        <v>9246</v>
      </c>
      <c r="G809" s="5" t="s">
        <v>9247</v>
      </c>
      <c r="H809" s="5" t="n">
        <v>1</v>
      </c>
      <c r="I809" s="5" t="s">
        <v>152</v>
      </c>
      <c r="J809" s="5" t="s">
        <v>153</v>
      </c>
      <c r="K809" s="5"/>
      <c r="L809" s="5" t="s">
        <v>68</v>
      </c>
      <c r="M809" s="5" t="s">
        <v>185</v>
      </c>
      <c r="N809" s="5" t="s">
        <v>72</v>
      </c>
      <c r="O809" s="5" t="s">
        <v>187</v>
      </c>
      <c r="P809" s="5" t="s">
        <v>215</v>
      </c>
      <c r="Q809" s="5" t="s">
        <v>440</v>
      </c>
      <c r="R809" s="5" t="s">
        <v>8998</v>
      </c>
      <c r="S809" s="5" t="s">
        <v>8999</v>
      </c>
      <c r="T809" s="5" t="s">
        <v>162</v>
      </c>
      <c r="U809" s="5" t="n">
        <v>365</v>
      </c>
      <c r="V809" s="5" t="s">
        <v>9000</v>
      </c>
      <c r="W809" s="5" t="s">
        <v>9001</v>
      </c>
      <c r="X809" s="5" t="s">
        <v>9248</v>
      </c>
      <c r="Y809" s="5" t="s">
        <v>9249</v>
      </c>
      <c r="Z809" s="5" t="s">
        <v>9250</v>
      </c>
      <c r="AA809" s="5"/>
      <c r="AB809" s="5"/>
      <c r="AC809" s="5"/>
      <c r="AD809" s="5"/>
      <c r="AE809" s="5"/>
      <c r="AF809" s="5" t="s">
        <v>9251</v>
      </c>
      <c r="AG809" s="5"/>
      <c r="AH809" s="5"/>
      <c r="AI809" s="5"/>
      <c r="AJ809" s="5"/>
      <c r="AK809" s="5"/>
      <c r="AL809" s="5" t="s">
        <v>9251</v>
      </c>
      <c r="AM809" s="5"/>
      <c r="AN809" s="5"/>
      <c r="AO809" s="5" t="s">
        <v>6220</v>
      </c>
      <c r="AP809" s="5"/>
      <c r="AQ809" s="5"/>
      <c r="AR809" s="5" t="s">
        <v>7151</v>
      </c>
      <c r="AS809" s="5"/>
      <c r="AT809" s="5"/>
      <c r="AU809" s="5"/>
      <c r="AV809" s="5"/>
      <c r="AW809" s="5" t="s">
        <v>9252</v>
      </c>
    </row>
    <row r="810" customFormat="false" ht="124.6" hidden="false" customHeight="false" outlineLevel="0" collapsed="false">
      <c r="A810" s="5" t="s">
        <v>9253</v>
      </c>
      <c r="B810" s="5" t="s">
        <v>9254</v>
      </c>
      <c r="C810" s="5" t="s">
        <v>8993</v>
      </c>
      <c r="D810" s="5" t="s">
        <v>8994</v>
      </c>
      <c r="E810" s="5" t="s">
        <v>600</v>
      </c>
      <c r="F810" s="5" t="s">
        <v>9255</v>
      </c>
      <c r="G810" s="5" t="s">
        <v>9256</v>
      </c>
      <c r="H810" s="5" t="n">
        <v>3</v>
      </c>
      <c r="I810" s="5" t="s">
        <v>152</v>
      </c>
      <c r="J810" s="5" t="s">
        <v>153</v>
      </c>
      <c r="K810" s="5"/>
      <c r="L810" s="5" t="s">
        <v>68</v>
      </c>
      <c r="M810" s="5" t="s">
        <v>185</v>
      </c>
      <c r="N810" s="5" t="s">
        <v>72</v>
      </c>
      <c r="O810" s="5" t="s">
        <v>187</v>
      </c>
      <c r="P810" s="5" t="s">
        <v>158</v>
      </c>
      <c r="Q810" s="5" t="s">
        <v>605</v>
      </c>
      <c r="R810" s="5" t="s">
        <v>8998</v>
      </c>
      <c r="S810" s="5" t="s">
        <v>8999</v>
      </c>
      <c r="T810" s="5" t="s">
        <v>162</v>
      </c>
      <c r="U810" s="5" t="n">
        <v>365</v>
      </c>
      <c r="V810" s="5" t="s">
        <v>9000</v>
      </c>
      <c r="W810" s="5" t="s">
        <v>9001</v>
      </c>
      <c r="X810" s="5" t="s">
        <v>9257</v>
      </c>
      <c r="Y810" s="5" t="s">
        <v>9258</v>
      </c>
      <c r="Z810" s="5" t="s">
        <v>9259</v>
      </c>
      <c r="AA810" s="5"/>
      <c r="AB810" s="5"/>
      <c r="AC810" s="5"/>
      <c r="AD810" s="5"/>
      <c r="AE810" s="5"/>
      <c r="AF810" s="5" t="s">
        <v>9260</v>
      </c>
      <c r="AG810" s="5"/>
      <c r="AH810" s="5"/>
      <c r="AI810" s="5"/>
      <c r="AJ810" s="5"/>
      <c r="AK810" s="5"/>
      <c r="AL810" s="5" t="s">
        <v>9260</v>
      </c>
      <c r="AM810" s="5"/>
      <c r="AN810" s="5"/>
      <c r="AO810" s="5" t="s">
        <v>9261</v>
      </c>
      <c r="AP810" s="5"/>
      <c r="AQ810" s="5"/>
      <c r="AR810" s="5" t="s">
        <v>1774</v>
      </c>
      <c r="AS810" s="5"/>
      <c r="AT810" s="5"/>
      <c r="AU810" s="5"/>
      <c r="AV810" s="5" t="s">
        <v>178</v>
      </c>
      <c r="AW810" s="5" t="s">
        <v>9262</v>
      </c>
    </row>
  </sheetData>
  <autoFilter ref="A1:AW8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50"/>
    <col collapsed="false" customWidth="true" hidden="false" outlineLevel="0" max="5" min="5" style="0" width="70"/>
    <col collapsed="false" customWidth="true" hidden="false" outlineLevel="0" max="6" min="6" style="0" width="50"/>
    <col collapsed="false" customWidth="true" hidden="false" outlineLevel="0" max="8" min="7" style="0" width="60"/>
  </cols>
  <sheetData>
    <row r="1" customFormat="false" ht="31.5" hidden="false" customHeight="true" outlineLevel="0" collapsed="false">
      <c r="A1" s="4" t="s">
        <v>9263</v>
      </c>
      <c r="B1" s="4" t="s">
        <v>100</v>
      </c>
      <c r="C1" s="4" t="s">
        <v>9264</v>
      </c>
      <c r="D1" s="4" t="s">
        <v>9265</v>
      </c>
      <c r="E1" s="4" t="s">
        <v>120</v>
      </c>
      <c r="F1" s="4" t="s">
        <v>9266</v>
      </c>
      <c r="G1" s="4" t="s">
        <v>9267</v>
      </c>
      <c r="H1" s="4" t="s">
        <v>9268</v>
      </c>
    </row>
    <row r="2" customFormat="false" ht="68.65" hidden="false" customHeight="false" outlineLevel="0" collapsed="false">
      <c r="A2" s="5" t="s">
        <v>489</v>
      </c>
      <c r="B2" s="5" t="s">
        <v>488</v>
      </c>
      <c r="C2" s="5" t="n">
        <v>29</v>
      </c>
      <c r="D2" s="5" t="s">
        <v>9269</v>
      </c>
      <c r="E2" s="5" t="s">
        <v>497</v>
      </c>
      <c r="F2" s="5" t="s">
        <v>9270</v>
      </c>
      <c r="G2" s="5" t="s">
        <v>9271</v>
      </c>
      <c r="H2" s="5" t="s">
        <v>9272</v>
      </c>
    </row>
    <row r="3" customFormat="false" ht="79.85" hidden="false" customHeight="false" outlineLevel="0" collapsed="false">
      <c r="A3" s="5" t="s">
        <v>864</v>
      </c>
      <c r="B3" s="5" t="s">
        <v>863</v>
      </c>
      <c r="C3" s="5" t="n">
        <v>41</v>
      </c>
      <c r="D3" s="5" t="s">
        <v>9273</v>
      </c>
      <c r="E3" s="5" t="s">
        <v>872</v>
      </c>
      <c r="F3" s="5" t="s">
        <v>9274</v>
      </c>
      <c r="G3" s="5" t="s">
        <v>9275</v>
      </c>
      <c r="H3" s="5" t="s">
        <v>9276</v>
      </c>
    </row>
    <row r="4" customFormat="false" ht="46.25" hidden="false" customHeight="false" outlineLevel="0" collapsed="false">
      <c r="A4" s="5" t="s">
        <v>1337</v>
      </c>
      <c r="B4" s="5" t="s">
        <v>1336</v>
      </c>
      <c r="C4" s="5" t="n">
        <v>6</v>
      </c>
      <c r="D4" s="5" t="s">
        <v>9277</v>
      </c>
      <c r="E4" s="5" t="s">
        <v>1345</v>
      </c>
      <c r="F4" s="5" t="s">
        <v>9278</v>
      </c>
      <c r="G4" s="5" t="s">
        <v>9279</v>
      </c>
      <c r="H4" s="5" t="s">
        <v>9280</v>
      </c>
    </row>
    <row r="5" customFormat="false" ht="79.85" hidden="false" customHeight="false" outlineLevel="0" collapsed="false">
      <c r="A5" s="5" t="s">
        <v>1807</v>
      </c>
      <c r="B5" s="5" t="s">
        <v>1806</v>
      </c>
      <c r="C5" s="5" t="n">
        <v>20</v>
      </c>
      <c r="D5" s="5" t="s">
        <v>9281</v>
      </c>
      <c r="E5" s="5" t="s">
        <v>1815</v>
      </c>
      <c r="F5" s="5" t="s">
        <v>9282</v>
      </c>
      <c r="G5" s="5" t="s">
        <v>9283</v>
      </c>
      <c r="H5" s="5" t="s">
        <v>9284</v>
      </c>
    </row>
    <row r="6" customFormat="false" ht="68.65" hidden="false" customHeight="false" outlineLevel="0" collapsed="false">
      <c r="A6" s="5" t="s">
        <v>1409</v>
      </c>
      <c r="B6" s="5" t="s">
        <v>1408</v>
      </c>
      <c r="C6" s="5" t="n">
        <v>15</v>
      </c>
      <c r="D6" s="5" t="s">
        <v>9285</v>
      </c>
      <c r="E6" s="5" t="s">
        <v>1417</v>
      </c>
      <c r="F6" s="5" t="s">
        <v>9286</v>
      </c>
      <c r="G6" s="5" t="s">
        <v>9287</v>
      </c>
      <c r="H6" s="5" t="s">
        <v>9288</v>
      </c>
    </row>
    <row r="7" customFormat="false" ht="46.25" hidden="false" customHeight="false" outlineLevel="0" collapsed="false">
      <c r="A7" s="5" t="s">
        <v>1596</v>
      </c>
      <c r="B7" s="5" t="s">
        <v>1595</v>
      </c>
      <c r="C7" s="5" t="n">
        <v>7</v>
      </c>
      <c r="D7" s="5" t="s">
        <v>9289</v>
      </c>
      <c r="E7" s="5" t="s">
        <v>1603</v>
      </c>
      <c r="F7" s="5" t="s">
        <v>9290</v>
      </c>
      <c r="G7" s="5" t="s">
        <v>9291</v>
      </c>
      <c r="H7" s="5" t="s">
        <v>9292</v>
      </c>
    </row>
    <row r="8" customFormat="false" ht="46.25" hidden="false" customHeight="false" outlineLevel="0" collapsed="false">
      <c r="A8" s="5" t="s">
        <v>1668</v>
      </c>
      <c r="B8" s="5" t="s">
        <v>1667</v>
      </c>
      <c r="C8" s="5" t="n">
        <v>10</v>
      </c>
      <c r="D8" s="5" t="s">
        <v>9293</v>
      </c>
      <c r="E8" s="5" t="s">
        <v>1677</v>
      </c>
      <c r="F8" s="5" t="s">
        <v>9294</v>
      </c>
      <c r="G8" s="5" t="s">
        <v>9295</v>
      </c>
      <c r="H8" s="5" t="s">
        <v>9296</v>
      </c>
    </row>
    <row r="9" customFormat="false" ht="91" hidden="false" customHeight="false" outlineLevel="0" collapsed="false">
      <c r="A9" s="5" t="s">
        <v>2603</v>
      </c>
      <c r="B9" s="5" t="s">
        <v>2602</v>
      </c>
      <c r="C9" s="5" t="n">
        <v>15</v>
      </c>
      <c r="D9" s="5" t="s">
        <v>9297</v>
      </c>
      <c r="E9" s="5" t="s">
        <v>2611</v>
      </c>
      <c r="F9" s="5" t="s">
        <v>9298</v>
      </c>
      <c r="G9" s="5" t="s">
        <v>9299</v>
      </c>
      <c r="H9" s="5" t="s">
        <v>9300</v>
      </c>
    </row>
    <row r="10" customFormat="false" ht="57.45" hidden="false" customHeight="false" outlineLevel="0" collapsed="false">
      <c r="A10" s="5" t="s">
        <v>2795</v>
      </c>
      <c r="B10" s="5" t="s">
        <v>2794</v>
      </c>
      <c r="C10" s="5" t="n">
        <v>45</v>
      </c>
      <c r="D10" s="5" t="s">
        <v>9301</v>
      </c>
      <c r="E10" s="5" t="s">
        <v>2802</v>
      </c>
      <c r="F10" s="5" t="s">
        <v>9302</v>
      </c>
      <c r="G10" s="5" t="s">
        <v>9303</v>
      </c>
      <c r="H10" s="5" t="s">
        <v>9304</v>
      </c>
    </row>
    <row r="11" customFormat="false" ht="68.65" hidden="false" customHeight="false" outlineLevel="0" collapsed="false">
      <c r="A11" s="5" t="s">
        <v>79</v>
      </c>
      <c r="B11" s="5" t="s">
        <v>1585</v>
      </c>
      <c r="C11" s="5" t="n">
        <v>19</v>
      </c>
      <c r="D11" s="5" t="s">
        <v>9305</v>
      </c>
      <c r="E11" s="5" t="s">
        <v>3274</v>
      </c>
      <c r="F11" s="5" t="s">
        <v>9306</v>
      </c>
      <c r="G11" s="5" t="s">
        <v>9307</v>
      </c>
      <c r="H11" s="5" t="s">
        <v>9308</v>
      </c>
    </row>
    <row r="12" customFormat="false" ht="57.45" hidden="false" customHeight="false" outlineLevel="0" collapsed="false">
      <c r="A12" s="5" t="s">
        <v>3442</v>
      </c>
      <c r="B12" s="5" t="s">
        <v>3441</v>
      </c>
      <c r="C12" s="5" t="n">
        <v>27</v>
      </c>
      <c r="D12" s="5" t="s">
        <v>9309</v>
      </c>
      <c r="E12" s="5" t="s">
        <v>3450</v>
      </c>
      <c r="F12" s="5" t="s">
        <v>9310</v>
      </c>
      <c r="G12" s="5" t="s">
        <v>9311</v>
      </c>
      <c r="H12" s="5" t="s">
        <v>9312</v>
      </c>
    </row>
    <row r="13" customFormat="false" ht="79.85" hidden="false" customHeight="false" outlineLevel="0" collapsed="false">
      <c r="A13" s="5" t="s">
        <v>148</v>
      </c>
      <c r="B13" s="5" t="s">
        <v>147</v>
      </c>
      <c r="C13" s="5" t="n">
        <v>25</v>
      </c>
      <c r="D13" s="5" t="s">
        <v>9313</v>
      </c>
      <c r="E13" s="5" t="s">
        <v>164</v>
      </c>
      <c r="F13" s="5" t="s">
        <v>9314</v>
      </c>
      <c r="G13" s="5" t="s">
        <v>9315</v>
      </c>
      <c r="H13" s="5" t="s">
        <v>9316</v>
      </c>
    </row>
    <row r="14" customFormat="false" ht="57.45" hidden="false" customHeight="false" outlineLevel="0" collapsed="false">
      <c r="A14" s="5" t="s">
        <v>3724</v>
      </c>
      <c r="B14" s="5" t="s">
        <v>3723</v>
      </c>
      <c r="C14" s="5" t="n">
        <v>28</v>
      </c>
      <c r="D14" s="5" t="s">
        <v>9317</v>
      </c>
      <c r="E14" s="5" t="s">
        <v>3732</v>
      </c>
      <c r="F14" s="5" t="s">
        <v>9318</v>
      </c>
      <c r="G14" s="5" t="s">
        <v>9319</v>
      </c>
      <c r="H14" s="5" t="s">
        <v>9320</v>
      </c>
    </row>
    <row r="15" customFormat="false" ht="91" hidden="false" customHeight="false" outlineLevel="0" collapsed="false">
      <c r="A15" s="5" t="s">
        <v>4044</v>
      </c>
      <c r="B15" s="5" t="s">
        <v>4043</v>
      </c>
      <c r="C15" s="5" t="n">
        <v>78</v>
      </c>
      <c r="D15" s="5" t="s">
        <v>9321</v>
      </c>
      <c r="E15" s="5" t="s">
        <v>4051</v>
      </c>
      <c r="F15" s="5" t="s">
        <v>9322</v>
      </c>
      <c r="G15" s="5" t="s">
        <v>9323</v>
      </c>
      <c r="H15" s="5" t="s">
        <v>9324</v>
      </c>
    </row>
    <row r="16" customFormat="false" ht="46.25" hidden="false" customHeight="false" outlineLevel="0" collapsed="false">
      <c r="A16" s="5" t="s">
        <v>5256</v>
      </c>
      <c r="B16" s="5" t="s">
        <v>5255</v>
      </c>
      <c r="C16" s="5" t="n">
        <v>13</v>
      </c>
      <c r="D16" s="5" t="s">
        <v>9325</v>
      </c>
      <c r="E16" s="5" t="s">
        <v>5262</v>
      </c>
      <c r="F16" s="5" t="s">
        <v>9326</v>
      </c>
      <c r="G16" s="5" t="s">
        <v>9327</v>
      </c>
      <c r="H16" s="5" t="s">
        <v>9328</v>
      </c>
    </row>
    <row r="17" customFormat="false" ht="79.85" hidden="false" customHeight="false" outlineLevel="0" collapsed="false">
      <c r="A17" s="5" t="s">
        <v>4876</v>
      </c>
      <c r="B17" s="5" t="s">
        <v>4875</v>
      </c>
      <c r="C17" s="5" t="n">
        <v>33</v>
      </c>
      <c r="D17" s="5" t="s">
        <v>9329</v>
      </c>
      <c r="E17" s="5" t="s">
        <v>4884</v>
      </c>
      <c r="F17" s="5" t="s">
        <v>9330</v>
      </c>
      <c r="G17" s="5" t="s">
        <v>9331</v>
      </c>
      <c r="H17" s="5" t="s">
        <v>9332</v>
      </c>
    </row>
    <row r="18" customFormat="false" ht="46.25" hidden="false" customHeight="false" outlineLevel="0" collapsed="false">
      <c r="A18" s="5" t="s">
        <v>5578</v>
      </c>
      <c r="B18" s="5" t="s">
        <v>5577</v>
      </c>
      <c r="C18" s="5" t="n">
        <v>7</v>
      </c>
      <c r="D18" s="5" t="s">
        <v>9333</v>
      </c>
      <c r="E18" s="5" t="s">
        <v>5584</v>
      </c>
      <c r="F18" s="5" t="s">
        <v>9334</v>
      </c>
      <c r="G18" s="5" t="s">
        <v>9335</v>
      </c>
      <c r="H18" s="5" t="s">
        <v>9336</v>
      </c>
    </row>
    <row r="19" customFormat="false" ht="46.25" hidden="false" customHeight="false" outlineLevel="0" collapsed="false">
      <c r="A19" s="5" t="s">
        <v>5416</v>
      </c>
      <c r="B19" s="5" t="s">
        <v>5415</v>
      </c>
      <c r="C19" s="5" t="n">
        <v>16</v>
      </c>
      <c r="D19" s="5" t="s">
        <v>9337</v>
      </c>
      <c r="E19" s="5" t="s">
        <v>5424</v>
      </c>
      <c r="F19" s="5" t="s">
        <v>9338</v>
      </c>
      <c r="G19" s="5" t="s">
        <v>9339</v>
      </c>
      <c r="H19" s="5" t="s">
        <v>9340</v>
      </c>
    </row>
    <row r="20" customFormat="false" ht="79.85" hidden="false" customHeight="false" outlineLevel="0" collapsed="false">
      <c r="A20" s="5" t="s">
        <v>2065</v>
      </c>
      <c r="B20" s="5" t="s">
        <v>2064</v>
      </c>
      <c r="C20" s="5" t="n">
        <v>46</v>
      </c>
      <c r="D20" s="5" t="s">
        <v>9341</v>
      </c>
      <c r="E20" s="5" t="s">
        <v>9342</v>
      </c>
      <c r="F20" s="5" t="s">
        <v>9343</v>
      </c>
      <c r="G20" s="5" t="s">
        <v>9344</v>
      </c>
      <c r="H20" s="5" t="s">
        <v>9345</v>
      </c>
    </row>
    <row r="21" customFormat="false" ht="91" hidden="false" customHeight="false" outlineLevel="0" collapsed="false">
      <c r="A21" s="5" t="s">
        <v>5641</v>
      </c>
      <c r="B21" s="5" t="s">
        <v>5640</v>
      </c>
      <c r="C21" s="5" t="n">
        <v>55</v>
      </c>
      <c r="D21" s="5" t="s">
        <v>9346</v>
      </c>
      <c r="E21" s="5" t="s">
        <v>5649</v>
      </c>
      <c r="F21" s="5" t="s">
        <v>9347</v>
      </c>
      <c r="G21" s="5" t="s">
        <v>9348</v>
      </c>
      <c r="H21" s="5" t="s">
        <v>9349</v>
      </c>
    </row>
    <row r="22" customFormat="false" ht="46.25" hidden="false" customHeight="false" outlineLevel="0" collapsed="false">
      <c r="A22" s="5" t="s">
        <v>7833</v>
      </c>
      <c r="B22" s="5" t="s">
        <v>7832</v>
      </c>
      <c r="C22" s="5" t="n">
        <v>5</v>
      </c>
      <c r="D22" s="5" t="s">
        <v>9350</v>
      </c>
      <c r="E22" s="5" t="s">
        <v>7840</v>
      </c>
      <c r="F22" s="5" t="s">
        <v>9351</v>
      </c>
      <c r="G22" s="5" t="s">
        <v>9352</v>
      </c>
      <c r="H22" s="5" t="s">
        <v>9353</v>
      </c>
    </row>
    <row r="23" customFormat="false" ht="46.25" hidden="false" customHeight="false" outlineLevel="0" collapsed="false">
      <c r="A23" s="5" t="s">
        <v>6255</v>
      </c>
      <c r="B23" s="5" t="s">
        <v>6254</v>
      </c>
      <c r="C23" s="5" t="n">
        <v>36</v>
      </c>
      <c r="D23" s="5" t="s">
        <v>9354</v>
      </c>
      <c r="E23" s="5" t="s">
        <v>6263</v>
      </c>
      <c r="F23" s="5" t="s">
        <v>9355</v>
      </c>
      <c r="G23" s="5" t="s">
        <v>9356</v>
      </c>
      <c r="H23" s="5" t="s">
        <v>9357</v>
      </c>
    </row>
    <row r="24" customFormat="false" ht="57.45" hidden="false" customHeight="false" outlineLevel="0" collapsed="false">
      <c r="A24" s="5" t="s">
        <v>6652</v>
      </c>
      <c r="B24" s="5" t="s">
        <v>6651</v>
      </c>
      <c r="C24" s="5" t="n">
        <v>47</v>
      </c>
      <c r="D24" s="5" t="s">
        <v>9358</v>
      </c>
      <c r="E24" s="5" t="s">
        <v>6661</v>
      </c>
      <c r="F24" s="5" t="s">
        <v>9359</v>
      </c>
      <c r="G24" s="5" t="s">
        <v>9360</v>
      </c>
      <c r="H24" s="5" t="s">
        <v>9361</v>
      </c>
    </row>
    <row r="25" customFormat="false" ht="46.25" hidden="false" customHeight="false" outlineLevel="0" collapsed="false">
      <c r="A25" s="5" t="s">
        <v>7076</v>
      </c>
      <c r="B25" s="5" t="s">
        <v>7075</v>
      </c>
      <c r="C25" s="5" t="n">
        <v>9</v>
      </c>
      <c r="D25" s="5" t="s">
        <v>9362</v>
      </c>
      <c r="E25" s="5" t="s">
        <v>7084</v>
      </c>
      <c r="F25" s="5" t="s">
        <v>9363</v>
      </c>
      <c r="G25" s="5" t="s">
        <v>9364</v>
      </c>
      <c r="H25" s="5" t="s">
        <v>9365</v>
      </c>
    </row>
    <row r="26" customFormat="false" ht="79.85" hidden="false" customHeight="false" outlineLevel="0" collapsed="false">
      <c r="A26" s="5" t="s">
        <v>7191</v>
      </c>
      <c r="B26" s="5" t="s">
        <v>7190</v>
      </c>
      <c r="C26" s="5" t="n">
        <v>28</v>
      </c>
      <c r="D26" s="5" t="s">
        <v>9366</v>
      </c>
      <c r="E26" s="5" t="s">
        <v>7199</v>
      </c>
      <c r="F26" s="5" t="s">
        <v>9367</v>
      </c>
      <c r="G26" s="5" t="s">
        <v>9368</v>
      </c>
      <c r="H26" s="5" t="s">
        <v>9369</v>
      </c>
    </row>
    <row r="27" customFormat="false" ht="35.05" hidden="false" customHeight="false" outlineLevel="0" collapsed="false">
      <c r="A27" s="5" t="s">
        <v>7893</v>
      </c>
      <c r="B27" s="5" t="s">
        <v>7892</v>
      </c>
      <c r="C27" s="5" t="n">
        <v>13</v>
      </c>
      <c r="D27" s="5" t="s">
        <v>9370</v>
      </c>
      <c r="E27" s="5" t="s">
        <v>7900</v>
      </c>
      <c r="F27" s="5" t="s">
        <v>9371</v>
      </c>
      <c r="G27" s="5" t="s">
        <v>9372</v>
      </c>
      <c r="H27" s="5" t="s">
        <v>9373</v>
      </c>
    </row>
    <row r="28" customFormat="false" ht="46.25" hidden="false" customHeight="false" outlineLevel="0" collapsed="false">
      <c r="A28" s="5" t="s">
        <v>7529</v>
      </c>
      <c r="B28" s="5" t="s">
        <v>7528</v>
      </c>
      <c r="C28" s="5" t="n">
        <v>29</v>
      </c>
      <c r="D28" s="5" t="s">
        <v>9374</v>
      </c>
      <c r="E28" s="5" t="s">
        <v>7537</v>
      </c>
      <c r="F28" s="5" t="s">
        <v>9375</v>
      </c>
      <c r="G28" s="5" t="s">
        <v>9376</v>
      </c>
      <c r="H28" s="5" t="s">
        <v>9377</v>
      </c>
    </row>
    <row r="29" customFormat="false" ht="46.25" hidden="false" customHeight="false" outlineLevel="0" collapsed="false">
      <c r="A29" s="5" t="s">
        <v>8048</v>
      </c>
      <c r="B29" s="5" t="s">
        <v>8047</v>
      </c>
      <c r="C29" s="5" t="n">
        <v>46</v>
      </c>
      <c r="D29" s="5" t="s">
        <v>9378</v>
      </c>
      <c r="E29" s="5" t="s">
        <v>8056</v>
      </c>
      <c r="F29" s="5" t="s">
        <v>9379</v>
      </c>
      <c r="G29" s="5" t="s">
        <v>9380</v>
      </c>
      <c r="H29" s="5" t="s">
        <v>9381</v>
      </c>
    </row>
    <row r="30" customFormat="false" ht="35.05" hidden="false" customHeight="false" outlineLevel="0" collapsed="false">
      <c r="A30" s="5" t="s">
        <v>8860</v>
      </c>
      <c r="B30" s="5" t="s">
        <v>8859</v>
      </c>
      <c r="C30" s="5" t="n">
        <v>11</v>
      </c>
      <c r="D30" s="5" t="s">
        <v>9382</v>
      </c>
      <c r="E30" s="5" t="s">
        <v>8868</v>
      </c>
      <c r="F30" s="5" t="s">
        <v>9383</v>
      </c>
      <c r="G30" s="5" t="s">
        <v>9384</v>
      </c>
      <c r="H30" s="5" t="s">
        <v>9385</v>
      </c>
    </row>
    <row r="31" customFormat="false" ht="57.45" hidden="false" customHeight="false" outlineLevel="0" collapsed="false">
      <c r="A31" s="5" t="s">
        <v>8564</v>
      </c>
      <c r="B31" s="5" t="s">
        <v>8563</v>
      </c>
      <c r="C31" s="5" t="n">
        <v>26</v>
      </c>
      <c r="D31" s="5" t="s">
        <v>9386</v>
      </c>
      <c r="E31" s="5" t="s">
        <v>8572</v>
      </c>
      <c r="F31" s="5" t="s">
        <v>9387</v>
      </c>
      <c r="G31" s="5" t="s">
        <v>9388</v>
      </c>
      <c r="H31" s="5" t="s">
        <v>9389</v>
      </c>
    </row>
    <row r="32" customFormat="false" ht="57.45" hidden="false" customHeight="false" outlineLevel="0" collapsed="false">
      <c r="A32" s="5" t="s">
        <v>8994</v>
      </c>
      <c r="B32" s="5" t="s">
        <v>8993</v>
      </c>
      <c r="C32" s="5" t="n">
        <v>24</v>
      </c>
      <c r="D32" s="5" t="s">
        <v>9390</v>
      </c>
      <c r="E32" s="5" t="s">
        <v>9001</v>
      </c>
      <c r="F32" s="5" t="s">
        <v>9391</v>
      </c>
      <c r="G32" s="5" t="s">
        <v>9392</v>
      </c>
      <c r="H32" s="5" t="s">
        <v>9393</v>
      </c>
    </row>
    <row r="33" customFormat="false" ht="35.05" hidden="false" customHeight="false" outlineLevel="0" collapsed="false">
      <c r="A33" s="5" t="s">
        <v>9394</v>
      </c>
      <c r="B33" s="5" t="s">
        <v>9395</v>
      </c>
      <c r="C33" s="5" t="n">
        <v>8</v>
      </c>
      <c r="D33" s="5"/>
      <c r="E33" s="5" t="s">
        <v>6094</v>
      </c>
      <c r="F33" s="5"/>
      <c r="G33" s="5"/>
      <c r="H33" s="5"/>
    </row>
    <row r="34" customFormat="false" ht="35.05" hidden="false" customHeight="false" outlineLevel="0" collapsed="false">
      <c r="A34" s="5" t="s">
        <v>9396</v>
      </c>
      <c r="B34" s="5" t="s">
        <v>9397</v>
      </c>
      <c r="C34" s="5" t="n">
        <v>5</v>
      </c>
      <c r="D34" s="5"/>
      <c r="E34" s="5" t="s">
        <v>6178</v>
      </c>
      <c r="F34" s="5"/>
      <c r="G34" s="5"/>
      <c r="H34" s="5"/>
    </row>
    <row r="35" customFormat="false" ht="35.05" hidden="false" customHeight="false" outlineLevel="0" collapsed="false">
      <c r="A35" s="5" t="s">
        <v>9398</v>
      </c>
      <c r="B35" s="5" t="s">
        <v>9399</v>
      </c>
      <c r="C35" s="5" t="n">
        <v>11</v>
      </c>
      <c r="D35" s="5"/>
      <c r="E35" s="5" t="s">
        <v>4362</v>
      </c>
      <c r="F35" s="5"/>
      <c r="G35" s="5"/>
      <c r="H35" s="5"/>
    </row>
    <row r="36" customFormat="false" ht="35.05" hidden="false" customHeight="false" outlineLevel="0" collapsed="false">
      <c r="A36" s="5" t="s">
        <v>9400</v>
      </c>
      <c r="B36" s="5" t="s">
        <v>9401</v>
      </c>
      <c r="C36" s="5" t="n">
        <v>2</v>
      </c>
      <c r="D36" s="5"/>
      <c r="E36" s="5" t="s">
        <v>4590</v>
      </c>
      <c r="F36" s="5"/>
      <c r="G36" s="5"/>
      <c r="H36" s="5"/>
    </row>
    <row r="37" customFormat="false" ht="35.05" hidden="false" customHeight="false" outlineLevel="0" collapsed="false">
      <c r="A37" s="5" t="s">
        <v>9402</v>
      </c>
      <c r="B37" s="5" t="s">
        <v>9403</v>
      </c>
      <c r="C37" s="5" t="n">
        <v>7</v>
      </c>
      <c r="D37" s="5"/>
      <c r="E37" s="5" t="s">
        <v>1171</v>
      </c>
      <c r="F37" s="5"/>
      <c r="G37" s="5"/>
      <c r="H37" s="5"/>
    </row>
    <row r="38" customFormat="false" ht="35.05" hidden="false" customHeight="false" outlineLevel="0" collapsed="false">
      <c r="A38" s="5" t="s">
        <v>9404</v>
      </c>
      <c r="B38" s="5" t="s">
        <v>9405</v>
      </c>
      <c r="C38" s="5" t="n">
        <v>4</v>
      </c>
      <c r="D38" s="5"/>
      <c r="E38" s="5" t="s">
        <v>1171</v>
      </c>
      <c r="F38" s="5"/>
      <c r="G38" s="5"/>
      <c r="H38" s="5"/>
    </row>
    <row r="39" customFormat="false" ht="23.85" hidden="false" customHeight="false" outlineLevel="0" collapsed="false">
      <c r="A39" s="5" t="s">
        <v>9406</v>
      </c>
      <c r="B39" s="5" t="s">
        <v>9407</v>
      </c>
      <c r="C39" s="5" t="n">
        <v>1</v>
      </c>
      <c r="D39" s="5"/>
      <c r="E39" s="5" t="s">
        <v>3036</v>
      </c>
      <c r="F39" s="5"/>
      <c r="G39" s="5"/>
      <c r="H39" s="5"/>
    </row>
    <row r="40" customFormat="false" ht="23.85" hidden="false" customHeight="false" outlineLevel="0" collapsed="false">
      <c r="A40" s="5" t="s">
        <v>9408</v>
      </c>
      <c r="B40" s="5" t="s">
        <v>9409</v>
      </c>
      <c r="C40" s="5" t="n">
        <v>5</v>
      </c>
      <c r="D40" s="5"/>
      <c r="E40" s="5" t="s">
        <v>6497</v>
      </c>
      <c r="F40" s="5"/>
      <c r="G40" s="5"/>
      <c r="H40" s="5"/>
    </row>
    <row r="41" customFormat="false" ht="23.85" hidden="false" customHeight="false" outlineLevel="0" collapsed="false">
      <c r="A41" s="5" t="s">
        <v>9410</v>
      </c>
      <c r="B41" s="5" t="s">
        <v>9411</v>
      </c>
      <c r="C41" s="5" t="n">
        <v>4</v>
      </c>
      <c r="D41" s="5"/>
      <c r="E41" s="5" t="s">
        <v>6497</v>
      </c>
      <c r="F41" s="5"/>
      <c r="G41" s="5"/>
      <c r="H41" s="5"/>
    </row>
    <row r="42" customFormat="false" ht="23.85" hidden="false" customHeight="false" outlineLevel="0" collapsed="false">
      <c r="A42" s="5" t="s">
        <v>9412</v>
      </c>
      <c r="B42" s="5" t="s">
        <v>9413</v>
      </c>
      <c r="C42" s="5" t="n">
        <v>1</v>
      </c>
      <c r="D42" s="5"/>
      <c r="E42" s="5" t="s">
        <v>6497</v>
      </c>
      <c r="F42" s="5"/>
      <c r="G42" s="5"/>
      <c r="H42" s="5"/>
    </row>
    <row r="43" customFormat="false" ht="35.05" hidden="false" customHeight="false" outlineLevel="0" collapsed="false">
      <c r="A43" s="5" t="s">
        <v>9414</v>
      </c>
      <c r="B43" s="5" t="s">
        <v>9415</v>
      </c>
      <c r="C43" s="5" t="n">
        <v>35</v>
      </c>
      <c r="D43" s="5"/>
      <c r="E43" s="5" t="s">
        <v>2073</v>
      </c>
      <c r="F43" s="5"/>
      <c r="G43" s="5"/>
      <c r="H43" s="5"/>
    </row>
    <row r="44" customFormat="false" ht="35.05" hidden="false" customHeight="false" outlineLevel="0" collapsed="false">
      <c r="A44" s="5" t="s">
        <v>9416</v>
      </c>
      <c r="B44" s="5" t="s">
        <v>9417</v>
      </c>
      <c r="C44" s="5" t="n">
        <v>11</v>
      </c>
      <c r="D44" s="5"/>
      <c r="E44" s="5" t="s">
        <v>2073</v>
      </c>
      <c r="F44" s="5"/>
      <c r="G44" s="5"/>
      <c r="H44" s="5"/>
    </row>
    <row r="45" customFormat="false" ht="35.05" hidden="false" customHeight="false" outlineLevel="0" collapsed="false">
      <c r="A45" s="5" t="s">
        <v>9418</v>
      </c>
      <c r="B45" s="5" t="s">
        <v>9419</v>
      </c>
      <c r="C45" s="5" t="n">
        <v>8</v>
      </c>
      <c r="D45" s="5"/>
      <c r="E45" s="5" t="s">
        <v>8732</v>
      </c>
      <c r="F45" s="5"/>
      <c r="G45" s="5"/>
      <c r="H45" s="5"/>
    </row>
    <row r="46" customFormat="false" ht="46.25" hidden="false" customHeight="false" outlineLevel="0" collapsed="false">
      <c r="A46" s="5" t="s">
        <v>9420</v>
      </c>
      <c r="B46" s="5" t="s">
        <v>9421</v>
      </c>
      <c r="C46" s="5" t="n">
        <v>7</v>
      </c>
      <c r="D46" s="5"/>
      <c r="E46" s="5" t="s">
        <v>9100</v>
      </c>
      <c r="F46" s="5"/>
      <c r="G46" s="5"/>
      <c r="H46" s="5"/>
    </row>
    <row r="47" customFormat="false" ht="35.05" hidden="false" customHeight="false" outlineLevel="0" collapsed="false">
      <c r="A47" s="5" t="s">
        <v>9422</v>
      </c>
      <c r="B47" s="5" t="s">
        <v>9423</v>
      </c>
      <c r="C47" s="5" t="n">
        <v>3</v>
      </c>
      <c r="D47" s="5"/>
      <c r="E47" s="5" t="s">
        <v>2755</v>
      </c>
      <c r="F47" s="5"/>
      <c r="G47" s="5"/>
      <c r="H47" s="5"/>
    </row>
    <row r="48" customFormat="false" ht="23.85" hidden="false" customHeight="false" outlineLevel="0" collapsed="false">
      <c r="A48" s="5" t="s">
        <v>9424</v>
      </c>
      <c r="B48" s="5" t="s">
        <v>9425</v>
      </c>
      <c r="C48" s="5" t="n">
        <v>1</v>
      </c>
      <c r="D48" s="5"/>
      <c r="E48" s="5" t="s">
        <v>3327</v>
      </c>
      <c r="F48" s="5"/>
      <c r="G48" s="5"/>
      <c r="H4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34"/>
    <col collapsed="false" customWidth="true" hidden="false" outlineLevel="0" max="4" min="4" style="0" width="70"/>
    <col collapsed="false" customWidth="true" hidden="false" outlineLevel="0" max="5" min="5" style="0" width="80"/>
  </cols>
  <sheetData>
    <row r="1" customFormat="false" ht="31.5" hidden="false" customHeight="true" outlineLevel="0" collapsed="false">
      <c r="A1" s="4" t="s">
        <v>91</v>
      </c>
      <c r="B1" s="4" t="s">
        <v>9426</v>
      </c>
      <c r="C1" s="4" t="s">
        <v>9427</v>
      </c>
      <c r="D1" s="4" t="s">
        <v>9428</v>
      </c>
      <c r="E1" s="4" t="s">
        <v>9429</v>
      </c>
    </row>
    <row r="2" customFormat="false" ht="35.05" hidden="false" customHeight="false" outlineLevel="0" collapsed="false">
      <c r="A2" s="5" t="s">
        <v>501</v>
      </c>
      <c r="B2" s="5" t="s">
        <v>9430</v>
      </c>
      <c r="C2" s="5" t="s">
        <v>9431</v>
      </c>
      <c r="D2" s="5" t="s">
        <v>9432</v>
      </c>
      <c r="E2" s="5" t="s">
        <v>9433</v>
      </c>
    </row>
    <row r="3" customFormat="false" ht="35.05" hidden="false" customHeight="false" outlineLevel="0" collapsed="false">
      <c r="A3" s="5" t="s">
        <v>7360</v>
      </c>
      <c r="B3" s="5" t="s">
        <v>9434</v>
      </c>
      <c r="C3" s="5" t="s">
        <v>9435</v>
      </c>
      <c r="D3" s="5" t="s">
        <v>9436</v>
      </c>
      <c r="E3" s="5" t="s">
        <v>9437</v>
      </c>
    </row>
    <row r="4" customFormat="false" ht="35.05" hidden="false" customHeight="false" outlineLevel="0" collapsed="false">
      <c r="A4" s="5" t="s">
        <v>9438</v>
      </c>
      <c r="B4" s="5" t="s">
        <v>9439</v>
      </c>
      <c r="C4" s="5" t="s">
        <v>9440</v>
      </c>
      <c r="D4" s="5" t="s">
        <v>9441</v>
      </c>
      <c r="E4" s="5" t="s">
        <v>9442</v>
      </c>
    </row>
    <row r="5" customFormat="false" ht="23.85" hidden="false" customHeight="false" outlineLevel="0" collapsed="false">
      <c r="A5" s="5" t="s">
        <v>5911</v>
      </c>
      <c r="B5" s="5" t="s">
        <v>9443</v>
      </c>
      <c r="C5" s="5" t="s">
        <v>9444</v>
      </c>
      <c r="D5" s="5" t="s">
        <v>9445</v>
      </c>
      <c r="E5" s="5" t="s">
        <v>9446</v>
      </c>
    </row>
    <row r="6" customFormat="false" ht="23.85" hidden="false" customHeight="false" outlineLevel="0" collapsed="false">
      <c r="A6" s="5" t="s">
        <v>3437</v>
      </c>
      <c r="B6" s="5" t="s">
        <v>9447</v>
      </c>
      <c r="C6" s="5" t="s">
        <v>9448</v>
      </c>
      <c r="D6" s="5" t="s">
        <v>9449</v>
      </c>
      <c r="E6" s="5" t="s">
        <v>9450</v>
      </c>
    </row>
    <row r="7" customFormat="false" ht="23.85" hidden="false" customHeight="false" outlineLevel="0" collapsed="false">
      <c r="A7" s="5" t="s">
        <v>562</v>
      </c>
      <c r="B7" s="5" t="s">
        <v>9451</v>
      </c>
      <c r="C7" s="5" t="s">
        <v>9452</v>
      </c>
      <c r="D7" s="5" t="s">
        <v>9453</v>
      </c>
      <c r="E7" s="5" t="s">
        <v>9454</v>
      </c>
    </row>
    <row r="8" customFormat="false" ht="23.85" hidden="false" customHeight="false" outlineLevel="0" collapsed="false">
      <c r="A8" s="5" t="s">
        <v>2730</v>
      </c>
      <c r="B8" s="5" t="s">
        <v>9455</v>
      </c>
      <c r="C8" s="5" t="s">
        <v>9456</v>
      </c>
      <c r="D8" s="5" t="s">
        <v>9457</v>
      </c>
      <c r="E8" s="5" t="s">
        <v>9458</v>
      </c>
    </row>
    <row r="9" customFormat="false" ht="23.85" hidden="false" customHeight="false" outlineLevel="0" collapsed="false">
      <c r="A9" s="5" t="s">
        <v>5518</v>
      </c>
      <c r="B9" s="5" t="s">
        <v>9459</v>
      </c>
      <c r="C9" s="5" t="s">
        <v>9460</v>
      </c>
      <c r="D9" s="5" t="s">
        <v>9461</v>
      </c>
      <c r="E9" s="5" t="s">
        <v>9462</v>
      </c>
    </row>
    <row r="10" customFormat="false" ht="15" hidden="false" customHeight="false" outlineLevel="0" collapsed="false">
      <c r="A10" s="5" t="s">
        <v>7250</v>
      </c>
      <c r="B10" s="5" t="s">
        <v>9463</v>
      </c>
      <c r="C10" s="5" t="s">
        <v>9464</v>
      </c>
      <c r="D10" s="5" t="s">
        <v>9465</v>
      </c>
      <c r="E10" s="5" t="s">
        <v>9466</v>
      </c>
    </row>
    <row r="11" customFormat="false" ht="23.85" hidden="false" customHeight="false" outlineLevel="0" collapsed="false">
      <c r="A11" s="5" t="s">
        <v>8976</v>
      </c>
      <c r="B11" s="5" t="s">
        <v>9467</v>
      </c>
      <c r="C11" s="5" t="s">
        <v>9468</v>
      </c>
      <c r="D11" s="5" t="s">
        <v>9469</v>
      </c>
      <c r="E11" s="5" t="s">
        <v>9470</v>
      </c>
    </row>
    <row r="12" customFormat="false" ht="23.85" hidden="false" customHeight="false" outlineLevel="0" collapsed="false">
      <c r="A12" s="5" t="s">
        <v>8885</v>
      </c>
      <c r="B12" s="5" t="s">
        <v>9471</v>
      </c>
      <c r="C12" s="5" t="s">
        <v>9472</v>
      </c>
      <c r="D12" s="5" t="s">
        <v>9473</v>
      </c>
      <c r="E12" s="5" t="s">
        <v>9474</v>
      </c>
    </row>
    <row r="13" customFormat="false" ht="23.85" hidden="false" customHeight="false" outlineLevel="0" collapsed="false">
      <c r="A13" s="5" t="s">
        <v>966</v>
      </c>
      <c r="B13" s="5" t="s">
        <v>9475</v>
      </c>
      <c r="C13" s="5" t="s">
        <v>9476</v>
      </c>
      <c r="D13" s="5" t="s">
        <v>9477</v>
      </c>
      <c r="E13" s="5" t="s">
        <v>9478</v>
      </c>
    </row>
    <row r="14" customFormat="false" ht="15" hidden="false" customHeight="false" outlineLevel="0" collapsed="false">
      <c r="A14" s="5" t="s">
        <v>9479</v>
      </c>
      <c r="B14" s="5" t="s">
        <v>9480</v>
      </c>
      <c r="C14" s="5" t="s">
        <v>9481</v>
      </c>
      <c r="D14" s="5" t="s">
        <v>9482</v>
      </c>
      <c r="E14" s="5" t="s">
        <v>9483</v>
      </c>
    </row>
    <row r="15" customFormat="false" ht="15" hidden="false" customHeight="false" outlineLevel="0" collapsed="false">
      <c r="A15" s="5" t="s">
        <v>9484</v>
      </c>
      <c r="B15" s="5" t="s">
        <v>9485</v>
      </c>
      <c r="C15" s="5" t="s">
        <v>9486</v>
      </c>
      <c r="D15" s="5" t="s">
        <v>9487</v>
      </c>
      <c r="E15" s="5" t="s">
        <v>9488</v>
      </c>
    </row>
    <row r="16" customFormat="false" ht="23.85" hidden="false" customHeight="false" outlineLevel="0" collapsed="false">
      <c r="A16" s="5" t="s">
        <v>9489</v>
      </c>
      <c r="B16" s="5" t="s">
        <v>9490</v>
      </c>
      <c r="C16" s="5" t="s">
        <v>9491</v>
      </c>
      <c r="D16" s="5" t="s">
        <v>9492</v>
      </c>
      <c r="E16" s="5" t="s">
        <v>9493</v>
      </c>
    </row>
    <row r="17" customFormat="false" ht="15" hidden="false" customHeight="false" outlineLevel="0" collapsed="false">
      <c r="A17" s="5" t="s">
        <v>9494</v>
      </c>
      <c r="B17" s="5" t="s">
        <v>9495</v>
      </c>
      <c r="C17" s="5" t="s">
        <v>9496</v>
      </c>
      <c r="D17" s="5" t="s">
        <v>9497</v>
      </c>
      <c r="E17" s="5" t="s">
        <v>9498</v>
      </c>
    </row>
    <row r="18" customFormat="false" ht="23.85" hidden="false" customHeight="false" outlineLevel="0" collapsed="false">
      <c r="A18" s="5" t="s">
        <v>5295</v>
      </c>
      <c r="B18" s="5" t="s">
        <v>9499</v>
      </c>
      <c r="C18" s="5" t="s">
        <v>9500</v>
      </c>
      <c r="D18" s="5" t="s">
        <v>9501</v>
      </c>
      <c r="E18" s="5" t="s">
        <v>9502</v>
      </c>
    </row>
    <row r="19" customFormat="false" ht="15" hidden="false" customHeight="false" outlineLevel="0" collapsed="false">
      <c r="A19" s="5" t="s">
        <v>7445</v>
      </c>
      <c r="B19" s="5" t="s">
        <v>9503</v>
      </c>
      <c r="C19" s="5" t="s">
        <v>9504</v>
      </c>
      <c r="D19" s="5" t="s">
        <v>9505</v>
      </c>
      <c r="E19" s="5" t="s">
        <v>9506</v>
      </c>
    </row>
    <row r="20" customFormat="false" ht="15" hidden="false" customHeight="false" outlineLevel="0" collapsed="false">
      <c r="A20" s="5" t="s">
        <v>7400</v>
      </c>
      <c r="B20" s="5" t="s">
        <v>9507</v>
      </c>
      <c r="C20" s="5" t="s">
        <v>9508</v>
      </c>
      <c r="D20" s="5" t="s">
        <v>9509</v>
      </c>
      <c r="E20" s="5" t="s">
        <v>9510</v>
      </c>
    </row>
    <row r="21" customFormat="false" ht="23.85" hidden="false" customHeight="false" outlineLevel="0" collapsed="false">
      <c r="A21" s="5" t="s">
        <v>9511</v>
      </c>
      <c r="B21" s="5" t="s">
        <v>9512</v>
      </c>
      <c r="C21" s="5" t="s">
        <v>9513</v>
      </c>
      <c r="D21" s="5" t="s">
        <v>9514</v>
      </c>
      <c r="E21" s="5" t="s">
        <v>9515</v>
      </c>
    </row>
    <row r="22" customFormat="false" ht="23.85" hidden="false" customHeight="false" outlineLevel="0" collapsed="false">
      <c r="A22" s="5" t="s">
        <v>7388</v>
      </c>
      <c r="B22" s="5" t="s">
        <v>9516</v>
      </c>
      <c r="C22" s="5" t="s">
        <v>9517</v>
      </c>
      <c r="D22" s="5" t="s">
        <v>9518</v>
      </c>
      <c r="E22" s="5" t="s">
        <v>9519</v>
      </c>
    </row>
    <row r="23" customFormat="false" ht="23.85" hidden="false" customHeight="false" outlineLevel="0" collapsed="false">
      <c r="A23" s="5" t="s">
        <v>2869</v>
      </c>
      <c r="B23" s="5" t="s">
        <v>9520</v>
      </c>
      <c r="C23" s="5" t="s">
        <v>9521</v>
      </c>
      <c r="D23" s="5" t="s">
        <v>9522</v>
      </c>
      <c r="E23" s="5" t="s">
        <v>9523</v>
      </c>
    </row>
    <row r="24" customFormat="false" ht="23.85" hidden="false" customHeight="false" outlineLevel="0" collapsed="false">
      <c r="A24" s="5" t="s">
        <v>9524</v>
      </c>
      <c r="B24" s="5" t="s">
        <v>9525</v>
      </c>
      <c r="C24" s="5" t="s">
        <v>9526</v>
      </c>
      <c r="D24" s="5" t="s">
        <v>9527</v>
      </c>
      <c r="E24" s="5" t="s">
        <v>9528</v>
      </c>
    </row>
    <row r="25" customFormat="false" ht="23.85" hidden="false" customHeight="false" outlineLevel="0" collapsed="false">
      <c r="A25" s="5" t="s">
        <v>9529</v>
      </c>
      <c r="B25" s="5" t="s">
        <v>9530</v>
      </c>
      <c r="C25" s="5" t="s">
        <v>9531</v>
      </c>
      <c r="D25" s="5" t="s">
        <v>9532</v>
      </c>
      <c r="E25" s="5" t="s">
        <v>9533</v>
      </c>
    </row>
    <row r="26" customFormat="false" ht="23.85" hidden="false" customHeight="false" outlineLevel="0" collapsed="false">
      <c r="A26" s="5" t="s">
        <v>9534</v>
      </c>
      <c r="B26" s="5" t="s">
        <v>9535</v>
      </c>
      <c r="C26" s="5" t="s">
        <v>9536</v>
      </c>
      <c r="D26" s="5" t="s">
        <v>9537</v>
      </c>
      <c r="E26" s="5" t="s">
        <v>9538</v>
      </c>
    </row>
    <row r="27" customFormat="false" ht="23.85" hidden="false" customHeight="false" outlineLevel="0" collapsed="false">
      <c r="A27" s="5" t="s">
        <v>683</v>
      </c>
      <c r="B27" s="5" t="s">
        <v>9539</v>
      </c>
      <c r="C27" s="5" t="s">
        <v>9540</v>
      </c>
      <c r="D27" s="5" t="s">
        <v>9541</v>
      </c>
      <c r="E27" s="5" t="s">
        <v>9542</v>
      </c>
    </row>
    <row r="28" customFormat="false" ht="23.85" hidden="false" customHeight="false" outlineLevel="0" collapsed="false">
      <c r="A28" s="5" t="s">
        <v>6268</v>
      </c>
      <c r="B28" s="5" t="s">
        <v>9543</v>
      </c>
      <c r="C28" s="5" t="s">
        <v>9544</v>
      </c>
      <c r="D28" s="5" t="s">
        <v>9545</v>
      </c>
      <c r="E28" s="5" t="s">
        <v>9546</v>
      </c>
    </row>
    <row r="29" customFormat="false" ht="15" hidden="false" customHeight="false" outlineLevel="0" collapsed="false">
      <c r="A29" s="5" t="s">
        <v>9547</v>
      </c>
      <c r="B29" s="5" t="s">
        <v>9548</v>
      </c>
      <c r="C29" s="5" t="s">
        <v>9549</v>
      </c>
      <c r="D29" s="5" t="s">
        <v>9550</v>
      </c>
      <c r="E29" s="5" t="s">
        <v>9551</v>
      </c>
    </row>
    <row r="30" customFormat="false" ht="15" hidden="false" customHeight="false" outlineLevel="0" collapsed="false">
      <c r="A30" s="5" t="s">
        <v>231</v>
      </c>
      <c r="B30" s="5" t="s">
        <v>9552</v>
      </c>
      <c r="C30" s="5" t="s">
        <v>9553</v>
      </c>
      <c r="D30" s="5" t="s">
        <v>9554</v>
      </c>
      <c r="E30" s="5" t="s">
        <v>9555</v>
      </c>
    </row>
    <row r="31" customFormat="false" ht="15" hidden="false" customHeight="false" outlineLevel="0" collapsed="false">
      <c r="A31" s="5" t="s">
        <v>7262</v>
      </c>
      <c r="B31" s="5" t="s">
        <v>9556</v>
      </c>
      <c r="C31" s="5" t="s">
        <v>9557</v>
      </c>
      <c r="D31" s="5" t="s">
        <v>9558</v>
      </c>
      <c r="E31" s="5" t="s">
        <v>9559</v>
      </c>
    </row>
    <row r="32" customFormat="false" ht="15" hidden="false" customHeight="false" outlineLevel="0" collapsed="false">
      <c r="A32" s="5" t="s">
        <v>1681</v>
      </c>
      <c r="B32" s="5" t="s">
        <v>9560</v>
      </c>
      <c r="C32" s="5" t="s">
        <v>9561</v>
      </c>
      <c r="D32" s="5" t="s">
        <v>9562</v>
      </c>
      <c r="E32" s="5" t="s">
        <v>9563</v>
      </c>
    </row>
    <row r="33" customFormat="false" ht="23.85" hidden="false" customHeight="false" outlineLevel="0" collapsed="false">
      <c r="A33" s="5" t="s">
        <v>455</v>
      </c>
      <c r="B33" s="5" t="s">
        <v>9564</v>
      </c>
      <c r="C33" s="5" t="s">
        <v>9565</v>
      </c>
      <c r="D33" s="5" t="s">
        <v>9566</v>
      </c>
      <c r="E33" s="5" t="s">
        <v>9567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6"/>
    <col collapsed="false" customWidth="true" hidden="false" outlineLevel="0" max="5" min="5" style="0" width="20"/>
    <col collapsed="false" customWidth="true" hidden="false" outlineLevel="0" max="6" min="6" style="0" width="30"/>
    <col collapsed="false" customWidth="true" hidden="false" outlineLevel="0" max="7" min="7" style="0" width="14"/>
    <col collapsed="false" customWidth="true" hidden="false" outlineLevel="0" max="9" min="8" style="0" width="10"/>
  </cols>
  <sheetData>
    <row r="1" customFormat="false" ht="31.5" hidden="false" customHeight="true" outlineLevel="0" collapsed="false">
      <c r="A1" s="4" t="s">
        <v>101</v>
      </c>
      <c r="B1" s="4" t="s">
        <v>100</v>
      </c>
      <c r="C1" s="4" t="s">
        <v>9264</v>
      </c>
      <c r="D1" s="4" t="s">
        <v>9568</v>
      </c>
      <c r="E1" s="4" t="s">
        <v>9569</v>
      </c>
      <c r="F1" s="4" t="s">
        <v>9570</v>
      </c>
      <c r="G1" s="4" t="s">
        <v>9571</v>
      </c>
      <c r="H1" s="4" t="s">
        <v>155</v>
      </c>
      <c r="I1" s="4" t="s">
        <v>185</v>
      </c>
    </row>
    <row r="2" customFormat="false" ht="15" hidden="false" customHeight="false" outlineLevel="0" collapsed="false">
      <c r="A2" s="6" t="s">
        <v>489</v>
      </c>
      <c r="B2" s="6" t="s">
        <v>488</v>
      </c>
      <c r="C2" s="6" t="n">
        <f aca="false">COUNTIF('Rosetta Stone'!$D:$D,A2)</f>
        <v>29</v>
      </c>
      <c r="D2" s="6" t="n">
        <f aca="false">COUNTIFS('Rosetta Stone'!$D:$D,A2,'Rosetta Stone'!$L:$L,"Tier 1 - OT Core (mandatory)")</f>
        <v>18</v>
      </c>
      <c r="E2" s="6" t="n">
        <f aca="false">COUNTIFS('Rosetta Stone'!$D:$D,A2,'Rosetta Stone'!$L:$L,"Tier 2 - Converged IT/OT enterprise baseline")</f>
        <v>5</v>
      </c>
      <c r="F2" s="6" t="n">
        <f aca="false">COUNTIFS('Rosetta Stone'!$D:$D,A2,'Rosetta Stone'!$L:$L,"Tier 3 - AMI endpoint, embedded technology &amp; supply chain")</f>
        <v>4</v>
      </c>
      <c r="G2" s="6" t="n">
        <f aca="false">COUNTIFS('Rosetta Stone'!$D:$D,A2,'Rosetta Stone'!$L:$L,"Tier 4 - Privacy (customer energy usage data)")</f>
        <v>2</v>
      </c>
      <c r="H2" s="6" t="n">
        <f aca="false">COUNTIFS('Rosetta Stone'!$D:$D,A2,'Rosetta Stone'!$M:$M,"Basic")</f>
        <v>18</v>
      </c>
      <c r="I2" s="6" t="n">
        <f aca="false">COUNTIFS('Rosetta Stone'!$D:$D,A2,'Rosetta Stone'!$M:$M,"Enhanced")</f>
        <v>11</v>
      </c>
    </row>
    <row r="3" customFormat="false" ht="15" hidden="false" customHeight="false" outlineLevel="0" collapsed="false">
      <c r="A3" s="6" t="s">
        <v>864</v>
      </c>
      <c r="B3" s="6" t="s">
        <v>863</v>
      </c>
      <c r="C3" s="6" t="n">
        <f aca="false">COUNTIF('Rosetta Stone'!$D:$D,A3)</f>
        <v>41</v>
      </c>
      <c r="D3" s="6" t="n">
        <f aca="false">COUNTIFS('Rosetta Stone'!$D:$D,A3,'Rosetta Stone'!$L:$L,"Tier 1 - OT Core (mandatory)")</f>
        <v>34</v>
      </c>
      <c r="E3" s="6" t="n">
        <f aca="false">COUNTIFS('Rosetta Stone'!$D:$D,A3,'Rosetta Stone'!$L:$L,"Tier 2 - Converged IT/OT enterprise baseline")</f>
        <v>7</v>
      </c>
      <c r="F3" s="6" t="n">
        <f aca="false">COUNTIFS('Rosetta Stone'!$D:$D,A3,'Rosetta Stone'!$L:$L,"Tier 3 - AMI endpoint, embedded technology &amp; supply chain")</f>
        <v>0</v>
      </c>
      <c r="G3" s="6" t="n">
        <f aca="false">COUNTIFS('Rosetta Stone'!$D:$D,A3,'Rosetta Stone'!$L:$L,"Tier 4 - Privacy (customer energy usage data)")</f>
        <v>0</v>
      </c>
      <c r="H3" s="6" t="n">
        <f aca="false">COUNTIFS('Rosetta Stone'!$D:$D,A3,'Rosetta Stone'!$M:$M,"Basic")</f>
        <v>34</v>
      </c>
      <c r="I3" s="6" t="n">
        <f aca="false">COUNTIFS('Rosetta Stone'!$D:$D,A3,'Rosetta Stone'!$M:$M,"Enhanced")</f>
        <v>7</v>
      </c>
    </row>
    <row r="4" customFormat="false" ht="15" hidden="false" customHeight="false" outlineLevel="0" collapsed="false">
      <c r="A4" s="6" t="s">
        <v>1337</v>
      </c>
      <c r="B4" s="6" t="s">
        <v>1336</v>
      </c>
      <c r="C4" s="6" t="n">
        <f aca="false">COUNTIF('Rosetta Stone'!$D:$D,A4)</f>
        <v>6</v>
      </c>
      <c r="D4" s="6" t="n">
        <f aca="false">COUNTIFS('Rosetta Stone'!$D:$D,A4,'Rosetta Stone'!$L:$L,"Tier 1 - OT Core (mandatory)")</f>
        <v>3</v>
      </c>
      <c r="E4" s="6" t="n">
        <f aca="false">COUNTIFS('Rosetta Stone'!$D:$D,A4,'Rosetta Stone'!$L:$L,"Tier 2 - Converged IT/OT enterprise baseline")</f>
        <v>2</v>
      </c>
      <c r="F4" s="6" t="n">
        <f aca="false">COUNTIFS('Rosetta Stone'!$D:$D,A4,'Rosetta Stone'!$L:$L,"Tier 3 - AMI endpoint, embedded technology &amp; supply chain")</f>
        <v>1</v>
      </c>
      <c r="G4" s="6" t="n">
        <f aca="false">COUNTIFS('Rosetta Stone'!$D:$D,A4,'Rosetta Stone'!$L:$L,"Tier 4 - Privacy (customer energy usage data)")</f>
        <v>0</v>
      </c>
      <c r="H4" s="6" t="n">
        <f aca="false">COUNTIFS('Rosetta Stone'!$D:$D,A4,'Rosetta Stone'!$M:$M,"Basic")</f>
        <v>3</v>
      </c>
      <c r="I4" s="6" t="n">
        <f aca="false">COUNTIFS('Rosetta Stone'!$D:$D,A4,'Rosetta Stone'!$M:$M,"Enhanced")</f>
        <v>3</v>
      </c>
    </row>
    <row r="5" customFormat="false" ht="15" hidden="false" customHeight="false" outlineLevel="0" collapsed="false">
      <c r="A5" s="6" t="s">
        <v>1807</v>
      </c>
      <c r="B5" s="6" t="s">
        <v>1806</v>
      </c>
      <c r="C5" s="6" t="n">
        <f aca="false">COUNTIF('Rosetta Stone'!$D:$D,A5)</f>
        <v>20</v>
      </c>
      <c r="D5" s="6" t="n">
        <f aca="false">COUNTIFS('Rosetta Stone'!$D:$D,A5,'Rosetta Stone'!$L:$L,"Tier 1 - OT Core (mandatory)")</f>
        <v>18</v>
      </c>
      <c r="E5" s="6" t="n">
        <f aca="false">COUNTIFS('Rosetta Stone'!$D:$D,A5,'Rosetta Stone'!$L:$L,"Tier 2 - Converged IT/OT enterprise baseline")</f>
        <v>1</v>
      </c>
      <c r="F5" s="6" t="n">
        <f aca="false">COUNTIFS('Rosetta Stone'!$D:$D,A5,'Rosetta Stone'!$L:$L,"Tier 3 - AMI endpoint, embedded technology &amp; supply chain")</f>
        <v>1</v>
      </c>
      <c r="G5" s="6" t="n">
        <f aca="false">COUNTIFS('Rosetta Stone'!$D:$D,A5,'Rosetta Stone'!$L:$L,"Tier 4 - Privacy (customer energy usage data)")</f>
        <v>0</v>
      </c>
      <c r="H5" s="6" t="n">
        <f aca="false">COUNTIFS('Rosetta Stone'!$D:$D,A5,'Rosetta Stone'!$M:$M,"Basic")</f>
        <v>18</v>
      </c>
      <c r="I5" s="6" t="n">
        <f aca="false">COUNTIFS('Rosetta Stone'!$D:$D,A5,'Rosetta Stone'!$M:$M,"Enhanced")</f>
        <v>2</v>
      </c>
    </row>
    <row r="6" customFormat="false" ht="15" hidden="false" customHeight="false" outlineLevel="0" collapsed="false">
      <c r="A6" s="6" t="s">
        <v>1409</v>
      </c>
      <c r="B6" s="6" t="s">
        <v>1408</v>
      </c>
      <c r="C6" s="6" t="n">
        <f aca="false">COUNTIF('Rosetta Stone'!$D:$D,A6)</f>
        <v>15</v>
      </c>
      <c r="D6" s="6" t="n">
        <f aca="false">COUNTIFS('Rosetta Stone'!$D:$D,A6,'Rosetta Stone'!$L:$L,"Tier 1 - OT Core (mandatory)")</f>
        <v>11</v>
      </c>
      <c r="E6" s="6" t="n">
        <f aca="false">COUNTIFS('Rosetta Stone'!$D:$D,A6,'Rosetta Stone'!$L:$L,"Tier 2 - Converged IT/OT enterprise baseline")</f>
        <v>3</v>
      </c>
      <c r="F6" s="6" t="n">
        <f aca="false">COUNTIFS('Rosetta Stone'!$D:$D,A6,'Rosetta Stone'!$L:$L,"Tier 3 - AMI endpoint, embedded technology &amp; supply chain")</f>
        <v>1</v>
      </c>
      <c r="G6" s="6" t="n">
        <f aca="false">COUNTIFS('Rosetta Stone'!$D:$D,A6,'Rosetta Stone'!$L:$L,"Tier 4 - Privacy (customer energy usage data)")</f>
        <v>0</v>
      </c>
      <c r="H6" s="6" t="n">
        <f aca="false">COUNTIFS('Rosetta Stone'!$D:$D,A6,'Rosetta Stone'!$M:$M,"Basic")</f>
        <v>11</v>
      </c>
      <c r="I6" s="6" t="n">
        <f aca="false">COUNTIFS('Rosetta Stone'!$D:$D,A6,'Rosetta Stone'!$M:$M,"Enhanced")</f>
        <v>4</v>
      </c>
    </row>
    <row r="7" customFormat="false" ht="15" hidden="false" customHeight="false" outlineLevel="0" collapsed="false">
      <c r="A7" s="6" t="s">
        <v>1596</v>
      </c>
      <c r="B7" s="6" t="s">
        <v>1595</v>
      </c>
      <c r="C7" s="6" t="n">
        <f aca="false">COUNTIF('Rosetta Stone'!$D:$D,A7)</f>
        <v>7</v>
      </c>
      <c r="D7" s="6" t="n">
        <f aca="false">COUNTIFS('Rosetta Stone'!$D:$D,A7,'Rosetta Stone'!$L:$L,"Tier 1 - OT Core (mandatory)")</f>
        <v>1</v>
      </c>
      <c r="E7" s="6" t="n">
        <f aca="false">COUNTIFS('Rosetta Stone'!$D:$D,A7,'Rosetta Stone'!$L:$L,"Tier 2 - Converged IT/OT enterprise baseline")</f>
        <v>0</v>
      </c>
      <c r="F7" s="6" t="n">
        <f aca="false">COUNTIFS('Rosetta Stone'!$D:$D,A7,'Rosetta Stone'!$L:$L,"Tier 3 - AMI endpoint, embedded technology &amp; supply chain")</f>
        <v>5</v>
      </c>
      <c r="G7" s="6" t="n">
        <f aca="false">COUNTIFS('Rosetta Stone'!$D:$D,A7,'Rosetta Stone'!$L:$L,"Tier 4 - Privacy (customer energy usage data)")</f>
        <v>1</v>
      </c>
      <c r="H7" s="6" t="n">
        <f aca="false">COUNTIFS('Rosetta Stone'!$D:$D,A7,'Rosetta Stone'!$M:$M,"Basic")</f>
        <v>1</v>
      </c>
      <c r="I7" s="6" t="n">
        <f aca="false">COUNTIFS('Rosetta Stone'!$D:$D,A7,'Rosetta Stone'!$M:$M,"Enhanced")</f>
        <v>6</v>
      </c>
    </row>
    <row r="8" customFormat="false" ht="15" hidden="false" customHeight="false" outlineLevel="0" collapsed="false">
      <c r="A8" s="6" t="s">
        <v>1668</v>
      </c>
      <c r="B8" s="6" t="s">
        <v>1667</v>
      </c>
      <c r="C8" s="6" t="n">
        <f aca="false">COUNTIF('Rosetta Stone'!$D:$D,A8)</f>
        <v>10</v>
      </c>
      <c r="D8" s="6" t="n">
        <f aca="false">COUNTIFS('Rosetta Stone'!$D:$D,A8,'Rosetta Stone'!$L:$L,"Tier 1 - OT Core (mandatory)")</f>
        <v>6</v>
      </c>
      <c r="E8" s="6" t="n">
        <f aca="false">COUNTIFS('Rosetta Stone'!$D:$D,A8,'Rosetta Stone'!$L:$L,"Tier 2 - Converged IT/OT enterprise baseline")</f>
        <v>3</v>
      </c>
      <c r="F8" s="6" t="n">
        <f aca="false">COUNTIFS('Rosetta Stone'!$D:$D,A8,'Rosetta Stone'!$L:$L,"Tier 3 - AMI endpoint, embedded technology &amp; supply chain")</f>
        <v>1</v>
      </c>
      <c r="G8" s="6" t="n">
        <f aca="false">COUNTIFS('Rosetta Stone'!$D:$D,A8,'Rosetta Stone'!$L:$L,"Tier 4 - Privacy (customer energy usage data)")</f>
        <v>0</v>
      </c>
      <c r="H8" s="6" t="n">
        <f aca="false">COUNTIFS('Rosetta Stone'!$D:$D,A8,'Rosetta Stone'!$M:$M,"Basic")</f>
        <v>6</v>
      </c>
      <c r="I8" s="6" t="n">
        <f aca="false">COUNTIFS('Rosetta Stone'!$D:$D,A8,'Rosetta Stone'!$M:$M,"Enhanced")</f>
        <v>4</v>
      </c>
    </row>
    <row r="9" customFormat="false" ht="15" hidden="false" customHeight="false" outlineLevel="0" collapsed="false">
      <c r="A9" s="6" t="s">
        <v>2603</v>
      </c>
      <c r="B9" s="6" t="s">
        <v>2602</v>
      </c>
      <c r="C9" s="6" t="n">
        <f aca="false">COUNTIF('Rosetta Stone'!$D:$D,A9)</f>
        <v>15</v>
      </c>
      <c r="D9" s="6" t="n">
        <f aca="false">COUNTIFS('Rosetta Stone'!$D:$D,A9,'Rosetta Stone'!$L:$L,"Tier 1 - OT Core (mandatory)")</f>
        <v>11</v>
      </c>
      <c r="E9" s="6" t="n">
        <f aca="false">COUNTIFS('Rosetta Stone'!$D:$D,A9,'Rosetta Stone'!$L:$L,"Tier 2 - Converged IT/OT enterprise baseline")</f>
        <v>0</v>
      </c>
      <c r="F9" s="6" t="n">
        <f aca="false">COUNTIFS('Rosetta Stone'!$D:$D,A9,'Rosetta Stone'!$L:$L,"Tier 3 - AMI endpoint, embedded technology &amp; supply chain")</f>
        <v>1</v>
      </c>
      <c r="G9" s="6" t="n">
        <f aca="false">COUNTIFS('Rosetta Stone'!$D:$D,A9,'Rosetta Stone'!$L:$L,"Tier 4 - Privacy (customer energy usage data)")</f>
        <v>3</v>
      </c>
      <c r="H9" s="6" t="n">
        <f aca="false">COUNTIFS('Rosetta Stone'!$D:$D,A9,'Rosetta Stone'!$M:$M,"Basic")</f>
        <v>11</v>
      </c>
      <c r="I9" s="6" t="n">
        <f aca="false">COUNTIFS('Rosetta Stone'!$D:$D,A9,'Rosetta Stone'!$M:$M,"Enhanced")</f>
        <v>4</v>
      </c>
    </row>
    <row r="10" customFormat="false" ht="15" hidden="false" customHeight="false" outlineLevel="0" collapsed="false">
      <c r="A10" s="6" t="s">
        <v>2795</v>
      </c>
      <c r="B10" s="6" t="s">
        <v>2794</v>
      </c>
      <c r="C10" s="6" t="n">
        <f aca="false">COUNTIF('Rosetta Stone'!$D:$D,A10)</f>
        <v>45</v>
      </c>
      <c r="D10" s="6" t="n">
        <f aca="false">COUNTIFS('Rosetta Stone'!$D:$D,A10,'Rosetta Stone'!$L:$L,"Tier 1 - OT Core (mandatory)")</f>
        <v>27</v>
      </c>
      <c r="E10" s="6" t="n">
        <f aca="false">COUNTIFS('Rosetta Stone'!$D:$D,A10,'Rosetta Stone'!$L:$L,"Tier 2 - Converged IT/OT enterprise baseline")</f>
        <v>5</v>
      </c>
      <c r="F10" s="6" t="n">
        <f aca="false">COUNTIFS('Rosetta Stone'!$D:$D,A10,'Rosetta Stone'!$L:$L,"Tier 3 - AMI endpoint, embedded technology &amp; supply chain")</f>
        <v>5</v>
      </c>
      <c r="G10" s="6" t="n">
        <f aca="false">COUNTIFS('Rosetta Stone'!$D:$D,A10,'Rosetta Stone'!$L:$L,"Tier 4 - Privacy (customer energy usage data)")</f>
        <v>8</v>
      </c>
      <c r="H10" s="6" t="n">
        <f aca="false">COUNTIFS('Rosetta Stone'!$D:$D,A10,'Rosetta Stone'!$M:$M,"Basic")</f>
        <v>27</v>
      </c>
      <c r="I10" s="6" t="n">
        <f aca="false">COUNTIFS('Rosetta Stone'!$D:$D,A10,'Rosetta Stone'!$M:$M,"Enhanced")</f>
        <v>18</v>
      </c>
    </row>
    <row r="11" customFormat="false" ht="15" hidden="false" customHeight="false" outlineLevel="0" collapsed="false">
      <c r="A11" s="6" t="s">
        <v>79</v>
      </c>
      <c r="B11" s="6" t="s">
        <v>1585</v>
      </c>
      <c r="C11" s="6" t="n">
        <f aca="false">COUNTIF('Rosetta Stone'!$D:$D,A11)</f>
        <v>19</v>
      </c>
      <c r="D11" s="6" t="n">
        <f aca="false">COUNTIFS('Rosetta Stone'!$D:$D,A11,'Rosetta Stone'!$L:$L,"Tier 1 - OT Core (mandatory)")</f>
        <v>7</v>
      </c>
      <c r="E11" s="6" t="n">
        <f aca="false">COUNTIFS('Rosetta Stone'!$D:$D,A11,'Rosetta Stone'!$L:$L,"Tier 2 - Converged IT/OT enterprise baseline")</f>
        <v>0</v>
      </c>
      <c r="F11" s="6" t="n">
        <f aca="false">COUNTIFS('Rosetta Stone'!$D:$D,A11,'Rosetta Stone'!$L:$L,"Tier 3 - AMI endpoint, embedded technology &amp; supply chain")</f>
        <v>12</v>
      </c>
      <c r="G11" s="6" t="n">
        <f aca="false">COUNTIFS('Rosetta Stone'!$D:$D,A11,'Rosetta Stone'!$L:$L,"Tier 4 - Privacy (customer energy usage data)")</f>
        <v>0</v>
      </c>
      <c r="H11" s="6" t="n">
        <f aca="false">COUNTIFS('Rosetta Stone'!$D:$D,A11,'Rosetta Stone'!$M:$M,"Basic")</f>
        <v>7</v>
      </c>
      <c r="I11" s="6" t="n">
        <f aca="false">COUNTIFS('Rosetta Stone'!$D:$D,A11,'Rosetta Stone'!$M:$M,"Enhanced")</f>
        <v>12</v>
      </c>
    </row>
    <row r="12" customFormat="false" ht="15" hidden="false" customHeight="false" outlineLevel="0" collapsed="false">
      <c r="A12" s="6" t="s">
        <v>3442</v>
      </c>
      <c r="B12" s="6" t="s">
        <v>3441</v>
      </c>
      <c r="C12" s="6" t="n">
        <f aca="false">COUNTIF('Rosetta Stone'!$D:$D,A12)</f>
        <v>27</v>
      </c>
      <c r="D12" s="6" t="n">
        <f aca="false">COUNTIFS('Rosetta Stone'!$D:$D,A12,'Rosetta Stone'!$L:$L,"Tier 1 - OT Core (mandatory)")</f>
        <v>21</v>
      </c>
      <c r="E12" s="6" t="n">
        <f aca="false">COUNTIFS('Rosetta Stone'!$D:$D,A12,'Rosetta Stone'!$L:$L,"Tier 2 - Converged IT/OT enterprise baseline")</f>
        <v>2</v>
      </c>
      <c r="F12" s="6" t="n">
        <f aca="false">COUNTIFS('Rosetta Stone'!$D:$D,A12,'Rosetta Stone'!$L:$L,"Tier 3 - AMI endpoint, embedded technology &amp; supply chain")</f>
        <v>1</v>
      </c>
      <c r="G12" s="6" t="n">
        <f aca="false">COUNTIFS('Rosetta Stone'!$D:$D,A12,'Rosetta Stone'!$L:$L,"Tier 4 - Privacy (customer energy usage data)")</f>
        <v>3</v>
      </c>
      <c r="H12" s="6" t="n">
        <f aca="false">COUNTIFS('Rosetta Stone'!$D:$D,A12,'Rosetta Stone'!$M:$M,"Basic")</f>
        <v>21</v>
      </c>
      <c r="I12" s="6" t="n">
        <f aca="false">COUNTIFS('Rosetta Stone'!$D:$D,A12,'Rosetta Stone'!$M:$M,"Enhanced")</f>
        <v>6</v>
      </c>
    </row>
    <row r="13" customFormat="false" ht="15" hidden="false" customHeight="false" outlineLevel="0" collapsed="false">
      <c r="A13" s="6" t="s">
        <v>148</v>
      </c>
      <c r="B13" s="6" t="s">
        <v>147</v>
      </c>
      <c r="C13" s="6" t="n">
        <f aca="false">COUNTIF('Rosetta Stone'!$D:$D,A13)</f>
        <v>25</v>
      </c>
      <c r="D13" s="6" t="n">
        <f aca="false">COUNTIFS('Rosetta Stone'!$D:$D,A13,'Rosetta Stone'!$L:$L,"Tier 1 - OT Core (mandatory)")</f>
        <v>13</v>
      </c>
      <c r="E13" s="6" t="n">
        <f aca="false">COUNTIFS('Rosetta Stone'!$D:$D,A13,'Rosetta Stone'!$L:$L,"Tier 2 - Converged IT/OT enterprise baseline")</f>
        <v>8</v>
      </c>
      <c r="F13" s="6" t="n">
        <f aca="false">COUNTIFS('Rosetta Stone'!$D:$D,A13,'Rosetta Stone'!$L:$L,"Tier 3 - AMI endpoint, embedded technology &amp; supply chain")</f>
        <v>2</v>
      </c>
      <c r="G13" s="6" t="n">
        <f aca="false">COUNTIFS('Rosetta Stone'!$D:$D,A13,'Rosetta Stone'!$L:$L,"Tier 4 - Privacy (customer energy usage data)")</f>
        <v>2</v>
      </c>
      <c r="H13" s="6" t="n">
        <f aca="false">COUNTIFS('Rosetta Stone'!$D:$D,A13,'Rosetta Stone'!$M:$M,"Basic")</f>
        <v>13</v>
      </c>
      <c r="I13" s="6" t="n">
        <f aca="false">COUNTIFS('Rosetta Stone'!$D:$D,A13,'Rosetta Stone'!$M:$M,"Enhanced")</f>
        <v>12</v>
      </c>
    </row>
    <row r="14" customFormat="false" ht="15" hidden="false" customHeight="false" outlineLevel="0" collapsed="false">
      <c r="A14" s="6" t="s">
        <v>3724</v>
      </c>
      <c r="B14" s="6" t="s">
        <v>3723</v>
      </c>
      <c r="C14" s="6" t="n">
        <f aca="false">COUNTIF('Rosetta Stone'!$D:$D,A14)</f>
        <v>28</v>
      </c>
      <c r="D14" s="6" t="n">
        <f aca="false">COUNTIFS('Rosetta Stone'!$D:$D,A14,'Rosetta Stone'!$L:$L,"Tier 1 - OT Core (mandatory)")</f>
        <v>19</v>
      </c>
      <c r="E14" s="6" t="n">
        <f aca="false">COUNTIFS('Rosetta Stone'!$D:$D,A14,'Rosetta Stone'!$L:$L,"Tier 2 - Converged IT/OT enterprise baseline")</f>
        <v>8</v>
      </c>
      <c r="F14" s="6" t="n">
        <f aca="false">COUNTIFS('Rosetta Stone'!$D:$D,A14,'Rosetta Stone'!$L:$L,"Tier 3 - AMI endpoint, embedded technology &amp; supply chain")</f>
        <v>0</v>
      </c>
      <c r="G14" s="6" t="n">
        <f aca="false">COUNTIFS('Rosetta Stone'!$D:$D,A14,'Rosetta Stone'!$L:$L,"Tier 4 - Privacy (customer energy usage data)")</f>
        <v>1</v>
      </c>
      <c r="H14" s="6" t="n">
        <f aca="false">COUNTIFS('Rosetta Stone'!$D:$D,A14,'Rosetta Stone'!$M:$M,"Basic")</f>
        <v>19</v>
      </c>
      <c r="I14" s="6" t="n">
        <f aca="false">COUNTIFS('Rosetta Stone'!$D:$D,A14,'Rosetta Stone'!$M:$M,"Enhanced")</f>
        <v>9</v>
      </c>
    </row>
    <row r="15" customFormat="false" ht="15" hidden="false" customHeight="false" outlineLevel="0" collapsed="false">
      <c r="A15" s="6" t="s">
        <v>4044</v>
      </c>
      <c r="B15" s="6" t="s">
        <v>4043</v>
      </c>
      <c r="C15" s="6" t="n">
        <f aca="false">COUNTIF('Rosetta Stone'!$D:$D,A15)</f>
        <v>78</v>
      </c>
      <c r="D15" s="6" t="n">
        <f aca="false">COUNTIFS('Rosetta Stone'!$D:$D,A15,'Rosetta Stone'!$L:$L,"Tier 1 - OT Core (mandatory)")</f>
        <v>70</v>
      </c>
      <c r="E15" s="6" t="n">
        <f aca="false">COUNTIFS('Rosetta Stone'!$D:$D,A15,'Rosetta Stone'!$L:$L,"Tier 2 - Converged IT/OT enterprise baseline")</f>
        <v>1</v>
      </c>
      <c r="F15" s="6" t="n">
        <f aca="false">COUNTIFS('Rosetta Stone'!$D:$D,A15,'Rosetta Stone'!$L:$L,"Tier 3 - AMI endpoint, embedded technology &amp; supply chain")</f>
        <v>2</v>
      </c>
      <c r="G15" s="6" t="n">
        <f aca="false">COUNTIFS('Rosetta Stone'!$D:$D,A15,'Rosetta Stone'!$L:$L,"Tier 4 - Privacy (customer energy usage data)")</f>
        <v>5</v>
      </c>
      <c r="H15" s="6" t="n">
        <f aca="false">COUNTIFS('Rosetta Stone'!$D:$D,A15,'Rosetta Stone'!$M:$M,"Basic")</f>
        <v>70</v>
      </c>
      <c r="I15" s="6" t="n">
        <f aca="false">COUNTIFS('Rosetta Stone'!$D:$D,A15,'Rosetta Stone'!$M:$M,"Enhanced")</f>
        <v>8</v>
      </c>
    </row>
    <row r="16" customFormat="false" ht="15" hidden="false" customHeight="false" outlineLevel="0" collapsed="false">
      <c r="A16" s="6" t="s">
        <v>5256</v>
      </c>
      <c r="B16" s="6" t="s">
        <v>5255</v>
      </c>
      <c r="C16" s="6" t="n">
        <f aca="false">COUNTIF('Rosetta Stone'!$D:$D,A16)</f>
        <v>13</v>
      </c>
      <c r="D16" s="6" t="n">
        <f aca="false">COUNTIFS('Rosetta Stone'!$D:$D,A16,'Rosetta Stone'!$L:$L,"Tier 1 - OT Core (mandatory)")</f>
        <v>12</v>
      </c>
      <c r="E16" s="6" t="n">
        <f aca="false">COUNTIFS('Rosetta Stone'!$D:$D,A16,'Rosetta Stone'!$L:$L,"Tier 2 - Converged IT/OT enterprise baseline")</f>
        <v>1</v>
      </c>
      <c r="F16" s="6" t="n">
        <f aca="false">COUNTIFS('Rosetta Stone'!$D:$D,A16,'Rosetta Stone'!$L:$L,"Tier 3 - AMI endpoint, embedded technology &amp; supply chain")</f>
        <v>0</v>
      </c>
      <c r="G16" s="6" t="n">
        <f aca="false">COUNTIFS('Rosetta Stone'!$D:$D,A16,'Rosetta Stone'!$L:$L,"Tier 4 - Privacy (customer energy usage data)")</f>
        <v>0</v>
      </c>
      <c r="H16" s="6" t="n">
        <f aca="false">COUNTIFS('Rosetta Stone'!$D:$D,A16,'Rosetta Stone'!$M:$M,"Basic")</f>
        <v>12</v>
      </c>
      <c r="I16" s="6" t="n">
        <f aca="false">COUNTIFS('Rosetta Stone'!$D:$D,A16,'Rosetta Stone'!$M:$M,"Enhanced")</f>
        <v>1</v>
      </c>
    </row>
    <row r="17" customFormat="false" ht="15" hidden="false" customHeight="false" outlineLevel="0" collapsed="false">
      <c r="A17" s="6" t="s">
        <v>4876</v>
      </c>
      <c r="B17" s="6" t="s">
        <v>4875</v>
      </c>
      <c r="C17" s="6" t="n">
        <f aca="false">COUNTIF('Rosetta Stone'!$D:$D,A17)</f>
        <v>33</v>
      </c>
      <c r="D17" s="6" t="n">
        <f aca="false">COUNTIFS('Rosetta Stone'!$D:$D,A17,'Rosetta Stone'!$L:$L,"Tier 1 - OT Core (mandatory)")</f>
        <v>23</v>
      </c>
      <c r="E17" s="6" t="n">
        <f aca="false">COUNTIFS('Rosetta Stone'!$D:$D,A17,'Rosetta Stone'!$L:$L,"Tier 2 - Converged IT/OT enterprise baseline")</f>
        <v>5</v>
      </c>
      <c r="F17" s="6" t="n">
        <f aca="false">COUNTIFS('Rosetta Stone'!$D:$D,A17,'Rosetta Stone'!$L:$L,"Tier 3 - AMI endpoint, embedded technology &amp; supply chain")</f>
        <v>2</v>
      </c>
      <c r="G17" s="6" t="n">
        <f aca="false">COUNTIFS('Rosetta Stone'!$D:$D,A17,'Rosetta Stone'!$L:$L,"Tier 4 - Privacy (customer energy usage data)")</f>
        <v>3</v>
      </c>
      <c r="H17" s="6" t="n">
        <f aca="false">COUNTIFS('Rosetta Stone'!$D:$D,A17,'Rosetta Stone'!$M:$M,"Basic")</f>
        <v>23</v>
      </c>
      <c r="I17" s="6" t="n">
        <f aca="false">COUNTIFS('Rosetta Stone'!$D:$D,A17,'Rosetta Stone'!$M:$M,"Enhanced")</f>
        <v>10</v>
      </c>
    </row>
    <row r="18" customFormat="false" ht="15" hidden="false" customHeight="false" outlineLevel="0" collapsed="false">
      <c r="A18" s="6" t="s">
        <v>5578</v>
      </c>
      <c r="B18" s="6" t="s">
        <v>5577</v>
      </c>
      <c r="C18" s="6" t="n">
        <f aca="false">COUNTIF('Rosetta Stone'!$D:$D,A18)</f>
        <v>7</v>
      </c>
      <c r="D18" s="6" t="n">
        <f aca="false">COUNTIFS('Rosetta Stone'!$D:$D,A18,'Rosetta Stone'!$L:$L,"Tier 1 - OT Core (mandatory)")</f>
        <v>4</v>
      </c>
      <c r="E18" s="6" t="n">
        <f aca="false">COUNTIFS('Rosetta Stone'!$D:$D,A18,'Rosetta Stone'!$L:$L,"Tier 2 - Converged IT/OT enterprise baseline")</f>
        <v>0</v>
      </c>
      <c r="F18" s="6" t="n">
        <f aca="false">COUNTIFS('Rosetta Stone'!$D:$D,A18,'Rosetta Stone'!$L:$L,"Tier 3 - AMI endpoint, embedded technology &amp; supply chain")</f>
        <v>3</v>
      </c>
      <c r="G18" s="6" t="n">
        <f aca="false">COUNTIFS('Rosetta Stone'!$D:$D,A18,'Rosetta Stone'!$L:$L,"Tier 4 - Privacy (customer energy usage data)")</f>
        <v>0</v>
      </c>
      <c r="H18" s="6" t="n">
        <f aca="false">COUNTIFS('Rosetta Stone'!$D:$D,A18,'Rosetta Stone'!$M:$M,"Basic")</f>
        <v>4</v>
      </c>
      <c r="I18" s="6" t="n">
        <f aca="false">COUNTIFS('Rosetta Stone'!$D:$D,A18,'Rosetta Stone'!$M:$M,"Enhanced")</f>
        <v>3</v>
      </c>
    </row>
    <row r="19" customFormat="false" ht="15" hidden="false" customHeight="false" outlineLevel="0" collapsed="false">
      <c r="A19" s="6" t="s">
        <v>5416</v>
      </c>
      <c r="B19" s="6" t="s">
        <v>5415</v>
      </c>
      <c r="C19" s="6" t="n">
        <f aca="false">COUNTIF('Rosetta Stone'!$D:$D,A19)</f>
        <v>16</v>
      </c>
      <c r="D19" s="6" t="n">
        <f aca="false">COUNTIFS('Rosetta Stone'!$D:$D,A19,'Rosetta Stone'!$L:$L,"Tier 1 - OT Core (mandatory)")</f>
        <v>14</v>
      </c>
      <c r="E19" s="6" t="n">
        <f aca="false">COUNTIFS('Rosetta Stone'!$D:$D,A19,'Rosetta Stone'!$L:$L,"Tier 2 - Converged IT/OT enterprise baseline")</f>
        <v>1</v>
      </c>
      <c r="F19" s="6" t="n">
        <f aca="false">COUNTIFS('Rosetta Stone'!$D:$D,A19,'Rosetta Stone'!$L:$L,"Tier 3 - AMI endpoint, embedded technology &amp; supply chain")</f>
        <v>1</v>
      </c>
      <c r="G19" s="6" t="n">
        <f aca="false">COUNTIFS('Rosetta Stone'!$D:$D,A19,'Rosetta Stone'!$L:$L,"Tier 4 - Privacy (customer energy usage data)")</f>
        <v>0</v>
      </c>
      <c r="H19" s="6" t="n">
        <f aca="false">COUNTIFS('Rosetta Stone'!$D:$D,A19,'Rosetta Stone'!$M:$M,"Basic")</f>
        <v>14</v>
      </c>
      <c r="I19" s="6" t="n">
        <f aca="false">COUNTIFS('Rosetta Stone'!$D:$D,A19,'Rosetta Stone'!$M:$M,"Enhanced")</f>
        <v>2</v>
      </c>
    </row>
    <row r="20" customFormat="false" ht="15" hidden="false" customHeight="false" outlineLevel="0" collapsed="false">
      <c r="A20" s="6" t="s">
        <v>2065</v>
      </c>
      <c r="B20" s="6" t="s">
        <v>2064</v>
      </c>
      <c r="C20" s="6" t="n">
        <f aca="false">COUNTIF('Rosetta Stone'!$D:$D,A20)</f>
        <v>46</v>
      </c>
      <c r="D20" s="6" t="n">
        <f aca="false">COUNTIFS('Rosetta Stone'!$D:$D,A20,'Rosetta Stone'!$L:$L,"Tier 1 - OT Core (mandatory)")</f>
        <v>31</v>
      </c>
      <c r="E20" s="6" t="n">
        <f aca="false">COUNTIFS('Rosetta Stone'!$D:$D,A20,'Rosetta Stone'!$L:$L,"Tier 2 - Converged IT/OT enterprise baseline")</f>
        <v>8</v>
      </c>
      <c r="F20" s="6" t="n">
        <f aca="false">COUNTIFS('Rosetta Stone'!$D:$D,A20,'Rosetta Stone'!$L:$L,"Tier 3 - AMI endpoint, embedded technology &amp; supply chain")</f>
        <v>2</v>
      </c>
      <c r="G20" s="6" t="n">
        <f aca="false">COUNTIFS('Rosetta Stone'!$D:$D,A20,'Rosetta Stone'!$L:$L,"Tier 4 - Privacy (customer energy usage data)")</f>
        <v>5</v>
      </c>
      <c r="H20" s="6" t="n">
        <f aca="false">COUNTIFS('Rosetta Stone'!$D:$D,A20,'Rosetta Stone'!$M:$M,"Basic")</f>
        <v>31</v>
      </c>
      <c r="I20" s="6" t="n">
        <f aca="false">COUNTIFS('Rosetta Stone'!$D:$D,A20,'Rosetta Stone'!$M:$M,"Enhanced")</f>
        <v>15</v>
      </c>
    </row>
    <row r="21" customFormat="false" ht="15" hidden="false" customHeight="false" outlineLevel="0" collapsed="false">
      <c r="A21" s="6" t="s">
        <v>5641</v>
      </c>
      <c r="B21" s="6" t="s">
        <v>5640</v>
      </c>
      <c r="C21" s="6" t="n">
        <f aca="false">COUNTIF('Rosetta Stone'!$D:$D,A21)</f>
        <v>55</v>
      </c>
      <c r="D21" s="6" t="n">
        <f aca="false">COUNTIFS('Rosetta Stone'!$D:$D,A21,'Rosetta Stone'!$L:$L,"Tier 1 - OT Core (mandatory)")</f>
        <v>45</v>
      </c>
      <c r="E21" s="6" t="n">
        <f aca="false">COUNTIFS('Rosetta Stone'!$D:$D,A21,'Rosetta Stone'!$L:$L,"Tier 2 - Converged IT/OT enterprise baseline")</f>
        <v>3</v>
      </c>
      <c r="F21" s="6" t="n">
        <f aca="false">COUNTIFS('Rosetta Stone'!$D:$D,A21,'Rosetta Stone'!$L:$L,"Tier 3 - AMI endpoint, embedded technology &amp; supply chain")</f>
        <v>5</v>
      </c>
      <c r="G21" s="6" t="n">
        <f aca="false">COUNTIFS('Rosetta Stone'!$D:$D,A21,'Rosetta Stone'!$L:$L,"Tier 4 - Privacy (customer energy usage data)")</f>
        <v>2</v>
      </c>
      <c r="H21" s="6" t="n">
        <f aca="false">COUNTIFS('Rosetta Stone'!$D:$D,A21,'Rosetta Stone'!$M:$M,"Basic")</f>
        <v>45</v>
      </c>
      <c r="I21" s="6" t="n">
        <f aca="false">COUNTIFS('Rosetta Stone'!$D:$D,A21,'Rosetta Stone'!$M:$M,"Enhanced")</f>
        <v>10</v>
      </c>
    </row>
    <row r="22" customFormat="false" ht="15" hidden="false" customHeight="false" outlineLevel="0" collapsed="false">
      <c r="A22" s="6" t="s">
        <v>7833</v>
      </c>
      <c r="B22" s="6" t="s">
        <v>7832</v>
      </c>
      <c r="C22" s="6" t="n">
        <f aca="false">COUNTIF('Rosetta Stone'!$D:$D,A22)</f>
        <v>5</v>
      </c>
      <c r="D22" s="6" t="n">
        <f aca="false">COUNTIFS('Rosetta Stone'!$D:$D,A22,'Rosetta Stone'!$L:$L,"Tier 1 - OT Core (mandatory)")</f>
        <v>1</v>
      </c>
      <c r="E22" s="6" t="n">
        <f aca="false">COUNTIFS('Rosetta Stone'!$D:$D,A22,'Rosetta Stone'!$L:$L,"Tier 2 - Converged IT/OT enterprise baseline")</f>
        <v>1</v>
      </c>
      <c r="F22" s="6" t="n">
        <f aca="false">COUNTIFS('Rosetta Stone'!$D:$D,A22,'Rosetta Stone'!$L:$L,"Tier 3 - AMI endpoint, embedded technology &amp; supply chain")</f>
        <v>1</v>
      </c>
      <c r="G22" s="6" t="n">
        <f aca="false">COUNTIFS('Rosetta Stone'!$D:$D,A22,'Rosetta Stone'!$L:$L,"Tier 4 - Privacy (customer energy usage data)")</f>
        <v>2</v>
      </c>
      <c r="H22" s="6" t="n">
        <f aca="false">COUNTIFS('Rosetta Stone'!$D:$D,A22,'Rosetta Stone'!$M:$M,"Basic")</f>
        <v>1</v>
      </c>
      <c r="I22" s="6" t="n">
        <f aca="false">COUNTIFS('Rosetta Stone'!$D:$D,A22,'Rosetta Stone'!$M:$M,"Enhanced")</f>
        <v>4</v>
      </c>
    </row>
    <row r="23" customFormat="false" ht="15" hidden="false" customHeight="false" outlineLevel="0" collapsed="false">
      <c r="A23" s="6" t="s">
        <v>6255</v>
      </c>
      <c r="B23" s="6" t="s">
        <v>6254</v>
      </c>
      <c r="C23" s="6" t="n">
        <f aca="false">COUNTIF('Rosetta Stone'!$D:$D,A23)</f>
        <v>36</v>
      </c>
      <c r="D23" s="6" t="n">
        <f aca="false">COUNTIFS('Rosetta Stone'!$D:$D,A23,'Rosetta Stone'!$L:$L,"Tier 1 - OT Core (mandatory)")</f>
        <v>29</v>
      </c>
      <c r="E23" s="6" t="n">
        <f aca="false">COUNTIFS('Rosetta Stone'!$D:$D,A23,'Rosetta Stone'!$L:$L,"Tier 2 - Converged IT/OT enterprise baseline")</f>
        <v>1</v>
      </c>
      <c r="F23" s="6" t="n">
        <f aca="false">COUNTIFS('Rosetta Stone'!$D:$D,A23,'Rosetta Stone'!$L:$L,"Tier 3 - AMI endpoint, embedded technology &amp; supply chain")</f>
        <v>0</v>
      </c>
      <c r="G23" s="6" t="n">
        <f aca="false">COUNTIFS('Rosetta Stone'!$D:$D,A23,'Rosetta Stone'!$L:$L,"Tier 4 - Privacy (customer energy usage data)")</f>
        <v>6</v>
      </c>
      <c r="H23" s="6" t="n">
        <f aca="false">COUNTIFS('Rosetta Stone'!$D:$D,A23,'Rosetta Stone'!$M:$M,"Basic")</f>
        <v>29</v>
      </c>
      <c r="I23" s="6" t="n">
        <f aca="false">COUNTIFS('Rosetta Stone'!$D:$D,A23,'Rosetta Stone'!$M:$M,"Enhanced")</f>
        <v>7</v>
      </c>
    </row>
    <row r="24" customFormat="false" ht="15" hidden="false" customHeight="false" outlineLevel="0" collapsed="false">
      <c r="A24" s="6" t="s">
        <v>6652</v>
      </c>
      <c r="B24" s="6" t="s">
        <v>6651</v>
      </c>
      <c r="C24" s="6" t="n">
        <f aca="false">COUNTIF('Rosetta Stone'!$D:$D,A24)</f>
        <v>47</v>
      </c>
      <c r="D24" s="6" t="n">
        <f aca="false">COUNTIFS('Rosetta Stone'!$D:$D,A24,'Rosetta Stone'!$L:$L,"Tier 1 - OT Core (mandatory)")</f>
        <v>19</v>
      </c>
      <c r="E24" s="6" t="n">
        <f aca="false">COUNTIFS('Rosetta Stone'!$D:$D,A24,'Rosetta Stone'!$L:$L,"Tier 2 - Converged IT/OT enterprise baseline")</f>
        <v>2</v>
      </c>
      <c r="F24" s="6" t="n">
        <f aca="false">COUNTIFS('Rosetta Stone'!$D:$D,A24,'Rosetta Stone'!$L:$L,"Tier 3 - AMI endpoint, embedded technology &amp; supply chain")</f>
        <v>0</v>
      </c>
      <c r="G24" s="6" t="n">
        <f aca="false">COUNTIFS('Rosetta Stone'!$D:$D,A24,'Rosetta Stone'!$L:$L,"Tier 4 - Privacy (customer energy usage data)")</f>
        <v>26</v>
      </c>
      <c r="H24" s="6" t="n">
        <f aca="false">COUNTIFS('Rosetta Stone'!$D:$D,A24,'Rosetta Stone'!$M:$M,"Basic")</f>
        <v>19</v>
      </c>
      <c r="I24" s="6" t="n">
        <f aca="false">COUNTIFS('Rosetta Stone'!$D:$D,A24,'Rosetta Stone'!$M:$M,"Enhanced")</f>
        <v>28</v>
      </c>
    </row>
    <row r="25" customFormat="false" ht="15" hidden="false" customHeight="false" outlineLevel="0" collapsed="false">
      <c r="A25" s="6" t="s">
        <v>7076</v>
      </c>
      <c r="B25" s="6" t="s">
        <v>7075</v>
      </c>
      <c r="C25" s="6" t="n">
        <f aca="false">COUNTIF('Rosetta Stone'!$D:$D,A25)</f>
        <v>9</v>
      </c>
      <c r="D25" s="6" t="n">
        <f aca="false">COUNTIFS('Rosetta Stone'!$D:$D,A25,'Rosetta Stone'!$L:$L,"Tier 1 - OT Core (mandatory)")</f>
        <v>6</v>
      </c>
      <c r="E25" s="6" t="n">
        <f aca="false">COUNTIFS('Rosetta Stone'!$D:$D,A25,'Rosetta Stone'!$L:$L,"Tier 2 - Converged IT/OT enterprise baseline")</f>
        <v>3</v>
      </c>
      <c r="F25" s="6" t="n">
        <f aca="false">COUNTIFS('Rosetta Stone'!$D:$D,A25,'Rosetta Stone'!$L:$L,"Tier 3 - AMI endpoint, embedded technology &amp; supply chain")</f>
        <v>0</v>
      </c>
      <c r="G25" s="6" t="n">
        <f aca="false">COUNTIFS('Rosetta Stone'!$D:$D,A25,'Rosetta Stone'!$L:$L,"Tier 4 - Privacy (customer energy usage data)")</f>
        <v>0</v>
      </c>
      <c r="H25" s="6" t="n">
        <f aca="false">COUNTIFS('Rosetta Stone'!$D:$D,A25,'Rosetta Stone'!$M:$M,"Basic")</f>
        <v>6</v>
      </c>
      <c r="I25" s="6" t="n">
        <f aca="false">COUNTIFS('Rosetta Stone'!$D:$D,A25,'Rosetta Stone'!$M:$M,"Enhanced")</f>
        <v>3</v>
      </c>
    </row>
    <row r="26" customFormat="false" ht="15" hidden="false" customHeight="false" outlineLevel="0" collapsed="false">
      <c r="A26" s="6" t="s">
        <v>7191</v>
      </c>
      <c r="B26" s="6" t="s">
        <v>7190</v>
      </c>
      <c r="C26" s="6" t="n">
        <f aca="false">COUNTIF('Rosetta Stone'!$D:$D,A26)</f>
        <v>28</v>
      </c>
      <c r="D26" s="6" t="n">
        <f aca="false">COUNTIFS('Rosetta Stone'!$D:$D,A26,'Rosetta Stone'!$L:$L,"Tier 1 - OT Core (mandatory)")</f>
        <v>24</v>
      </c>
      <c r="E26" s="6" t="n">
        <f aca="false">COUNTIFS('Rosetta Stone'!$D:$D,A26,'Rosetta Stone'!$L:$L,"Tier 2 - Converged IT/OT enterprise baseline")</f>
        <v>3</v>
      </c>
      <c r="F26" s="6" t="n">
        <f aca="false">COUNTIFS('Rosetta Stone'!$D:$D,A26,'Rosetta Stone'!$L:$L,"Tier 3 - AMI endpoint, embedded technology &amp; supply chain")</f>
        <v>1</v>
      </c>
      <c r="G26" s="6" t="n">
        <f aca="false">COUNTIFS('Rosetta Stone'!$D:$D,A26,'Rosetta Stone'!$L:$L,"Tier 4 - Privacy (customer energy usage data)")</f>
        <v>0</v>
      </c>
      <c r="H26" s="6" t="n">
        <f aca="false">COUNTIFS('Rosetta Stone'!$D:$D,A26,'Rosetta Stone'!$M:$M,"Basic")</f>
        <v>24</v>
      </c>
      <c r="I26" s="6" t="n">
        <f aca="false">COUNTIFS('Rosetta Stone'!$D:$D,A26,'Rosetta Stone'!$M:$M,"Enhanced")</f>
        <v>4</v>
      </c>
    </row>
    <row r="27" customFormat="false" ht="15" hidden="false" customHeight="false" outlineLevel="0" collapsed="false">
      <c r="A27" s="6" t="s">
        <v>7893</v>
      </c>
      <c r="B27" s="6" t="s">
        <v>7892</v>
      </c>
      <c r="C27" s="6" t="n">
        <f aca="false">COUNTIF('Rosetta Stone'!$D:$D,A27)</f>
        <v>13</v>
      </c>
      <c r="D27" s="6" t="n">
        <f aca="false">COUNTIFS('Rosetta Stone'!$D:$D,A27,'Rosetta Stone'!$L:$L,"Tier 1 - OT Core (mandatory)")</f>
        <v>10</v>
      </c>
      <c r="E27" s="6" t="n">
        <f aca="false">COUNTIFS('Rosetta Stone'!$D:$D,A27,'Rosetta Stone'!$L:$L,"Tier 2 - Converged IT/OT enterprise baseline")</f>
        <v>2</v>
      </c>
      <c r="F27" s="6" t="n">
        <f aca="false">COUNTIFS('Rosetta Stone'!$D:$D,A27,'Rosetta Stone'!$L:$L,"Tier 3 - AMI endpoint, embedded technology &amp; supply chain")</f>
        <v>1</v>
      </c>
      <c r="G27" s="6" t="n">
        <f aca="false">COUNTIFS('Rosetta Stone'!$D:$D,A27,'Rosetta Stone'!$L:$L,"Tier 4 - Privacy (customer energy usage data)")</f>
        <v>0</v>
      </c>
      <c r="H27" s="6" t="n">
        <f aca="false">COUNTIFS('Rosetta Stone'!$D:$D,A27,'Rosetta Stone'!$M:$M,"Basic")</f>
        <v>10</v>
      </c>
      <c r="I27" s="6" t="n">
        <f aca="false">COUNTIFS('Rosetta Stone'!$D:$D,A27,'Rosetta Stone'!$M:$M,"Enhanced")</f>
        <v>3</v>
      </c>
    </row>
    <row r="28" customFormat="false" ht="15" hidden="false" customHeight="false" outlineLevel="0" collapsed="false">
      <c r="A28" s="6" t="s">
        <v>7529</v>
      </c>
      <c r="B28" s="6" t="s">
        <v>7528</v>
      </c>
      <c r="C28" s="6" t="n">
        <f aca="false">COUNTIF('Rosetta Stone'!$D:$D,A28)</f>
        <v>29</v>
      </c>
      <c r="D28" s="6" t="n">
        <f aca="false">COUNTIFS('Rosetta Stone'!$D:$D,A28,'Rosetta Stone'!$L:$L,"Tier 1 - OT Core (mandatory)")</f>
        <v>20</v>
      </c>
      <c r="E28" s="6" t="n">
        <f aca="false">COUNTIFS('Rosetta Stone'!$D:$D,A28,'Rosetta Stone'!$L:$L,"Tier 2 - Converged IT/OT enterprise baseline")</f>
        <v>4</v>
      </c>
      <c r="F28" s="6" t="n">
        <f aca="false">COUNTIFS('Rosetta Stone'!$D:$D,A28,'Rosetta Stone'!$L:$L,"Tier 3 - AMI endpoint, embedded technology &amp; supply chain")</f>
        <v>0</v>
      </c>
      <c r="G28" s="6" t="n">
        <f aca="false">COUNTIFS('Rosetta Stone'!$D:$D,A28,'Rosetta Stone'!$L:$L,"Tier 4 - Privacy (customer energy usage data)")</f>
        <v>5</v>
      </c>
      <c r="H28" s="6" t="n">
        <f aca="false">COUNTIFS('Rosetta Stone'!$D:$D,A28,'Rosetta Stone'!$M:$M,"Basic")</f>
        <v>20</v>
      </c>
      <c r="I28" s="6" t="n">
        <f aca="false">COUNTIFS('Rosetta Stone'!$D:$D,A28,'Rosetta Stone'!$M:$M,"Enhanced")</f>
        <v>9</v>
      </c>
    </row>
    <row r="29" customFormat="false" ht="15" hidden="false" customHeight="false" outlineLevel="0" collapsed="false">
      <c r="A29" s="6" t="s">
        <v>8048</v>
      </c>
      <c r="B29" s="6" t="s">
        <v>8047</v>
      </c>
      <c r="C29" s="6" t="n">
        <f aca="false">COUNTIF('Rosetta Stone'!$D:$D,A29)</f>
        <v>46</v>
      </c>
      <c r="D29" s="6" t="n">
        <f aca="false">COUNTIFS('Rosetta Stone'!$D:$D,A29,'Rosetta Stone'!$L:$L,"Tier 1 - OT Core (mandatory)")</f>
        <v>22</v>
      </c>
      <c r="E29" s="6" t="n">
        <f aca="false">COUNTIFS('Rosetta Stone'!$D:$D,A29,'Rosetta Stone'!$L:$L,"Tier 2 - Converged IT/OT enterprise baseline")</f>
        <v>13</v>
      </c>
      <c r="F29" s="6" t="n">
        <f aca="false">COUNTIFS('Rosetta Stone'!$D:$D,A29,'Rosetta Stone'!$L:$L,"Tier 3 - AMI endpoint, embedded technology &amp; supply chain")</f>
        <v>9</v>
      </c>
      <c r="G29" s="6" t="n">
        <f aca="false">COUNTIFS('Rosetta Stone'!$D:$D,A29,'Rosetta Stone'!$L:$L,"Tier 4 - Privacy (customer energy usage data)")</f>
        <v>2</v>
      </c>
      <c r="H29" s="6" t="n">
        <f aca="false">COUNTIFS('Rosetta Stone'!$D:$D,A29,'Rosetta Stone'!$M:$M,"Basic")</f>
        <v>22</v>
      </c>
      <c r="I29" s="6" t="n">
        <f aca="false">COUNTIFS('Rosetta Stone'!$D:$D,A29,'Rosetta Stone'!$M:$M,"Enhanced")</f>
        <v>24</v>
      </c>
    </row>
    <row r="30" customFormat="false" ht="15" hidden="false" customHeight="false" outlineLevel="0" collapsed="false">
      <c r="A30" s="6" t="s">
        <v>8860</v>
      </c>
      <c r="B30" s="6" t="s">
        <v>8859</v>
      </c>
      <c r="C30" s="6" t="n">
        <f aca="false">COUNTIF('Rosetta Stone'!$D:$D,A30)</f>
        <v>11</v>
      </c>
      <c r="D30" s="6" t="n">
        <f aca="false">COUNTIFS('Rosetta Stone'!$D:$D,A30,'Rosetta Stone'!$L:$L,"Tier 1 - OT Core (mandatory)")</f>
        <v>9</v>
      </c>
      <c r="E30" s="6" t="n">
        <f aca="false">COUNTIFS('Rosetta Stone'!$D:$D,A30,'Rosetta Stone'!$L:$L,"Tier 2 - Converged IT/OT enterprise baseline")</f>
        <v>2</v>
      </c>
      <c r="F30" s="6" t="n">
        <f aca="false">COUNTIFS('Rosetta Stone'!$D:$D,A30,'Rosetta Stone'!$L:$L,"Tier 3 - AMI endpoint, embedded technology &amp; supply chain")</f>
        <v>0</v>
      </c>
      <c r="G30" s="6" t="n">
        <f aca="false">COUNTIFS('Rosetta Stone'!$D:$D,A30,'Rosetta Stone'!$L:$L,"Tier 4 - Privacy (customer energy usage data)")</f>
        <v>0</v>
      </c>
      <c r="H30" s="6" t="n">
        <f aca="false">COUNTIFS('Rosetta Stone'!$D:$D,A30,'Rosetta Stone'!$M:$M,"Basic")</f>
        <v>9</v>
      </c>
      <c r="I30" s="6" t="n">
        <f aca="false">COUNTIFS('Rosetta Stone'!$D:$D,A30,'Rosetta Stone'!$M:$M,"Enhanced")</f>
        <v>2</v>
      </c>
    </row>
    <row r="31" customFormat="false" ht="15" hidden="false" customHeight="false" outlineLevel="0" collapsed="false">
      <c r="A31" s="6" t="s">
        <v>8564</v>
      </c>
      <c r="B31" s="6" t="s">
        <v>8563</v>
      </c>
      <c r="C31" s="6" t="n">
        <f aca="false">COUNTIF('Rosetta Stone'!$D:$D,A31)</f>
        <v>26</v>
      </c>
      <c r="D31" s="6" t="n">
        <f aca="false">COUNTIFS('Rosetta Stone'!$D:$D,A31,'Rosetta Stone'!$L:$L,"Tier 1 - OT Core (mandatory)")</f>
        <v>16</v>
      </c>
      <c r="E31" s="6" t="n">
        <f aca="false">COUNTIFS('Rosetta Stone'!$D:$D,A31,'Rosetta Stone'!$L:$L,"Tier 2 - Converged IT/OT enterprise baseline")</f>
        <v>10</v>
      </c>
      <c r="F31" s="6" t="n">
        <f aca="false">COUNTIFS('Rosetta Stone'!$D:$D,A31,'Rosetta Stone'!$L:$L,"Tier 3 - AMI endpoint, embedded technology &amp; supply chain")</f>
        <v>0</v>
      </c>
      <c r="G31" s="6" t="n">
        <f aca="false">COUNTIFS('Rosetta Stone'!$D:$D,A31,'Rosetta Stone'!$L:$L,"Tier 4 - Privacy (customer energy usage data)")</f>
        <v>0</v>
      </c>
      <c r="H31" s="6" t="n">
        <f aca="false">COUNTIFS('Rosetta Stone'!$D:$D,A31,'Rosetta Stone'!$M:$M,"Basic")</f>
        <v>16</v>
      </c>
      <c r="I31" s="6" t="n">
        <f aca="false">COUNTIFS('Rosetta Stone'!$D:$D,A31,'Rosetta Stone'!$M:$M,"Enhanced")</f>
        <v>10</v>
      </c>
    </row>
    <row r="32" customFormat="false" ht="15" hidden="false" customHeight="false" outlineLevel="0" collapsed="false">
      <c r="A32" s="6" t="s">
        <v>8994</v>
      </c>
      <c r="B32" s="6" t="s">
        <v>8993</v>
      </c>
      <c r="C32" s="6" t="n">
        <f aca="false">COUNTIF('Rosetta Stone'!$D:$D,A32)</f>
        <v>24</v>
      </c>
      <c r="D32" s="6" t="n">
        <f aca="false">COUNTIFS('Rosetta Stone'!$D:$D,A32,'Rosetta Stone'!$L:$L,"Tier 1 - OT Core (mandatory)")</f>
        <v>15</v>
      </c>
      <c r="E32" s="6" t="n">
        <f aca="false">COUNTIFS('Rosetta Stone'!$D:$D,A32,'Rosetta Stone'!$L:$L,"Tier 2 - Converged IT/OT enterprise baseline")</f>
        <v>4</v>
      </c>
      <c r="F32" s="6" t="n">
        <f aca="false">COUNTIFS('Rosetta Stone'!$D:$D,A32,'Rosetta Stone'!$L:$L,"Tier 3 - AMI endpoint, embedded technology &amp; supply chain")</f>
        <v>5</v>
      </c>
      <c r="G32" s="6" t="n">
        <f aca="false">COUNTIFS('Rosetta Stone'!$D:$D,A32,'Rosetta Stone'!$L:$L,"Tier 4 - Privacy (customer energy usage data)")</f>
        <v>0</v>
      </c>
      <c r="H32" s="6" t="n">
        <f aca="false">COUNTIFS('Rosetta Stone'!$D:$D,A32,'Rosetta Stone'!$M:$M,"Basic")</f>
        <v>15</v>
      </c>
      <c r="I32" s="6" t="n">
        <f aca="false">COUNTIFS('Rosetta Stone'!$D:$D,A32,'Rosetta Stone'!$M:$M,"Enhanced")</f>
        <v>9</v>
      </c>
    </row>
    <row r="33" customFormat="false" ht="15" hidden="false" customHeight="false" outlineLevel="0" collapsed="false">
      <c r="A33" s="7" t="s">
        <v>9572</v>
      </c>
      <c r="B33" s="6"/>
      <c r="C33" s="7" t="n">
        <f aca="false">SUM(C2:C32)</f>
        <v>809</v>
      </c>
      <c r="D33" s="7" t="n">
        <f aca="false">SUM(D2:D32)</f>
        <v>559</v>
      </c>
      <c r="E33" s="7" t="n">
        <f aca="false">SUM(E2:E32)</f>
        <v>108</v>
      </c>
      <c r="F33" s="7" t="n">
        <f aca="false">SUM(F2:F32)</f>
        <v>66</v>
      </c>
      <c r="G33" s="7" t="n">
        <f aca="false">SUM(G2:G32)</f>
        <v>76</v>
      </c>
      <c r="H33" s="7" t="n">
        <f aca="false">SUM(H2:H32)</f>
        <v>559</v>
      </c>
      <c r="I33" s="7" t="n">
        <f aca="false">SUM(I2:I32)</f>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9" min="1" style="0" width="28"/>
  </cols>
  <sheetData>
    <row r="1" customFormat="false" ht="31.5" hidden="false" customHeight="true" outlineLevel="0" collapsed="false">
      <c r="A1" s="4" t="s">
        <v>9573</v>
      </c>
      <c r="B1" s="4" t="s">
        <v>9574</v>
      </c>
      <c r="C1" s="4" t="s">
        <v>114</v>
      </c>
      <c r="D1" s="4" t="s">
        <v>9575</v>
      </c>
      <c r="E1" s="4" t="s">
        <v>9576</v>
      </c>
      <c r="F1" s="4" t="s">
        <v>9577</v>
      </c>
      <c r="G1" s="4" t="s">
        <v>9578</v>
      </c>
      <c r="H1" s="4" t="s">
        <v>9579</v>
      </c>
      <c r="I1" s="4" t="s">
        <v>9580</v>
      </c>
      <c r="J1" s="4" t="s">
        <v>9581</v>
      </c>
      <c r="K1" s="4" t="s">
        <v>9582</v>
      </c>
      <c r="L1" s="4" t="s">
        <v>9583</v>
      </c>
      <c r="M1" s="4" t="s">
        <v>9584</v>
      </c>
      <c r="N1" s="4" t="s">
        <v>109</v>
      </c>
      <c r="O1" s="4" t="s">
        <v>110</v>
      </c>
      <c r="P1" s="4" t="s">
        <v>117</v>
      </c>
      <c r="Q1" s="4" t="s">
        <v>112</v>
      </c>
      <c r="R1" s="4" t="s">
        <v>9585</v>
      </c>
      <c r="S1" s="4" t="s">
        <v>9586</v>
      </c>
    </row>
    <row r="2" customFormat="false" ht="15" hidden="false" customHeight="false" outlineLevel="0" collapsed="false">
      <c r="A2" s="8" t="s">
        <v>9587</v>
      </c>
      <c r="B2" s="8" t="s">
        <v>9588</v>
      </c>
      <c r="C2" s="8" t="s">
        <v>277</v>
      </c>
      <c r="D2" s="8" t="s">
        <v>9589</v>
      </c>
      <c r="E2" s="8" t="s">
        <v>9590</v>
      </c>
      <c r="F2" s="8" t="s">
        <v>9591</v>
      </c>
      <c r="G2" s="8" t="s">
        <v>9592</v>
      </c>
      <c r="H2" s="8" t="s">
        <v>9593</v>
      </c>
      <c r="I2" s="8" t="s">
        <v>9594</v>
      </c>
      <c r="J2" s="8" t="s">
        <v>9595</v>
      </c>
      <c r="K2" s="8" t="s">
        <v>9596</v>
      </c>
      <c r="L2" s="8" t="s">
        <v>9597</v>
      </c>
      <c r="M2" s="8" t="s">
        <v>9598</v>
      </c>
      <c r="N2" s="8" t="s">
        <v>30</v>
      </c>
      <c r="O2" s="8" t="s">
        <v>155</v>
      </c>
      <c r="P2" s="8" t="s">
        <v>162</v>
      </c>
      <c r="Q2" s="8" t="s">
        <v>157</v>
      </c>
      <c r="R2" s="8" t="s">
        <v>9599</v>
      </c>
      <c r="S2" s="8" t="s">
        <v>9600</v>
      </c>
    </row>
    <row r="3" customFormat="false" ht="15" hidden="false" customHeight="false" outlineLevel="0" collapsed="false">
      <c r="A3" s="8" t="s">
        <v>9601</v>
      </c>
      <c r="B3" s="8" t="s">
        <v>9602</v>
      </c>
      <c r="C3" s="8" t="s">
        <v>159</v>
      </c>
      <c r="D3" s="8" t="s">
        <v>9603</v>
      </c>
      <c r="E3" s="8" t="s">
        <v>9604</v>
      </c>
      <c r="F3" s="8" t="s">
        <v>9605</v>
      </c>
      <c r="G3" s="8" t="s">
        <v>9606</v>
      </c>
      <c r="H3" s="8" t="s">
        <v>9607</v>
      </c>
      <c r="I3" s="8" t="s">
        <v>9608</v>
      </c>
      <c r="J3" s="8" t="s">
        <v>9609</v>
      </c>
      <c r="K3" s="8" t="s">
        <v>9610</v>
      </c>
      <c r="L3" s="8" t="s">
        <v>9611</v>
      </c>
      <c r="M3" s="8" t="s">
        <v>9612</v>
      </c>
      <c r="N3" s="8" t="s">
        <v>55</v>
      </c>
      <c r="O3" s="8" t="s">
        <v>185</v>
      </c>
      <c r="P3" s="8" t="s">
        <v>606</v>
      </c>
      <c r="Q3" s="8" t="s">
        <v>666</v>
      </c>
      <c r="R3" s="8" t="s">
        <v>9613</v>
      </c>
      <c r="S3" s="8" t="s">
        <v>9614</v>
      </c>
    </row>
    <row r="4" customFormat="false" ht="15" hidden="false" customHeight="false" outlineLevel="0" collapsed="false">
      <c r="A4" s="8" t="s">
        <v>9615</v>
      </c>
      <c r="B4" s="8" t="s">
        <v>9616</v>
      </c>
      <c r="C4" s="8" t="s">
        <v>9617</v>
      </c>
      <c r="D4" s="8" t="s">
        <v>9618</v>
      </c>
      <c r="E4" s="8" t="s">
        <v>9619</v>
      </c>
      <c r="F4" s="8" t="s">
        <v>9620</v>
      </c>
      <c r="G4" s="8" t="s">
        <v>9621</v>
      </c>
      <c r="H4" s="8" t="s">
        <v>9622</v>
      </c>
      <c r="I4" s="8" t="s">
        <v>9623</v>
      </c>
      <c r="J4" s="8" t="s">
        <v>9624</v>
      </c>
      <c r="K4" s="8" t="s">
        <v>9604</v>
      </c>
      <c r="L4" s="8" t="s">
        <v>9625</v>
      </c>
      <c r="M4" s="8"/>
      <c r="N4" s="8" t="s">
        <v>68</v>
      </c>
      <c r="O4" s="8"/>
      <c r="P4" s="8" t="s">
        <v>277</v>
      </c>
      <c r="Q4" s="8" t="s">
        <v>214</v>
      </c>
      <c r="R4" s="8" t="s">
        <v>9626</v>
      </c>
      <c r="S4" s="8" t="s">
        <v>9627</v>
      </c>
    </row>
    <row r="5" customFormat="false" ht="15" hidden="false" customHeight="false" outlineLevel="0" collapsed="false">
      <c r="A5" s="8"/>
      <c r="B5" s="8" t="s">
        <v>9603</v>
      </c>
      <c r="C5" s="8" t="s">
        <v>1673</v>
      </c>
      <c r="D5" s="8"/>
      <c r="E5" s="8" t="s">
        <v>9628</v>
      </c>
      <c r="F5" s="8" t="s">
        <v>9629</v>
      </c>
      <c r="G5" s="8" t="s">
        <v>9630</v>
      </c>
      <c r="H5" s="8" t="s">
        <v>9631</v>
      </c>
      <c r="I5" s="8" t="s">
        <v>9632</v>
      </c>
      <c r="J5" s="8" t="s">
        <v>9633</v>
      </c>
      <c r="K5" s="8" t="s">
        <v>9634</v>
      </c>
      <c r="L5" s="8" t="s">
        <v>9635</v>
      </c>
      <c r="M5" s="8"/>
      <c r="N5" s="8" t="s">
        <v>85</v>
      </c>
      <c r="O5" s="8"/>
      <c r="P5" s="8"/>
      <c r="Q5" s="8" t="s">
        <v>187</v>
      </c>
      <c r="R5" s="8" t="s">
        <v>9636</v>
      </c>
      <c r="S5" s="8" t="s">
        <v>9637</v>
      </c>
    </row>
    <row r="6" customFormat="false" ht="15" hidden="false" customHeight="false" outlineLevel="0" collapsed="false">
      <c r="A6" s="8"/>
      <c r="B6" s="8" t="s">
        <v>9638</v>
      </c>
      <c r="C6" s="8" t="s">
        <v>6284</v>
      </c>
      <c r="D6" s="8"/>
      <c r="E6" s="8"/>
      <c r="F6" s="8" t="s">
        <v>9603</v>
      </c>
      <c r="G6" s="8" t="s">
        <v>9639</v>
      </c>
      <c r="H6" s="8" t="s">
        <v>9640</v>
      </c>
      <c r="I6" s="8" t="s">
        <v>9641</v>
      </c>
      <c r="J6" s="8" t="s">
        <v>9642</v>
      </c>
      <c r="K6" s="8" t="s">
        <v>9643</v>
      </c>
      <c r="L6" s="8" t="s">
        <v>9644</v>
      </c>
      <c r="M6" s="8"/>
      <c r="N6" s="8"/>
      <c r="O6" s="8"/>
      <c r="P6" s="8"/>
      <c r="Q6" s="8"/>
      <c r="R6" s="8"/>
      <c r="S6" s="8" t="s">
        <v>9645</v>
      </c>
    </row>
    <row r="7" customFormat="false" ht="15" hidden="false" customHeight="false" outlineLevel="0" collapsed="false">
      <c r="A7" s="8"/>
      <c r="B7" s="8" t="s">
        <v>9646</v>
      </c>
      <c r="C7" s="8" t="s">
        <v>227</v>
      </c>
      <c r="D7" s="8"/>
      <c r="E7" s="8"/>
      <c r="F7" s="8"/>
      <c r="G7" s="8" t="s">
        <v>9647</v>
      </c>
      <c r="H7" s="8"/>
      <c r="I7" s="8" t="s">
        <v>9648</v>
      </c>
      <c r="J7" s="8" t="s">
        <v>9644</v>
      </c>
      <c r="K7" s="8" t="s">
        <v>9649</v>
      </c>
      <c r="L7" s="8"/>
      <c r="M7" s="8"/>
      <c r="N7" s="8"/>
      <c r="O7" s="8"/>
      <c r="P7" s="8"/>
      <c r="Q7" s="8"/>
      <c r="R7" s="8"/>
      <c r="S7" s="8" t="s">
        <v>9650</v>
      </c>
    </row>
    <row r="8" customFormat="false" ht="15" hidden="false" customHeight="false" outlineLevel="0" collapsed="false">
      <c r="A8" s="8"/>
      <c r="B8" s="8" t="s">
        <v>9651</v>
      </c>
      <c r="C8" s="8" t="s">
        <v>3728</v>
      </c>
      <c r="D8" s="8"/>
      <c r="E8" s="8"/>
      <c r="F8" s="8"/>
      <c r="G8" s="8" t="s">
        <v>9603</v>
      </c>
      <c r="H8" s="8"/>
      <c r="I8" s="8"/>
      <c r="J8" s="8"/>
      <c r="K8" s="8"/>
      <c r="L8" s="8"/>
      <c r="M8" s="8"/>
      <c r="N8" s="8"/>
      <c r="O8" s="8"/>
      <c r="P8" s="8"/>
      <c r="Q8" s="8"/>
      <c r="R8" s="8"/>
      <c r="S8" s="8" t="s">
        <v>9652</v>
      </c>
    </row>
    <row r="9" customFormat="false" ht="15" hidden="false" customHeight="false" outlineLevel="0" collapsed="false">
      <c r="A9" s="8"/>
      <c r="B9" s="8"/>
      <c r="C9" s="8" t="s">
        <v>519</v>
      </c>
      <c r="D9" s="8"/>
      <c r="E9" s="8"/>
      <c r="F9" s="8"/>
      <c r="G9" s="8"/>
      <c r="H9" s="8"/>
      <c r="I9" s="8"/>
      <c r="J9" s="8"/>
      <c r="K9" s="8"/>
      <c r="L9" s="8"/>
      <c r="M9" s="8"/>
      <c r="N9" s="8"/>
      <c r="O9" s="8"/>
      <c r="P9" s="8"/>
      <c r="Q9" s="8"/>
      <c r="R9" s="8"/>
      <c r="S9" s="8" t="s">
        <v>9653</v>
      </c>
    </row>
    <row r="10" customFormat="false" ht="15" hidden="false" customHeight="false" outlineLevel="0" collapsed="false">
      <c r="A10" s="8"/>
      <c r="B10" s="8"/>
      <c r="C10" s="8" t="s">
        <v>440</v>
      </c>
      <c r="D10" s="8"/>
      <c r="E10" s="8"/>
      <c r="F10" s="8"/>
      <c r="G10" s="8"/>
      <c r="H10" s="8"/>
      <c r="I10" s="8"/>
      <c r="J10" s="8"/>
      <c r="K10" s="8"/>
      <c r="L10" s="8"/>
      <c r="M10" s="8"/>
      <c r="N10" s="8"/>
      <c r="O10" s="8"/>
      <c r="P10" s="8"/>
      <c r="Q10" s="8"/>
      <c r="R10" s="8"/>
      <c r="S10" s="8" t="s">
        <v>9654</v>
      </c>
    </row>
    <row r="11" customFormat="false" ht="15" hidden="false" customHeight="false" outlineLevel="0" collapsed="false">
      <c r="A11" s="8"/>
      <c r="B11" s="8"/>
      <c r="C11" s="8" t="s">
        <v>451</v>
      </c>
      <c r="D11" s="8"/>
      <c r="E11" s="8"/>
      <c r="F11" s="8"/>
      <c r="G11" s="8"/>
      <c r="H11" s="8"/>
      <c r="I11" s="8"/>
      <c r="J11" s="8"/>
      <c r="K11" s="8"/>
      <c r="L11" s="8"/>
      <c r="M11" s="8"/>
      <c r="N11" s="8"/>
      <c r="O11" s="8"/>
      <c r="P11" s="8"/>
      <c r="Q11" s="8"/>
      <c r="R11" s="8"/>
      <c r="S11" s="8" t="s">
        <v>9655</v>
      </c>
    </row>
    <row r="12" customFormat="false" ht="15" hidden="false" customHeight="false" outlineLevel="0" collapsed="false">
      <c r="A12" s="8"/>
      <c r="B12" s="8"/>
      <c r="C12" s="8" t="s">
        <v>4920</v>
      </c>
      <c r="D12" s="8"/>
      <c r="E12" s="8"/>
      <c r="F12" s="8"/>
      <c r="G12" s="8"/>
      <c r="H12" s="8"/>
      <c r="I12" s="8"/>
      <c r="J12" s="8"/>
      <c r="K12" s="8"/>
      <c r="L12" s="8"/>
      <c r="M12" s="8"/>
      <c r="N12" s="8"/>
      <c r="O12" s="8"/>
      <c r="P12" s="8"/>
      <c r="Q12" s="8"/>
      <c r="R12" s="8"/>
      <c r="S12" s="8" t="s">
        <v>9656</v>
      </c>
    </row>
    <row r="13" customFormat="false" ht="15" hidden="false" customHeight="false" outlineLevel="0" collapsed="false">
      <c r="A13" s="8"/>
      <c r="B13" s="8"/>
      <c r="C13" s="8" t="s">
        <v>335</v>
      </c>
      <c r="D13" s="8"/>
      <c r="E13" s="8"/>
      <c r="F13" s="8"/>
      <c r="G13" s="8"/>
      <c r="H13" s="8"/>
      <c r="I13" s="8"/>
      <c r="J13" s="8"/>
      <c r="K13" s="8"/>
      <c r="L13" s="8"/>
      <c r="M13" s="8"/>
      <c r="N13" s="8"/>
      <c r="O13" s="8"/>
      <c r="P13" s="8"/>
      <c r="Q13" s="8"/>
      <c r="R13" s="8"/>
      <c r="S13" s="8" t="s">
        <v>9657</v>
      </c>
    </row>
    <row r="14" customFormat="false" ht="15" hidden="false" customHeight="false" outlineLevel="0" collapsed="false">
      <c r="A14" s="8"/>
      <c r="B14" s="8"/>
      <c r="C14" s="8" t="s">
        <v>188</v>
      </c>
      <c r="D14" s="8"/>
      <c r="E14" s="8"/>
      <c r="F14" s="8"/>
      <c r="G14" s="8"/>
      <c r="H14" s="8"/>
      <c r="I14" s="8"/>
      <c r="J14" s="8"/>
      <c r="K14" s="8"/>
      <c r="L14" s="8"/>
      <c r="M14" s="8"/>
      <c r="N14" s="8"/>
      <c r="O14" s="8"/>
      <c r="P14" s="8"/>
      <c r="Q14" s="8"/>
      <c r="R14" s="8"/>
      <c r="S14" s="8" t="s">
        <v>9658</v>
      </c>
    </row>
    <row r="15" customFormat="false" ht="15" hidden="false" customHeight="false" outlineLevel="0" collapsed="false">
      <c r="A15" s="8"/>
      <c r="B15" s="8"/>
      <c r="C15" s="8" t="s">
        <v>461</v>
      </c>
      <c r="D15" s="8"/>
      <c r="E15" s="8"/>
      <c r="F15" s="8"/>
      <c r="G15" s="8"/>
      <c r="H15" s="8"/>
      <c r="I15" s="8"/>
      <c r="J15" s="8"/>
      <c r="K15" s="8"/>
      <c r="L15" s="8"/>
      <c r="M15" s="8"/>
      <c r="N15" s="8"/>
      <c r="O15" s="8"/>
      <c r="P15" s="8"/>
      <c r="Q15" s="8"/>
      <c r="R15" s="8"/>
      <c r="S15" s="8" t="s">
        <v>9659</v>
      </c>
    </row>
    <row r="16" customFormat="false" ht="15" hidden="false" customHeight="false" outlineLevel="0" collapsed="false">
      <c r="A16" s="8"/>
      <c r="B16" s="8"/>
      <c r="C16" s="8" t="s">
        <v>419</v>
      </c>
      <c r="D16" s="8"/>
      <c r="E16" s="8"/>
      <c r="F16" s="8"/>
      <c r="G16" s="8"/>
      <c r="H16" s="8"/>
      <c r="I16" s="8"/>
      <c r="J16" s="8"/>
      <c r="K16" s="8"/>
      <c r="L16" s="8"/>
      <c r="M16" s="8"/>
      <c r="N16" s="8"/>
      <c r="O16" s="8"/>
      <c r="P16" s="8"/>
      <c r="Q16" s="8"/>
      <c r="R16" s="8"/>
      <c r="S16" s="8" t="s">
        <v>9660</v>
      </c>
    </row>
    <row r="17" customFormat="false" ht="15" hidden="false" customHeight="false" outlineLevel="0" collapsed="false">
      <c r="A17" s="8"/>
      <c r="B17" s="8"/>
      <c r="C17" s="8" t="s">
        <v>3498</v>
      </c>
      <c r="D17" s="8"/>
      <c r="E17" s="8"/>
      <c r="F17" s="8"/>
      <c r="G17" s="8"/>
      <c r="H17" s="8"/>
      <c r="I17" s="8"/>
      <c r="J17" s="8"/>
      <c r="K17" s="8"/>
      <c r="L17" s="8"/>
      <c r="M17" s="8"/>
      <c r="N17" s="8"/>
      <c r="O17" s="8"/>
      <c r="P17" s="8"/>
      <c r="Q17" s="8"/>
      <c r="R17" s="8"/>
      <c r="S17" s="8" t="s">
        <v>9661</v>
      </c>
    </row>
    <row r="18" customFormat="false" ht="15" hidden="false" customHeight="false" outlineLevel="0" collapsed="false">
      <c r="A18" s="8"/>
      <c r="B18" s="8"/>
      <c r="C18" s="8" t="s">
        <v>605</v>
      </c>
      <c r="D18" s="8"/>
      <c r="E18" s="8"/>
      <c r="F18" s="8"/>
      <c r="G18" s="8"/>
      <c r="H18" s="8"/>
      <c r="I18" s="8"/>
      <c r="J18" s="8"/>
      <c r="K18" s="8"/>
      <c r="L18" s="8"/>
      <c r="M18" s="8"/>
      <c r="N18" s="8"/>
      <c r="O18" s="8"/>
      <c r="P18" s="8"/>
      <c r="Q18" s="8"/>
      <c r="R18" s="8"/>
      <c r="S18" s="8" t="s">
        <v>9662</v>
      </c>
    </row>
    <row r="19" customFormat="false" ht="15" hidden="false" customHeight="false" outlineLevel="0" collapsed="false">
      <c r="A19" s="8"/>
      <c r="B19" s="8"/>
      <c r="C19" s="8" t="s">
        <v>399</v>
      </c>
      <c r="D19" s="8"/>
      <c r="E19" s="8"/>
      <c r="F19" s="8"/>
      <c r="G19" s="8"/>
      <c r="H19" s="8"/>
      <c r="I19" s="8"/>
      <c r="J19" s="8"/>
      <c r="K19" s="8"/>
      <c r="L19" s="8"/>
      <c r="M19" s="8"/>
      <c r="N19" s="8"/>
      <c r="O19" s="8"/>
      <c r="P19" s="8"/>
      <c r="Q19" s="8"/>
      <c r="R19" s="8"/>
      <c r="S19" s="8" t="s">
        <v>9663</v>
      </c>
    </row>
    <row r="20" customFormat="false" ht="15" hidden="false" customHeight="false" outlineLevel="0" collapsed="false">
      <c r="A20" s="8"/>
      <c r="B20" s="8"/>
      <c r="C20" s="8" t="s">
        <v>9664</v>
      </c>
      <c r="D20" s="8"/>
      <c r="E20" s="8"/>
      <c r="F20" s="8"/>
      <c r="G20" s="8"/>
      <c r="H20" s="8"/>
      <c r="I20" s="8"/>
      <c r="J20" s="8"/>
      <c r="K20" s="8"/>
      <c r="L20" s="8"/>
      <c r="M20" s="8"/>
      <c r="N20" s="8"/>
      <c r="O20" s="8"/>
      <c r="P20" s="8"/>
      <c r="Q20" s="8"/>
      <c r="R20" s="8"/>
      <c r="S20" s="8" t="s">
        <v>9665</v>
      </c>
    </row>
    <row r="21" customFormat="false" ht="15" hidden="false" customHeight="false" outlineLevel="0" collapsed="false">
      <c r="A21" s="8"/>
      <c r="B21" s="8"/>
      <c r="C21" s="8"/>
      <c r="D21" s="8"/>
      <c r="E21" s="8"/>
      <c r="F21" s="8"/>
      <c r="G21" s="8"/>
      <c r="H21" s="8"/>
      <c r="I21" s="8"/>
      <c r="J21" s="8"/>
      <c r="K21" s="8"/>
      <c r="L21" s="8"/>
      <c r="M21" s="8"/>
      <c r="N21" s="8"/>
      <c r="O21" s="8"/>
      <c r="P21" s="8"/>
      <c r="Q21" s="8"/>
      <c r="R21" s="8"/>
      <c r="S21" s="8" t="s">
        <v>9666</v>
      </c>
    </row>
    <row r="22" customFormat="false" ht="15" hidden="false" customHeight="false" outlineLevel="0" collapsed="false">
      <c r="A22" s="8"/>
      <c r="B22" s="8"/>
      <c r="C22" s="8"/>
      <c r="D22" s="8"/>
      <c r="E22" s="8"/>
      <c r="F22" s="8"/>
      <c r="G22" s="8"/>
      <c r="H22" s="8"/>
      <c r="I22" s="8"/>
      <c r="J22" s="8"/>
      <c r="K22" s="8"/>
      <c r="L22" s="8"/>
      <c r="M22" s="8"/>
      <c r="N22" s="8"/>
      <c r="O22" s="8"/>
      <c r="P22" s="8"/>
      <c r="Q22" s="8"/>
      <c r="R22" s="8"/>
      <c r="S22" s="8" t="s">
        <v>9667</v>
      </c>
    </row>
    <row r="23" customFormat="false" ht="15" hidden="false" customHeight="false" outlineLevel="0" collapsed="false">
      <c r="A23" s="8"/>
      <c r="B23" s="8"/>
      <c r="C23" s="8"/>
      <c r="D23" s="8"/>
      <c r="E23" s="8"/>
      <c r="F23" s="8"/>
      <c r="G23" s="8"/>
      <c r="H23" s="8"/>
      <c r="I23" s="8"/>
      <c r="J23" s="8"/>
      <c r="K23" s="8"/>
      <c r="L23" s="8"/>
      <c r="M23" s="8"/>
      <c r="N23" s="8"/>
      <c r="O23" s="8"/>
      <c r="P23" s="8"/>
      <c r="Q23" s="8"/>
      <c r="R23" s="8"/>
      <c r="S23" s="8" t="s">
        <v>9668</v>
      </c>
    </row>
    <row r="24" customFormat="false" ht="15" hidden="false" customHeight="false" outlineLevel="0" collapsed="false">
      <c r="A24" s="8"/>
      <c r="B24" s="8"/>
      <c r="C24" s="8"/>
      <c r="D24" s="8"/>
      <c r="E24" s="8"/>
      <c r="F24" s="8"/>
      <c r="G24" s="8"/>
      <c r="H24" s="8"/>
      <c r="I24" s="8"/>
      <c r="J24" s="8"/>
      <c r="K24" s="8"/>
      <c r="L24" s="8"/>
      <c r="M24" s="8"/>
      <c r="N24" s="8"/>
      <c r="O24" s="8"/>
      <c r="P24" s="8"/>
      <c r="Q24" s="8"/>
      <c r="R24" s="8"/>
      <c r="S24" s="8" t="s">
        <v>9669</v>
      </c>
    </row>
    <row r="25" customFormat="false" ht="15" hidden="false" customHeight="false" outlineLevel="0" collapsed="false">
      <c r="A25" s="8"/>
      <c r="B25" s="8"/>
      <c r="C25" s="8"/>
      <c r="D25" s="8"/>
      <c r="E25" s="8"/>
      <c r="F25" s="8"/>
      <c r="G25" s="8"/>
      <c r="H25" s="8"/>
      <c r="I25" s="8"/>
      <c r="J25" s="8"/>
      <c r="K25" s="8"/>
      <c r="L25" s="8"/>
      <c r="M25" s="8"/>
      <c r="N25" s="8"/>
      <c r="O25" s="8"/>
      <c r="P25" s="8"/>
      <c r="Q25" s="8"/>
      <c r="R25" s="8"/>
      <c r="S25" s="8" t="s">
        <v>9670</v>
      </c>
    </row>
    <row r="26" customFormat="false" ht="15" hidden="false" customHeight="false" outlineLevel="0" collapsed="false">
      <c r="A26" s="8"/>
      <c r="B26" s="8"/>
      <c r="C26" s="8"/>
      <c r="D26" s="8"/>
      <c r="E26" s="8"/>
      <c r="F26" s="8"/>
      <c r="G26" s="8"/>
      <c r="H26" s="8"/>
      <c r="I26" s="8"/>
      <c r="J26" s="8"/>
      <c r="K26" s="8"/>
      <c r="L26" s="8"/>
      <c r="M26" s="8"/>
      <c r="N26" s="8"/>
      <c r="O26" s="8"/>
      <c r="P26" s="8"/>
      <c r="Q26" s="8"/>
      <c r="R26" s="8"/>
      <c r="S26" s="8" t="s">
        <v>9671</v>
      </c>
    </row>
    <row r="27" customFormat="false" ht="15" hidden="false" customHeight="false" outlineLevel="0" collapsed="false">
      <c r="A27" s="8"/>
      <c r="B27" s="8"/>
      <c r="C27" s="8"/>
      <c r="D27" s="8"/>
      <c r="E27" s="8"/>
      <c r="F27" s="8"/>
      <c r="G27" s="8"/>
      <c r="H27" s="8"/>
      <c r="I27" s="8"/>
      <c r="J27" s="8"/>
      <c r="K27" s="8"/>
      <c r="L27" s="8"/>
      <c r="M27" s="8"/>
      <c r="N27" s="8"/>
      <c r="O27" s="8"/>
      <c r="P27" s="8"/>
      <c r="Q27" s="8"/>
      <c r="R27" s="8"/>
      <c r="S27" s="8" t="s">
        <v>9672</v>
      </c>
    </row>
    <row r="28" customFormat="false" ht="15" hidden="false" customHeight="false" outlineLevel="0" collapsed="false">
      <c r="A28" s="8"/>
      <c r="B28" s="8"/>
      <c r="C28" s="8"/>
      <c r="D28" s="8"/>
      <c r="E28" s="8"/>
      <c r="F28" s="8"/>
      <c r="G28" s="8"/>
      <c r="H28" s="8"/>
      <c r="I28" s="8"/>
      <c r="J28" s="8"/>
      <c r="K28" s="8"/>
      <c r="L28" s="8"/>
      <c r="M28" s="8"/>
      <c r="N28" s="8"/>
      <c r="O28" s="8"/>
      <c r="P28" s="8"/>
      <c r="Q28" s="8"/>
      <c r="R28" s="8"/>
      <c r="S28" s="8" t="s">
        <v>9673</v>
      </c>
    </row>
    <row r="29" customFormat="false" ht="15" hidden="false" customHeight="false" outlineLevel="0" collapsed="false">
      <c r="A29" s="8"/>
      <c r="B29" s="8"/>
      <c r="C29" s="8"/>
      <c r="D29" s="8"/>
      <c r="E29" s="8"/>
      <c r="F29" s="8"/>
      <c r="G29" s="8"/>
      <c r="H29" s="8"/>
      <c r="I29" s="8"/>
      <c r="J29" s="8"/>
      <c r="K29" s="8"/>
      <c r="L29" s="8"/>
      <c r="M29" s="8"/>
      <c r="N29" s="8"/>
      <c r="O29" s="8"/>
      <c r="P29" s="8"/>
      <c r="Q29" s="8"/>
      <c r="R29" s="8"/>
      <c r="S29" s="8" t="s">
        <v>9674</v>
      </c>
    </row>
    <row r="30" customFormat="false" ht="15" hidden="false" customHeight="false" outlineLevel="0" collapsed="false">
      <c r="A30" s="8"/>
      <c r="B30" s="8"/>
      <c r="C30" s="8"/>
      <c r="D30" s="8"/>
      <c r="E30" s="8"/>
      <c r="F30" s="8"/>
      <c r="G30" s="8"/>
      <c r="H30" s="8"/>
      <c r="I30" s="8"/>
      <c r="J30" s="8"/>
      <c r="K30" s="8"/>
      <c r="L30" s="8"/>
      <c r="M30" s="8"/>
      <c r="N30" s="8"/>
      <c r="O30" s="8"/>
      <c r="P30" s="8"/>
      <c r="Q30" s="8"/>
      <c r="R30" s="8"/>
      <c r="S30" s="8" t="s">
        <v>9675</v>
      </c>
    </row>
    <row r="31" customFormat="false" ht="15" hidden="false" customHeight="false" outlineLevel="0" collapsed="false">
      <c r="A31" s="8"/>
      <c r="B31" s="8"/>
      <c r="C31" s="8"/>
      <c r="D31" s="8"/>
      <c r="E31" s="8"/>
      <c r="F31" s="8"/>
      <c r="G31" s="8"/>
      <c r="H31" s="8"/>
      <c r="I31" s="8"/>
      <c r="J31" s="8"/>
      <c r="K31" s="8"/>
      <c r="L31" s="8"/>
      <c r="M31" s="8"/>
      <c r="N31" s="8"/>
      <c r="O31" s="8"/>
      <c r="P31" s="8"/>
      <c r="Q31" s="8"/>
      <c r="R31" s="8"/>
      <c r="S31" s="8" t="s">
        <v>9676</v>
      </c>
    </row>
    <row r="32" customFormat="false" ht="15" hidden="false" customHeight="false" outlineLevel="0" collapsed="false">
      <c r="A32" s="8"/>
      <c r="B32" s="8"/>
      <c r="C32" s="8"/>
      <c r="D32" s="8"/>
      <c r="E32" s="8"/>
      <c r="F32" s="8"/>
      <c r="G32" s="8"/>
      <c r="H32" s="8"/>
      <c r="I32" s="8"/>
      <c r="J32" s="8"/>
      <c r="K32" s="8"/>
      <c r="L32" s="8"/>
      <c r="M32" s="8"/>
      <c r="N32" s="8"/>
      <c r="O32" s="8"/>
      <c r="P32" s="8"/>
      <c r="Q32" s="8"/>
      <c r="R32" s="8"/>
      <c r="S32" s="8" t="s">
        <v>9677</v>
      </c>
    </row>
    <row r="33" customFormat="false" ht="15" hidden="false" customHeight="false" outlineLevel="0" collapsed="false">
      <c r="A33" s="8"/>
      <c r="B33" s="8"/>
      <c r="C33" s="8"/>
      <c r="D33" s="8"/>
      <c r="E33" s="8"/>
      <c r="F33" s="8"/>
      <c r="G33" s="8"/>
      <c r="H33" s="8"/>
      <c r="I33" s="8"/>
      <c r="J33" s="8"/>
      <c r="K33" s="8"/>
      <c r="L33" s="8"/>
      <c r="M33" s="8"/>
      <c r="N33" s="8"/>
      <c r="O33" s="8"/>
      <c r="P33" s="8"/>
      <c r="Q33" s="8"/>
      <c r="R33" s="8"/>
      <c r="S33" s="8" t="s">
        <v>9678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2026-10-01T03:07:18Z</dcterms:created>
  <dc:creator>openpyxl</dc:creator>
  <dc:description/>
  <dc:language>en-US</dc:language>
  <cp:lastModifiedBy/>
  <dcterms:modified xsi:type="dcterms:W3CDTF">2026-10-01T03:07:19Z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